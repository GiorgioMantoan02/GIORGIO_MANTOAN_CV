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15"/>
  <workbookPr/>
  <xr:revisionPtr revIDLastSave="1882" documentId="11_5C5755BF84DCCEC36C3E1A399931F45B2A7E2811" xr6:coauthVersionLast="47" xr6:coauthVersionMax="47" xr10:uidLastSave="{8F91AE78-9D10-4668-8B3B-D36671ECC703}"/>
  <bookViews>
    <workbookView xWindow="240" yWindow="105" windowWidth="14805" windowHeight="8010" firstSheet="8" xr2:uid="{00000000-000D-0000-FFFF-FFFF00000000}"/>
  </bookViews>
  <sheets>
    <sheet name="GIUGNO" sheetId="1" r:id="rId1"/>
    <sheet name="MAGGIO" sheetId="2" r:id="rId2"/>
    <sheet name="GIUGNO tax" sheetId="3" r:id="rId3"/>
    <sheet name="MAGGIO tax" sheetId="4" r:id="rId4"/>
    <sheet name="TIR A, TIR B, TIR C" sheetId="5" r:id="rId5"/>
    <sheet name="TIR A tax, TIR B tax, TIR C tax" sheetId="7" r:id="rId6"/>
    <sheet name="TIR AC tax" sheetId="9" r:id="rId7"/>
    <sheet name="TIR BC tax" sheetId="10" r:id="rId8"/>
    <sheet name="TIR ABC tax" sheetId="12" r:id="rId9"/>
    <sheet name="TIR ABC tax 2" sheetId="13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3" l="1"/>
  <c r="J13" i="13"/>
  <c r="I13" i="13"/>
  <c r="D21" i="12"/>
  <c r="C13" i="12"/>
  <c r="C12" i="12"/>
  <c r="C11" i="12"/>
  <c r="C10" i="12"/>
  <c r="C9" i="12"/>
  <c r="V21" i="12"/>
  <c r="U11" i="12"/>
  <c r="P21" i="12"/>
  <c r="J21" i="12"/>
  <c r="I13" i="12"/>
  <c r="I12" i="12"/>
  <c r="O11" i="12"/>
  <c r="I11" i="12"/>
  <c r="U13" i="12"/>
  <c r="O13" i="12"/>
  <c r="J20" i="10"/>
  <c r="P20" i="10"/>
  <c r="O10" i="10"/>
  <c r="I10" i="10"/>
  <c r="O12" i="10"/>
  <c r="I12" i="10"/>
  <c r="P20" i="9"/>
  <c r="O10" i="9"/>
  <c r="J20" i="9"/>
  <c r="I10" i="9"/>
  <c r="O12" i="9"/>
  <c r="I12" i="9"/>
  <c r="P21" i="7"/>
  <c r="J21" i="7"/>
  <c r="O11" i="7"/>
  <c r="I11" i="7"/>
  <c r="C11" i="7"/>
  <c r="O13" i="7"/>
  <c r="I13" i="7"/>
  <c r="C13" i="7"/>
  <c r="O11" i="5"/>
  <c r="O13" i="5"/>
  <c r="P17" i="5" s="1"/>
  <c r="J17" i="5"/>
  <c r="I13" i="5"/>
  <c r="D17" i="5"/>
  <c r="C11" i="5"/>
  <c r="C13" i="5"/>
  <c r="D12" i="2"/>
  <c r="C6" i="2"/>
  <c r="C4" i="2"/>
  <c r="C13" i="4"/>
  <c r="C12" i="3"/>
  <c r="I10" i="12"/>
  <c r="I9" i="9"/>
  <c r="O10" i="7"/>
  <c r="I10" i="7"/>
  <c r="C6" i="4"/>
  <c r="I11" i="9"/>
  <c r="I15" i="9"/>
  <c r="I16" i="9"/>
  <c r="I21" i="9"/>
  <c r="J21" i="9"/>
  <c r="I22" i="9"/>
  <c r="J22" i="9"/>
  <c r="I25" i="9"/>
  <c r="J18" i="5"/>
  <c r="J22" i="7"/>
  <c r="P25" i="7"/>
  <c r="O24" i="7"/>
  <c r="J24" i="7"/>
  <c r="D22" i="7"/>
  <c r="J21" i="5"/>
  <c r="J22" i="5"/>
  <c r="C12" i="5"/>
  <c r="K11" i="13"/>
  <c r="J11" i="13"/>
  <c r="I11" i="13"/>
  <c r="J10" i="13"/>
  <c r="C10" i="13" s="1"/>
  <c r="K10" i="13"/>
  <c r="C11" i="13" s="1"/>
  <c r="I10" i="13"/>
  <c r="C9" i="13" s="1"/>
  <c r="D24" i="13" s="1"/>
  <c r="C23" i="13"/>
  <c r="C24" i="13"/>
  <c r="C26" i="13"/>
  <c r="C27" i="13"/>
  <c r="C29" i="13"/>
  <c r="C31" i="13"/>
  <c r="C33" i="13"/>
  <c r="C35" i="13"/>
  <c r="C36" i="13"/>
  <c r="C37" i="13"/>
  <c r="C38" i="13"/>
  <c r="C39" i="13"/>
  <c r="C40" i="13"/>
  <c r="C41" i="13"/>
  <c r="I12" i="13"/>
  <c r="K12" i="13"/>
  <c r="I16" i="13"/>
  <c r="J16" i="13"/>
  <c r="K16" i="13"/>
  <c r="I17" i="13"/>
  <c r="J17" i="13"/>
  <c r="K17" i="13"/>
  <c r="C25" i="4"/>
  <c r="C24" i="4"/>
  <c r="C23" i="4"/>
  <c r="C22" i="4"/>
  <c r="C21" i="4"/>
  <c r="C20" i="4"/>
  <c r="C19" i="4"/>
  <c r="C18" i="4"/>
  <c r="C17" i="4"/>
  <c r="U12" i="12"/>
  <c r="O11" i="10"/>
  <c r="O11" i="9"/>
  <c r="O12" i="7"/>
  <c r="C12" i="7"/>
  <c r="C7" i="4"/>
  <c r="C8" i="4" s="1"/>
  <c r="D17" i="4" s="1"/>
  <c r="D25" i="9"/>
  <c r="D23" i="9"/>
  <c r="C24" i="9"/>
  <c r="C23" i="9"/>
  <c r="D22" i="9"/>
  <c r="D22" i="10"/>
  <c r="D21" i="10"/>
  <c r="D21" i="9"/>
  <c r="P31" i="9"/>
  <c r="P23" i="7"/>
  <c r="J23" i="7"/>
  <c r="P22" i="7"/>
  <c r="D21" i="7"/>
  <c r="O12" i="5"/>
  <c r="O18" i="5"/>
  <c r="I11" i="5"/>
  <c r="D19" i="5"/>
  <c r="D18" i="5"/>
  <c r="C19" i="5"/>
  <c r="C18" i="5"/>
  <c r="P31" i="7"/>
  <c r="J25" i="7"/>
  <c r="P29" i="7"/>
  <c r="C17" i="7"/>
  <c r="C16" i="7"/>
  <c r="D23" i="7" s="1"/>
  <c r="O29" i="5"/>
  <c r="O28" i="5"/>
  <c r="O27" i="5"/>
  <c r="O26" i="5"/>
  <c r="O25" i="5"/>
  <c r="O24" i="5"/>
  <c r="O23" i="5"/>
  <c r="O22" i="5"/>
  <c r="O21" i="5"/>
  <c r="O20" i="5"/>
  <c r="O19" i="5"/>
  <c r="C22" i="5"/>
  <c r="D22" i="5" s="1"/>
  <c r="C26" i="12"/>
  <c r="C23" i="12"/>
  <c r="C40" i="12"/>
  <c r="C39" i="12"/>
  <c r="C38" i="12"/>
  <c r="C37" i="12"/>
  <c r="C36" i="12"/>
  <c r="C35" i="12"/>
  <c r="C34" i="12"/>
  <c r="C32" i="12"/>
  <c r="C30" i="12"/>
  <c r="C28" i="12"/>
  <c r="C25" i="12"/>
  <c r="C22" i="12"/>
  <c r="U33" i="12"/>
  <c r="V32" i="12"/>
  <c r="U32" i="12"/>
  <c r="V31" i="12"/>
  <c r="U31" i="12"/>
  <c r="V30" i="12"/>
  <c r="U30" i="12"/>
  <c r="V29" i="12"/>
  <c r="U29" i="12"/>
  <c r="V28" i="12"/>
  <c r="U28" i="12"/>
  <c r="V27" i="12"/>
  <c r="U27" i="12"/>
  <c r="V26" i="12"/>
  <c r="U26" i="12"/>
  <c r="V25" i="12"/>
  <c r="U25" i="12"/>
  <c r="P25" i="12"/>
  <c r="V24" i="12"/>
  <c r="U24" i="12"/>
  <c r="P24" i="12"/>
  <c r="V23" i="12"/>
  <c r="U23" i="12"/>
  <c r="P23" i="12"/>
  <c r="I23" i="12"/>
  <c r="V22" i="12"/>
  <c r="U22" i="12"/>
  <c r="P22" i="12"/>
  <c r="J22" i="12"/>
  <c r="I22" i="12"/>
  <c r="U17" i="12"/>
  <c r="O17" i="12"/>
  <c r="I17" i="12"/>
  <c r="P21" i="10"/>
  <c r="D28" i="10"/>
  <c r="D26" i="10"/>
  <c r="D24" i="10"/>
  <c r="C37" i="10"/>
  <c r="D36" i="10"/>
  <c r="C36" i="10"/>
  <c r="D35" i="10"/>
  <c r="C35" i="10"/>
  <c r="D34" i="10"/>
  <c r="C34" i="10"/>
  <c r="D33" i="10"/>
  <c r="C33" i="10"/>
  <c r="D32" i="10"/>
  <c r="C32" i="10"/>
  <c r="D31" i="10"/>
  <c r="C31" i="10"/>
  <c r="D29" i="10"/>
  <c r="C29" i="10"/>
  <c r="D27" i="10"/>
  <c r="C27" i="10"/>
  <c r="D25" i="10"/>
  <c r="C25" i="10"/>
  <c r="D23" i="10"/>
  <c r="C23" i="10"/>
  <c r="C21" i="10"/>
  <c r="O32" i="10"/>
  <c r="P31" i="10"/>
  <c r="O31" i="10"/>
  <c r="P30" i="10"/>
  <c r="O30" i="10"/>
  <c r="P29" i="10"/>
  <c r="O29" i="10"/>
  <c r="P28" i="10"/>
  <c r="O28" i="10"/>
  <c r="P27" i="10"/>
  <c r="O27" i="10"/>
  <c r="P26" i="10"/>
  <c r="O26" i="10"/>
  <c r="P25" i="10"/>
  <c r="O25" i="10"/>
  <c r="P24" i="10"/>
  <c r="O24" i="10"/>
  <c r="J24" i="10"/>
  <c r="P23" i="10"/>
  <c r="O23" i="10"/>
  <c r="J23" i="10"/>
  <c r="P22" i="10"/>
  <c r="O22" i="10"/>
  <c r="J22" i="10"/>
  <c r="O21" i="10"/>
  <c r="J21" i="10"/>
  <c r="O16" i="10"/>
  <c r="I16" i="10"/>
  <c r="C22" i="9"/>
  <c r="P21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C25" i="9"/>
  <c r="C21" i="9"/>
  <c r="O32" i="9"/>
  <c r="O31" i="9"/>
  <c r="P30" i="9"/>
  <c r="O30" i="9"/>
  <c r="P29" i="9"/>
  <c r="O29" i="9"/>
  <c r="P28" i="9"/>
  <c r="O28" i="9"/>
  <c r="P27" i="9"/>
  <c r="O27" i="9"/>
  <c r="P26" i="9"/>
  <c r="O26" i="9"/>
  <c r="P25" i="9"/>
  <c r="O25" i="9"/>
  <c r="P24" i="9"/>
  <c r="O24" i="9"/>
  <c r="P23" i="9"/>
  <c r="O23" i="9"/>
  <c r="P22" i="9"/>
  <c r="O22" i="9"/>
  <c r="O21" i="9"/>
  <c r="O16" i="9"/>
  <c r="D20" i="9"/>
  <c r="O17" i="7"/>
  <c r="I17" i="7"/>
  <c r="P24" i="7"/>
  <c r="P26" i="7"/>
  <c r="P27" i="7"/>
  <c r="P28" i="7"/>
  <c r="P30" i="7"/>
  <c r="P32" i="7"/>
  <c r="O33" i="7"/>
  <c r="O32" i="7"/>
  <c r="O31" i="7"/>
  <c r="O30" i="7"/>
  <c r="O29" i="7"/>
  <c r="O28" i="7"/>
  <c r="O27" i="7"/>
  <c r="O26" i="7"/>
  <c r="O25" i="7"/>
  <c r="O23" i="7"/>
  <c r="C23" i="7"/>
  <c r="O22" i="7"/>
  <c r="C22" i="7"/>
  <c r="P29" i="5"/>
  <c r="P19" i="5"/>
  <c r="P20" i="5"/>
  <c r="P21" i="5"/>
  <c r="P22" i="5"/>
  <c r="P23" i="5"/>
  <c r="P24" i="5"/>
  <c r="P25" i="5"/>
  <c r="P26" i="5"/>
  <c r="P27" i="5"/>
  <c r="P28" i="5"/>
  <c r="P18" i="5"/>
  <c r="J19" i="5"/>
  <c r="J20" i="5"/>
  <c r="I25" i="5"/>
  <c r="J25" i="5" s="1"/>
  <c r="D19" i="4"/>
  <c r="D20" i="4"/>
  <c r="D21" i="4"/>
  <c r="D22" i="4"/>
  <c r="D23" i="4"/>
  <c r="D24" i="4"/>
  <c r="D18" i="4"/>
  <c r="C12" i="4"/>
  <c r="C11" i="4"/>
  <c r="D25" i="4" s="1"/>
  <c r="D16" i="3"/>
  <c r="C10" i="3"/>
  <c r="C11" i="3"/>
  <c r="D23" i="3"/>
  <c r="D18" i="3"/>
  <c r="D19" i="3"/>
  <c r="D20" i="3"/>
  <c r="D21" i="3"/>
  <c r="D22" i="3"/>
  <c r="D17" i="3"/>
  <c r="D20" i="2"/>
  <c r="D14" i="2"/>
  <c r="D15" i="2"/>
  <c r="D16" i="2"/>
  <c r="D17" i="2"/>
  <c r="D18" i="2"/>
  <c r="D19" i="2"/>
  <c r="D13" i="2"/>
  <c r="C5" i="2"/>
  <c r="C20" i="2"/>
  <c r="C19" i="2"/>
  <c r="C18" i="2"/>
  <c r="C17" i="2"/>
  <c r="C16" i="2"/>
  <c r="C15" i="2"/>
  <c r="C14" i="2"/>
  <c r="C13" i="2"/>
  <c r="C20" i="1"/>
  <c r="D20" i="1" s="1"/>
  <c r="I16" i="7" l="1"/>
  <c r="J26" i="7"/>
  <c r="O10" i="12"/>
  <c r="I9" i="10"/>
  <c r="U10" i="12"/>
  <c r="O9" i="10"/>
  <c r="O9" i="9"/>
  <c r="C26" i="3"/>
  <c r="E22" i="3"/>
  <c r="E21" i="3"/>
  <c r="E20" i="3"/>
  <c r="E19" i="3"/>
  <c r="E18" i="3"/>
  <c r="E23" i="3"/>
  <c r="E16" i="3"/>
  <c r="D20" i="10"/>
  <c r="K20" i="9"/>
  <c r="K21" i="9"/>
  <c r="K22" i="9"/>
  <c r="L12" i="13" a="1"/>
  <c r="L12" i="13" s="1"/>
  <c r="O16" i="7"/>
  <c r="P33" i="7" s="1"/>
  <c r="E19" i="5"/>
  <c r="E18" i="5"/>
  <c r="C28" i="4"/>
  <c r="D28" i="4" s="1"/>
  <c r="D23" i="12"/>
  <c r="D31" i="12"/>
  <c r="D29" i="12"/>
  <c r="D27" i="12"/>
  <c r="D24" i="12"/>
  <c r="D35" i="12"/>
  <c r="D36" i="12"/>
  <c r="D37" i="12"/>
  <c r="D38" i="12"/>
  <c r="D39" i="12"/>
  <c r="D34" i="12"/>
  <c r="D32" i="12"/>
  <c r="D30" i="12"/>
  <c r="D28" i="12"/>
  <c r="D25" i="12"/>
  <c r="D22" i="12"/>
  <c r="I16" i="12"/>
  <c r="D26" i="12" s="1"/>
  <c r="O16" i="12"/>
  <c r="D33" i="12" s="1"/>
  <c r="U16" i="12"/>
  <c r="D40" i="12" s="1"/>
  <c r="J23" i="12"/>
  <c r="P26" i="12"/>
  <c r="V33" i="12"/>
  <c r="I15" i="10"/>
  <c r="O15" i="10"/>
  <c r="D37" i="10" s="1"/>
  <c r="P32" i="10"/>
  <c r="O15" i="9"/>
  <c r="D34" i="9" s="1"/>
  <c r="P32" i="9"/>
  <c r="E11" i="1"/>
  <c r="E12" i="1"/>
  <c r="E13" i="1"/>
  <c r="E14" i="1"/>
  <c r="E15" i="1"/>
  <c r="E16" i="1"/>
  <c r="E17" i="1"/>
  <c r="E10" i="1"/>
  <c r="C22" i="1" s="1"/>
  <c r="E17" i="5"/>
  <c r="C24" i="5" s="1"/>
  <c r="C26" i="7"/>
  <c r="E23" i="7"/>
  <c r="E21" i="7"/>
  <c r="O35" i="9"/>
  <c r="Q31" i="9"/>
  <c r="Q30" i="9"/>
  <c r="Q29" i="9"/>
  <c r="Q28" i="9"/>
  <c r="Q27" i="9"/>
  <c r="Q26" i="9"/>
  <c r="Q25" i="9"/>
  <c r="Q24" i="9"/>
  <c r="Q23" i="9"/>
  <c r="Q22" i="9"/>
  <c r="Q21" i="9"/>
  <c r="Q20" i="9"/>
  <c r="Q32" i="9"/>
  <c r="O37" i="9"/>
  <c r="O35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32" i="10"/>
  <c r="O37" i="10"/>
  <c r="U36" i="12"/>
  <c r="W32" i="12"/>
  <c r="W31" i="12"/>
  <c r="W30" i="12"/>
  <c r="W29" i="12"/>
  <c r="O29" i="12"/>
  <c r="W28" i="12"/>
  <c r="W27" i="12"/>
  <c r="W26" i="12"/>
  <c r="I26" i="12"/>
  <c r="W25" i="12"/>
  <c r="Q25" i="12"/>
  <c r="W24" i="12"/>
  <c r="Q24" i="12"/>
  <c r="W23" i="12"/>
  <c r="Q23" i="12"/>
  <c r="W22" i="12"/>
  <c r="Q22" i="12"/>
  <c r="K22" i="12"/>
  <c r="K21" i="12"/>
  <c r="K23" i="12"/>
  <c r="I28" i="12"/>
  <c r="Q21" i="12"/>
  <c r="Q26" i="12"/>
  <c r="O31" i="12"/>
  <c r="W21" i="12"/>
  <c r="W33" i="12"/>
  <c r="U38" i="12"/>
  <c r="C43" i="12"/>
  <c r="E23" i="12"/>
  <c r="E21" i="12"/>
  <c r="E22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 l="1"/>
  <c r="C45" i="12" s="1"/>
  <c r="D43" i="12"/>
  <c r="E22" i="7"/>
  <c r="C28" i="7" s="1"/>
  <c r="D26" i="7"/>
  <c r="I29" i="7"/>
  <c r="D26" i="3"/>
  <c r="E17" i="3"/>
  <c r="C28" i="3" s="1"/>
  <c r="D30" i="10"/>
  <c r="J25" i="10"/>
  <c r="I27" i="9"/>
  <c r="F22" i="13"/>
  <c r="F36" i="13"/>
  <c r="G36" i="13" s="1"/>
  <c r="F37" i="13"/>
  <c r="G37" i="13" s="1"/>
  <c r="F38" i="13"/>
  <c r="G38" i="13" s="1"/>
  <c r="F39" i="13"/>
  <c r="G39" i="13" s="1"/>
  <c r="F40" i="13"/>
  <c r="G40" i="13" s="1"/>
  <c r="F41" i="13"/>
  <c r="G41" i="13" s="1"/>
  <c r="F35" i="13"/>
  <c r="G35" i="13" s="1"/>
  <c r="F33" i="13"/>
  <c r="G33" i="13" s="1"/>
  <c r="F31" i="13"/>
  <c r="G31" i="13" s="1"/>
  <c r="F29" i="13"/>
  <c r="G29" i="13" s="1"/>
  <c r="F26" i="13"/>
  <c r="G26" i="13" s="1"/>
  <c r="F23" i="13"/>
  <c r="G23" i="13" s="1"/>
  <c r="C12" i="13" a="1"/>
  <c r="C12" i="13" s="1"/>
  <c r="E34" i="13"/>
  <c r="G34" i="13" s="1"/>
  <c r="E32" i="13"/>
  <c r="G32" i="13" s="1"/>
  <c r="E30" i="13"/>
  <c r="G30" i="13" s="1"/>
  <c r="E28" i="13"/>
  <c r="G28" i="13" s="1"/>
  <c r="E25" i="13"/>
  <c r="G25" i="13" s="1"/>
  <c r="E22" i="13"/>
  <c r="D27" i="13"/>
  <c r="G27" i="13" s="1"/>
  <c r="G24" i="13"/>
  <c r="D22" i="13"/>
  <c r="G22" i="13" s="1"/>
  <c r="C40" i="10"/>
  <c r="D40" i="10" s="1"/>
  <c r="E37" i="10"/>
  <c r="D24" i="9"/>
  <c r="C37" i="9"/>
  <c r="O36" i="7"/>
  <c r="P36" i="7" s="1"/>
  <c r="K21" i="5"/>
  <c r="K20" i="5"/>
  <c r="K19" i="5"/>
  <c r="K18" i="5"/>
  <c r="K17" i="5"/>
  <c r="K22" i="5"/>
  <c r="E18" i="4"/>
  <c r="E19" i="4"/>
  <c r="E20" i="4"/>
  <c r="E21" i="4"/>
  <c r="E22" i="4"/>
  <c r="E23" i="4"/>
  <c r="E24" i="4"/>
  <c r="E25" i="4"/>
  <c r="E17" i="4"/>
  <c r="C30" i="4" s="1"/>
  <c r="Q31" i="7"/>
  <c r="Q32" i="7"/>
  <c r="J29" i="7" l="1"/>
  <c r="K26" i="7"/>
  <c r="K25" i="7"/>
  <c r="K24" i="7"/>
  <c r="K23" i="7"/>
  <c r="K22" i="7"/>
  <c r="K21" i="7"/>
  <c r="I31" i="7" s="1"/>
  <c r="E23" i="9"/>
  <c r="D37" i="9"/>
  <c r="I27" i="5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20" i="10"/>
  <c r="C42" i="10" s="1"/>
  <c r="E21" i="9"/>
  <c r="E22" i="9"/>
  <c r="E24" i="9"/>
  <c r="E25" i="9"/>
  <c r="E26" i="9"/>
  <c r="E27" i="9"/>
  <c r="E28" i="9"/>
  <c r="E29" i="9"/>
  <c r="E30" i="9"/>
  <c r="E31" i="9"/>
  <c r="E32" i="9"/>
  <c r="E33" i="9"/>
  <c r="E20" i="9"/>
  <c r="E34" i="9"/>
  <c r="Q33" i="7"/>
  <c r="Q22" i="7"/>
  <c r="Q30" i="7"/>
  <c r="Q29" i="7"/>
  <c r="Q28" i="7"/>
  <c r="Q27" i="7"/>
  <c r="Q26" i="7"/>
  <c r="Q25" i="7"/>
  <c r="Q24" i="7"/>
  <c r="Q23" i="7"/>
  <c r="Q21" i="7"/>
  <c r="O38" i="7"/>
  <c r="C39" i="9" l="1"/>
  <c r="C44" i="13"/>
  <c r="D44" i="13" s="1"/>
  <c r="H25" i="13"/>
  <c r="H28" i="13"/>
  <c r="H30" i="13"/>
  <c r="H32" i="13"/>
  <c r="H34" i="13"/>
  <c r="H22" i="13"/>
  <c r="H23" i="13"/>
  <c r="H24" i="13"/>
  <c r="H26" i="13"/>
  <c r="H27" i="13"/>
  <c r="H29" i="13"/>
  <c r="H31" i="13"/>
  <c r="H33" i="13"/>
  <c r="H35" i="13"/>
  <c r="H36" i="13"/>
  <c r="H37" i="13"/>
  <c r="H38" i="13"/>
  <c r="H39" i="13"/>
  <c r="H40" i="13"/>
  <c r="H41" i="13"/>
  <c r="C46" i="13" l="1"/>
  <c r="I28" i="10"/>
  <c r="K24" i="10"/>
  <c r="K23" i="10"/>
  <c r="K22" i="10"/>
  <c r="K21" i="10"/>
  <c r="K20" i="10"/>
  <c r="K25" i="10"/>
  <c r="I30" i="10"/>
  <c r="C23" i="2"/>
  <c r="D23" i="2"/>
  <c r="E20" i="2"/>
  <c r="E14" i="2"/>
  <c r="E15" i="2"/>
  <c r="E16" i="2"/>
  <c r="E17" i="2"/>
  <c r="E18" i="2"/>
  <c r="E19" i="2"/>
  <c r="E13" i="2"/>
  <c r="E12" i="2"/>
  <c r="C25" i="2"/>
  <c r="O32" i="5"/>
  <c r="P32" i="5"/>
  <c r="Q18" i="5"/>
  <c r="Q19" i="5"/>
  <c r="Q20" i="5"/>
  <c r="Q21" i="5"/>
  <c r="Q22" i="5"/>
  <c r="Q23" i="5"/>
  <c r="Q24" i="5"/>
  <c r="Q25" i="5"/>
  <c r="Q26" i="5"/>
  <c r="Q27" i="5"/>
  <c r="Q28" i="5"/>
  <c r="Q29" i="5"/>
  <c r="Q17" i="5"/>
  <c r="O3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<sst xmlns="http://schemas.openxmlformats.org/spreadsheetml/2006/main" count="327" uniqueCount="49">
  <si>
    <t>CALCOLO TIR - Acquisto 1 Giugno 2025</t>
  </si>
  <si>
    <t>Prezzo di acquisto</t>
  </si>
  <si>
    <t>Cedola semestrale</t>
  </si>
  <si>
    <t>Valore nominale</t>
  </si>
  <si>
    <t>Date</t>
  </si>
  <si>
    <t>t</t>
  </si>
  <si>
    <t>Flussi</t>
  </si>
  <si>
    <t>Flussi attualizzati</t>
  </si>
  <si>
    <t>Calcolo TIR -&gt;</t>
  </si>
  <si>
    <t>Check TIR -&gt;</t>
  </si>
  <si>
    <t>CALCOLO TIR - Acquisto 1 Maggio 2025</t>
  </si>
  <si>
    <t>Rateo -&gt;</t>
  </si>
  <si>
    <t>Prezzo di acquisto + Rateo</t>
  </si>
  <si>
    <t>Flussi al netto di tassazione</t>
  </si>
  <si>
    <t>Prezzo di rimborso</t>
  </si>
  <si>
    <t>Prezzo di emissione</t>
  </si>
  <si>
    <t>Plusvalenza</t>
  </si>
  <si>
    <t>Disaggio di emissione</t>
  </si>
  <si>
    <t>Rateo</t>
  </si>
  <si>
    <t>No Tax</t>
  </si>
  <si>
    <t>TITOLO A</t>
  </si>
  <si>
    <t>TITOLO B</t>
  </si>
  <si>
    <t>TITOLO C</t>
  </si>
  <si>
    <t xml:space="preserve">Unità </t>
  </si>
  <si>
    <t>Unità</t>
  </si>
  <si>
    <t>Prezzo acquisto</t>
  </si>
  <si>
    <t>Prezzo acquisto + Rateo</t>
  </si>
  <si>
    <t>Prezzo emissione</t>
  </si>
  <si>
    <t>Portafoglio AC</t>
  </si>
  <si>
    <t>PORTAFOGLIO AC</t>
  </si>
  <si>
    <t>1 A + 1 C</t>
  </si>
  <si>
    <t>Portafoglio BC</t>
  </si>
  <si>
    <t>PORTAFOGLIO BC</t>
  </si>
  <si>
    <t>1 B + 1 C</t>
  </si>
  <si>
    <t>Portafoglio ABC - 1 Mln</t>
  </si>
  <si>
    <t>PORTAFOGLIO ABC</t>
  </si>
  <si>
    <t>Unità A</t>
  </si>
  <si>
    <t>Approssimazione per difetto</t>
  </si>
  <si>
    <t>Unità B</t>
  </si>
  <si>
    <t>Unità C</t>
  </si>
  <si>
    <t>Capitale totale utilizzato</t>
  </si>
  <si>
    <t>Rateo totale</t>
  </si>
  <si>
    <t>TOT</t>
  </si>
  <si>
    <t>Capitale max</t>
  </si>
  <si>
    <t>Tot capitale utilizzato</t>
  </si>
  <si>
    <t>Flussi A</t>
  </si>
  <si>
    <t>Flussi B</t>
  </si>
  <si>
    <t>Flussi C</t>
  </si>
  <si>
    <t>Flussi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</si>
</sst>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0]dd\-mmm\-yy;@"/>
    <numFmt numFmtId="165" formatCode="0.0000"/>
    <numFmt numFmtId="166" formatCode="0.000"/>
    <numFmt numFmtId="167" formatCode="0.000%"/>
  </numFmts>
  <fonts count="7">
    <font>
      <sz val="11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4" xfId="0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3" fillId="0" borderId="9" xfId="0" applyFont="1" applyBorder="1"/>
    <xf numFmtId="0" fontId="3" fillId="0" borderId="10" xfId="0" applyFont="1" applyBorder="1"/>
    <xf numFmtId="0" fontId="3" fillId="3" borderId="10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0" fontId="2" fillId="4" borderId="8" xfId="0" applyFont="1" applyFill="1" applyBorder="1" applyAlignment="1">
      <alignment horizontal="right"/>
    </xf>
    <xf numFmtId="0" fontId="3" fillId="4" borderId="10" xfId="0" applyFont="1" applyFill="1" applyBorder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6" xfId="0" applyNumberFormat="1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1" xfId="0" applyFont="1" applyBorder="1"/>
    <xf numFmtId="0" fontId="3" fillId="3" borderId="3" xfId="0" applyFont="1" applyFill="1" applyBorder="1"/>
    <xf numFmtId="0" fontId="3" fillId="4" borderId="3" xfId="0" applyFont="1" applyFill="1" applyBorder="1"/>
    <xf numFmtId="0" fontId="2" fillId="4" borderId="5" xfId="0" applyFont="1" applyFill="1" applyBorder="1"/>
    <xf numFmtId="0" fontId="2" fillId="4" borderId="8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3" fillId="0" borderId="4" xfId="0" applyFont="1" applyBorder="1"/>
    <xf numFmtId="0" fontId="3" fillId="0" borderId="11" xfId="0" applyFont="1" applyBorder="1"/>
    <xf numFmtId="0" fontId="3" fillId="4" borderId="10" xfId="0" applyFont="1" applyFill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4" borderId="2" xfId="0" applyFont="1" applyFill="1" applyBorder="1"/>
    <xf numFmtId="165" fontId="3" fillId="4" borderId="10" xfId="0" applyNumberFormat="1" applyFont="1" applyFill="1" applyBorder="1"/>
    <xf numFmtId="2" fontId="3" fillId="4" borderId="3" xfId="0" applyNumberFormat="1" applyFont="1" applyFill="1" applyBorder="1"/>
    <xf numFmtId="0" fontId="6" fillId="0" borderId="0" xfId="0" applyFont="1"/>
    <xf numFmtId="0" fontId="2" fillId="0" borderId="11" xfId="0" applyFont="1" applyBorder="1"/>
    <xf numFmtId="0" fontId="3" fillId="0" borderId="13" xfId="0" applyFont="1" applyBorder="1"/>
    <xf numFmtId="0" fontId="3" fillId="4" borderId="12" xfId="0" applyFont="1" applyFill="1" applyBorder="1"/>
    <xf numFmtId="10" fontId="3" fillId="5" borderId="11" xfId="0" applyNumberFormat="1" applyFont="1" applyFill="1" applyBorder="1"/>
    <xf numFmtId="165" fontId="3" fillId="4" borderId="12" xfId="0" applyNumberFormat="1" applyFont="1" applyFill="1" applyBorder="1"/>
    <xf numFmtId="0" fontId="3" fillId="3" borderId="11" xfId="0" applyFont="1" applyFill="1" applyBorder="1"/>
    <xf numFmtId="0" fontId="3" fillId="3" borderId="11" xfId="0" applyFont="1" applyFill="1" applyBorder="1" applyAlignment="1">
      <alignment horizontal="right"/>
    </xf>
    <xf numFmtId="166" fontId="3" fillId="4" borderId="11" xfId="0" applyNumberFormat="1" applyFont="1" applyFill="1" applyBorder="1"/>
    <xf numFmtId="0" fontId="3" fillId="4" borderId="11" xfId="0" applyFont="1" applyFill="1" applyBorder="1"/>
    <xf numFmtId="166" fontId="3" fillId="0" borderId="11" xfId="0" applyNumberFormat="1" applyFont="1" applyBorder="1"/>
    <xf numFmtId="0" fontId="3" fillId="3" borderId="12" xfId="0" applyFont="1" applyFill="1" applyBorder="1" applyAlignment="1">
      <alignment horizontal="right"/>
    </xf>
    <xf numFmtId="166" fontId="3" fillId="4" borderId="0" xfId="0" applyNumberFormat="1" applyFont="1" applyFill="1" applyAlignment="1">
      <alignment horizontal="right"/>
    </xf>
    <xf numFmtId="0" fontId="3" fillId="3" borderId="0" xfId="0" applyFont="1" applyFill="1"/>
    <xf numFmtId="166" fontId="3" fillId="4" borderId="2" xfId="0" applyNumberFormat="1" applyFont="1" applyFill="1" applyBorder="1" applyAlignment="1">
      <alignment horizontal="right"/>
    </xf>
    <xf numFmtId="10" fontId="3" fillId="3" borderId="3" xfId="0" applyNumberFormat="1" applyFont="1" applyFill="1" applyBorder="1"/>
    <xf numFmtId="167" fontId="3" fillId="3" borderId="10" xfId="0" applyNumberFormat="1" applyFont="1" applyFill="1" applyBorder="1"/>
    <xf numFmtId="10" fontId="3" fillId="3" borderId="3" xfId="0" applyNumberFormat="1" applyFont="1" applyFill="1" applyBorder="1" applyAlignment="1">
      <alignment horizontal="right"/>
    </xf>
    <xf numFmtId="167" fontId="3" fillId="4" borderId="10" xfId="0" applyNumberFormat="1" applyFont="1" applyFill="1" applyBorder="1" applyAlignment="1">
      <alignment horizontal="right"/>
    </xf>
    <xf numFmtId="167" fontId="3" fillId="3" borderId="3" xfId="0" applyNumberFormat="1" applyFont="1" applyFill="1" applyBorder="1" applyAlignment="1">
      <alignment horizontal="right"/>
    </xf>
    <xf numFmtId="167" fontId="3" fillId="3" borderId="3" xfId="0" applyNumberFormat="1" applyFont="1" applyFill="1" applyBorder="1"/>
    <xf numFmtId="167" fontId="3" fillId="4" borderId="10" xfId="0" applyNumberFormat="1" applyFont="1" applyFill="1" applyBorder="1"/>
    <xf numFmtId="2" fontId="3" fillId="3" borderId="3" xfId="0" applyNumberFormat="1" applyFont="1" applyFill="1" applyBorder="1"/>
    <xf numFmtId="2" fontId="2" fillId="0" borderId="0" xfId="0" applyNumberFormat="1" applyFont="1"/>
    <xf numFmtId="1" fontId="3" fillId="4" borderId="3" xfId="0" applyNumberFormat="1" applyFont="1" applyFill="1" applyBorder="1"/>
    <xf numFmtId="166" fontId="3" fillId="4" borderId="10" xfId="0" applyNumberFormat="1" applyFont="1" applyFill="1" applyBorder="1" applyAlignment="1">
      <alignment horizontal="right"/>
    </xf>
    <xf numFmtId="166" fontId="3" fillId="4" borderId="10" xfId="0" applyNumberFormat="1" applyFont="1" applyFill="1" applyBorder="1"/>
    <xf numFmtId="166" fontId="3" fillId="4" borderId="3" xfId="0" applyNumberFormat="1" applyFont="1" applyFill="1" applyBorder="1"/>
    <xf numFmtId="166" fontId="3" fillId="4" borderId="5" xfId="0" applyNumberFormat="1" applyFont="1" applyFill="1" applyBorder="1" applyAlignment="1">
      <alignment horizontal="right"/>
    </xf>
    <xf numFmtId="166" fontId="2" fillId="0" borderId="0" xfId="0" applyNumberFormat="1" applyFont="1"/>
    <xf numFmtId="167" fontId="3" fillId="3" borderId="10" xfId="0" applyNumberFormat="1" applyFont="1" applyFill="1" applyBorder="1" applyAlignment="1">
      <alignment horizontal="right"/>
    </xf>
    <xf numFmtId="167" fontId="3" fillId="3" borderId="1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3" fillId="0" borderId="12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2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D7" sqref="D7"/>
    </sheetView>
  </sheetViews>
  <sheetFormatPr defaultRowHeight="15"/>
  <cols>
    <col min="2" max="2" width="22" customWidth="1"/>
    <col min="3" max="3" width="9.5703125" customWidth="1"/>
    <col min="4" max="4" width="10.28515625" customWidth="1"/>
    <col min="5" max="5" width="19.42578125" customWidth="1"/>
  </cols>
  <sheetData>
    <row r="1" spans="1:7">
      <c r="A1" s="67" t="s">
        <v>0</v>
      </c>
      <c r="B1" s="68"/>
      <c r="C1" s="68"/>
      <c r="D1" s="68"/>
      <c r="E1" s="68"/>
      <c r="F1" s="68"/>
      <c r="G1" s="68"/>
    </row>
    <row r="2" spans="1:7">
      <c r="A2" s="68"/>
      <c r="B2" s="68"/>
      <c r="C2" s="68"/>
      <c r="D2" s="68"/>
      <c r="E2" s="68"/>
      <c r="F2" s="68"/>
      <c r="G2" s="68"/>
    </row>
    <row r="4" spans="1:7" ht="18.75">
      <c r="B4" s="21" t="s">
        <v>1</v>
      </c>
      <c r="C4" s="22">
        <v>100.32</v>
      </c>
      <c r="D4" s="1"/>
      <c r="E4" s="1"/>
      <c r="F4" s="1"/>
    </row>
    <row r="5" spans="1:7" ht="18.75">
      <c r="B5" s="21" t="s">
        <v>2</v>
      </c>
      <c r="C5" s="50">
        <v>1.4E-2</v>
      </c>
      <c r="D5" s="1"/>
      <c r="E5" s="1"/>
      <c r="F5" s="1"/>
    </row>
    <row r="6" spans="1:7" ht="18.75">
      <c r="B6" s="7" t="s">
        <v>3</v>
      </c>
      <c r="C6" s="9">
        <v>100</v>
      </c>
      <c r="D6" s="1"/>
      <c r="E6" s="1"/>
      <c r="F6" s="1"/>
    </row>
    <row r="7" spans="1:7" ht="18.75">
      <c r="B7" s="1"/>
      <c r="C7" s="1"/>
      <c r="D7" s="1"/>
      <c r="E7" s="1"/>
      <c r="F7" s="1"/>
    </row>
    <row r="8" spans="1:7" ht="18.75">
      <c r="B8" s="1"/>
      <c r="C8" s="1"/>
      <c r="D8" s="1"/>
      <c r="E8" s="1"/>
      <c r="F8" s="1"/>
    </row>
    <row r="9" spans="1:7" ht="18.75">
      <c r="B9" s="10" t="s">
        <v>4</v>
      </c>
      <c r="C9" s="11" t="s">
        <v>5</v>
      </c>
      <c r="D9" s="11" t="s">
        <v>6</v>
      </c>
      <c r="E9" s="12" t="s">
        <v>7</v>
      </c>
      <c r="F9" s="1"/>
    </row>
    <row r="10" spans="1:7" ht="18.75">
      <c r="B10" s="3">
        <v>45809</v>
      </c>
      <c r="C10" s="4">
        <v>0</v>
      </c>
      <c r="D10" s="4">
        <v>-100.32</v>
      </c>
      <c r="E10" s="13">
        <f>D10/(1+$C$20)^C10</f>
        <v>-100.32</v>
      </c>
      <c r="F10" s="1"/>
    </row>
    <row r="11" spans="1:7" ht="18.75">
      <c r="B11" s="3">
        <v>45992</v>
      </c>
      <c r="C11" s="4">
        <v>0.5</v>
      </c>
      <c r="D11" s="4">
        <v>1.4</v>
      </c>
      <c r="E11" s="13">
        <f t="shared" ref="E11:E17" si="0">D11/(1+$C$20)^C11</f>
        <v>1.3813488388765855</v>
      </c>
      <c r="F11" s="1"/>
    </row>
    <row r="12" spans="1:7" ht="18.75">
      <c r="B12" s="3">
        <v>46174</v>
      </c>
      <c r="C12" s="4">
        <v>1</v>
      </c>
      <c r="D12" s="4">
        <v>1.4</v>
      </c>
      <c r="E12" s="13">
        <f t="shared" si="0"/>
        <v>1.3629461533326366</v>
      </c>
      <c r="F12" s="1"/>
    </row>
    <row r="13" spans="1:7" ht="18.75">
      <c r="B13" s="3">
        <v>46357</v>
      </c>
      <c r="C13" s="4">
        <v>1.5</v>
      </c>
      <c r="D13" s="4">
        <v>1.4</v>
      </c>
      <c r="E13" s="13">
        <f t="shared" si="0"/>
        <v>1.3447886331123899</v>
      </c>
      <c r="F13" s="1"/>
    </row>
    <row r="14" spans="1:7" ht="18.75">
      <c r="B14" s="3">
        <v>46539</v>
      </c>
      <c r="C14" s="4">
        <v>2</v>
      </c>
      <c r="D14" s="4">
        <v>1.4</v>
      </c>
      <c r="E14" s="13">
        <f t="shared" si="0"/>
        <v>1.3268730120601648</v>
      </c>
      <c r="F14" s="1"/>
    </row>
    <row r="15" spans="1:7" ht="18.75">
      <c r="B15" s="3">
        <v>46722</v>
      </c>
      <c r="C15" s="4">
        <v>2.5</v>
      </c>
      <c r="D15" s="4">
        <v>1.4</v>
      </c>
      <c r="E15" s="13">
        <f t="shared" si="0"/>
        <v>1.3091960675328473</v>
      </c>
      <c r="F15" s="1"/>
    </row>
    <row r="16" spans="1:7" ht="18.75">
      <c r="B16" s="3">
        <v>46905</v>
      </c>
      <c r="C16" s="4">
        <v>3</v>
      </c>
      <c r="D16" s="4">
        <v>1.4</v>
      </c>
      <c r="E16" s="13">
        <f t="shared" si="0"/>
        <v>1.2917546198202079</v>
      </c>
      <c r="F16" s="1"/>
    </row>
    <row r="17" spans="2:6" ht="18.75">
      <c r="B17" s="5">
        <v>47088</v>
      </c>
      <c r="C17" s="6">
        <v>3.5</v>
      </c>
      <c r="D17" s="6">
        <v>101.4</v>
      </c>
      <c r="E17" s="14">
        <f t="shared" si="0"/>
        <v>92.313512072496877</v>
      </c>
      <c r="F17" s="1"/>
    </row>
    <row r="18" spans="2:6" ht="18.75">
      <c r="B18" s="1"/>
      <c r="C18" s="1"/>
      <c r="D18" s="1"/>
      <c r="E18" s="1"/>
      <c r="F18" s="1"/>
    </row>
    <row r="19" spans="2:6" ht="18.75">
      <c r="B19" s="1"/>
      <c r="C19" s="1"/>
      <c r="D19" s="1"/>
      <c r="E19" s="1"/>
      <c r="F19" s="1"/>
    </row>
    <row r="20" spans="2:6" ht="18.75">
      <c r="B20" s="7" t="s">
        <v>8</v>
      </c>
      <c r="C20" s="38">
        <f>XIRR(D10:D17,B10:B17)</f>
        <v>2.7186581492424016E-2</v>
      </c>
      <c r="D20" s="39">
        <f>C20</f>
        <v>2.7186581492424016E-2</v>
      </c>
      <c r="E20" s="1"/>
      <c r="F20" s="1"/>
    </row>
    <row r="21" spans="2:6" ht="18.75">
      <c r="B21" s="2"/>
      <c r="C21" s="1"/>
      <c r="D21" s="1"/>
      <c r="E21" s="1"/>
      <c r="F21" s="1"/>
    </row>
    <row r="22" spans="2:6" ht="18.75">
      <c r="B22" s="7" t="s">
        <v>9</v>
      </c>
      <c r="C22" s="15">
        <f>SUM(E10:E17)</f>
        <v>1.0419397231729022E-2</v>
      </c>
      <c r="D22" s="1"/>
      <c r="E22" s="1"/>
      <c r="F22" s="1"/>
    </row>
    <row r="23" spans="2:6" ht="18.75">
      <c r="B23" s="1"/>
      <c r="C23" s="1"/>
      <c r="D23" s="1"/>
      <c r="E23" s="1"/>
      <c r="F23" s="1"/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027BF-7D67-4E64-89C5-8F29657608A3}">
  <dimension ref="A1:G25"/>
  <sheetViews>
    <sheetView workbookViewId="0">
      <selection activeCell="D13" sqref="D13"/>
    </sheetView>
  </sheetViews>
  <sheetFormatPr defaultRowHeight="15"/>
  <cols>
    <col min="2" max="2" width="30.28515625" customWidth="1"/>
    <col min="4" max="4" width="12.42578125" bestFit="1" customWidth="1"/>
    <col min="5" max="5" width="20.42578125" customWidth="1"/>
  </cols>
  <sheetData>
    <row r="1" spans="1:7">
      <c r="A1" s="69" t="s">
        <v>10</v>
      </c>
      <c r="B1" s="69"/>
      <c r="C1" s="69"/>
      <c r="D1" s="69"/>
      <c r="E1" s="69"/>
      <c r="F1" s="69"/>
      <c r="G1" s="69"/>
    </row>
    <row r="2" spans="1:7">
      <c r="A2" s="69"/>
      <c r="B2" s="69"/>
      <c r="C2" s="69"/>
      <c r="D2" s="69"/>
      <c r="E2" s="69"/>
      <c r="F2" s="69"/>
      <c r="G2" s="69"/>
    </row>
    <row r="4" spans="1:7" ht="18.75">
      <c r="B4" s="21" t="s">
        <v>1</v>
      </c>
      <c r="C4" s="57">
        <f>100.32</f>
        <v>100.32</v>
      </c>
      <c r="D4" s="1"/>
      <c r="E4" s="1"/>
    </row>
    <row r="5" spans="1:7" ht="18.75">
      <c r="B5" s="21" t="s">
        <v>11</v>
      </c>
      <c r="C5" s="23">
        <f>1.4*5/6</f>
        <v>1.1666666666666667</v>
      </c>
      <c r="D5" s="1"/>
      <c r="E5" s="1"/>
    </row>
    <row r="6" spans="1:7" ht="18.75">
      <c r="B6" s="21" t="s">
        <v>12</v>
      </c>
      <c r="C6" s="34">
        <f>C4+C5</f>
        <v>101.48666666666666</v>
      </c>
      <c r="D6" s="1"/>
      <c r="E6" s="1"/>
    </row>
    <row r="7" spans="1:7" ht="18.75">
      <c r="B7" s="21" t="s">
        <v>2</v>
      </c>
      <c r="C7" s="50">
        <v>1.4E-2</v>
      </c>
      <c r="D7" s="1"/>
      <c r="E7" s="1"/>
    </row>
    <row r="8" spans="1:7" ht="18.75">
      <c r="B8" s="7" t="s">
        <v>3</v>
      </c>
      <c r="C8" s="9">
        <v>100</v>
      </c>
      <c r="D8" s="1"/>
      <c r="E8" s="1"/>
    </row>
    <row r="9" spans="1:7" ht="18.75">
      <c r="B9" s="2"/>
      <c r="C9" s="2"/>
      <c r="D9" s="1"/>
      <c r="E9" s="1"/>
    </row>
    <row r="10" spans="1:7" ht="18.75">
      <c r="B10" s="1"/>
      <c r="C10" s="1"/>
      <c r="D10" s="1"/>
      <c r="E10" s="1"/>
    </row>
    <row r="11" spans="1:7" ht="18.75">
      <c r="B11" s="10" t="s">
        <v>4</v>
      </c>
      <c r="C11" s="11" t="s">
        <v>5</v>
      </c>
      <c r="D11" s="11" t="s">
        <v>6</v>
      </c>
      <c r="E11" s="12" t="s">
        <v>7</v>
      </c>
    </row>
    <row r="12" spans="1:7" ht="18.75">
      <c r="B12" s="16">
        <v>45778</v>
      </c>
      <c r="C12" s="1">
        <v>0</v>
      </c>
      <c r="D12" s="58">
        <f>-C6</f>
        <v>-101.48666666666666</v>
      </c>
      <c r="E12" s="17">
        <f>D12/(1+$C$23)^C12</f>
        <v>-101.48666666666666</v>
      </c>
    </row>
    <row r="13" spans="1:7" ht="18.75">
      <c r="B13" s="16">
        <v>45809</v>
      </c>
      <c r="C13" s="1">
        <f>1/12</f>
        <v>8.3333333333333329E-2</v>
      </c>
      <c r="D13" s="1">
        <f>1.4</f>
        <v>1.4</v>
      </c>
      <c r="E13" s="17">
        <f t="shared" ref="E13:E20" si="0">D13/(1+$C$23)^C13</f>
        <v>1.3968734478903404</v>
      </c>
    </row>
    <row r="14" spans="1:7" ht="18.75">
      <c r="B14" s="16">
        <v>45992</v>
      </c>
      <c r="C14" s="1">
        <f>7/12</f>
        <v>0.58333333333333337</v>
      </c>
      <c r="D14" s="1">
        <f t="shared" ref="D14:D19" si="1">1.4</f>
        <v>1.4</v>
      </c>
      <c r="E14" s="17">
        <f t="shared" si="0"/>
        <v>1.3782602206018535</v>
      </c>
    </row>
    <row r="15" spans="1:7" ht="18.75">
      <c r="B15" s="16">
        <v>46174</v>
      </c>
      <c r="C15" s="1">
        <f>13/12</f>
        <v>1.0833333333333333</v>
      </c>
      <c r="D15" s="1">
        <f t="shared" si="1"/>
        <v>1.4</v>
      </c>
      <c r="E15" s="17">
        <f t="shared" si="0"/>
        <v>1.3598950130825274</v>
      </c>
    </row>
    <row r="16" spans="1:7" ht="18.75">
      <c r="B16" s="16">
        <v>46357</v>
      </c>
      <c r="C16" s="1">
        <f>19/12</f>
        <v>1.5833333333333333</v>
      </c>
      <c r="D16" s="1">
        <f t="shared" si="1"/>
        <v>1.4</v>
      </c>
      <c r="E16" s="17">
        <f t="shared" si="0"/>
        <v>1.3417745204887184</v>
      </c>
    </row>
    <row r="17" spans="2:5" ht="18.75">
      <c r="B17" s="16">
        <v>46539</v>
      </c>
      <c r="C17" s="1">
        <f>25/12</f>
        <v>2.0833333333333335</v>
      </c>
      <c r="D17" s="1">
        <f t="shared" si="1"/>
        <v>1.4</v>
      </c>
      <c r="E17" s="17">
        <f t="shared" si="0"/>
        <v>1.3238954820135604</v>
      </c>
    </row>
    <row r="18" spans="2:5" ht="18.75">
      <c r="B18" s="16">
        <v>46722</v>
      </c>
      <c r="C18" s="1">
        <f>31/12</f>
        <v>2.5833333333333335</v>
      </c>
      <c r="D18" s="1">
        <f t="shared" si="1"/>
        <v>1.4</v>
      </c>
      <c r="E18" s="17">
        <f t="shared" si="0"/>
        <v>1.30625468030018</v>
      </c>
    </row>
    <row r="19" spans="2:5" ht="18.75">
      <c r="B19" s="16">
        <v>46905</v>
      </c>
      <c r="C19" s="1">
        <f>37/12</f>
        <v>3.0833333333333335</v>
      </c>
      <c r="D19" s="1">
        <f t="shared" si="1"/>
        <v>1.4</v>
      </c>
      <c r="E19" s="17">
        <f t="shared" si="0"/>
        <v>1.2888489408627262</v>
      </c>
    </row>
    <row r="20" spans="2:5" ht="18.75">
      <c r="B20" s="18">
        <v>47088</v>
      </c>
      <c r="C20" s="19">
        <f>43/12</f>
        <v>3.5833333333333335</v>
      </c>
      <c r="D20" s="19">
        <f>100+1.4</f>
        <v>101.4</v>
      </c>
      <c r="E20" s="20">
        <f t="shared" si="0"/>
        <v>92.105613096880731</v>
      </c>
    </row>
    <row r="21" spans="2:5" ht="18.75">
      <c r="B21" s="1"/>
      <c r="C21" s="1"/>
      <c r="D21" s="1"/>
      <c r="E21" s="1"/>
    </row>
    <row r="22" spans="2:5" ht="18.75">
      <c r="B22" s="1"/>
      <c r="C22" s="1"/>
      <c r="D22" s="1"/>
      <c r="E22" s="1"/>
    </row>
    <row r="23" spans="2:5" ht="18.75">
      <c r="B23" s="7" t="s">
        <v>8</v>
      </c>
      <c r="C23" s="40">
        <f>XIRR(D12:D20,B12:B20)</f>
        <v>2.7192124724388124E-2</v>
      </c>
      <c r="D23" s="39">
        <f>C23</f>
        <v>2.7192124724388124E-2</v>
      </c>
      <c r="E23" s="1"/>
    </row>
    <row r="24" spans="2:5" ht="18.75">
      <c r="B24" s="1"/>
      <c r="C24" s="1"/>
      <c r="D24" s="1"/>
      <c r="E24" s="1"/>
    </row>
    <row r="25" spans="2:5" ht="18.75">
      <c r="B25" s="7" t="s">
        <v>9</v>
      </c>
      <c r="C25" s="33">
        <f>SUM(E12:E20)</f>
        <v>1.4748735453963491E-2</v>
      </c>
      <c r="D25" s="1"/>
      <c r="E25" s="1"/>
    </row>
  </sheetData>
  <mergeCells count="1">
    <mergeCell ref="A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676E-0DD9-412A-90A8-D2ED699D0EBA}">
  <dimension ref="A1:G30"/>
  <sheetViews>
    <sheetView workbookViewId="0">
      <selection activeCell="G9" sqref="G9"/>
    </sheetView>
  </sheetViews>
  <sheetFormatPr defaultRowHeight="15"/>
  <cols>
    <col min="2" max="2" width="26" customWidth="1"/>
    <col min="3" max="3" width="9.7109375" bestFit="1" customWidth="1"/>
    <col min="4" max="4" width="9.42578125" bestFit="1" customWidth="1"/>
    <col min="5" max="5" width="21.28515625" customWidth="1"/>
  </cols>
  <sheetData>
    <row r="1" spans="1:7">
      <c r="A1" s="70" t="s">
        <v>0</v>
      </c>
      <c r="B1" s="70"/>
      <c r="C1" s="70"/>
      <c r="D1" s="70"/>
      <c r="E1" s="70"/>
      <c r="F1" s="70"/>
      <c r="G1" s="70"/>
    </row>
    <row r="2" spans="1:7">
      <c r="A2" s="70"/>
      <c r="B2" s="70"/>
      <c r="C2" s="70"/>
      <c r="D2" s="70"/>
      <c r="E2" s="70"/>
      <c r="F2" s="70"/>
      <c r="G2" s="70"/>
    </row>
    <row r="3" spans="1:7" ht="21">
      <c r="A3" s="70" t="s">
        <v>13</v>
      </c>
      <c r="B3" s="70"/>
      <c r="C3" s="70"/>
      <c r="D3" s="70"/>
      <c r="E3" s="70"/>
      <c r="F3" s="70"/>
      <c r="G3" s="70"/>
    </row>
    <row r="4" spans="1:7" ht="21">
      <c r="A4" s="70"/>
      <c r="B4" s="70"/>
      <c r="C4" s="70"/>
      <c r="D4" s="70"/>
      <c r="E4" s="70"/>
      <c r="F4" s="70"/>
      <c r="G4" s="70"/>
    </row>
    <row r="7" spans="1:7" ht="18.75">
      <c r="B7" s="21" t="s">
        <v>1</v>
      </c>
      <c r="C7" s="22">
        <v>100.32</v>
      </c>
      <c r="D7" s="1"/>
      <c r="E7" s="1"/>
      <c r="F7" s="1"/>
    </row>
    <row r="8" spans="1:7" ht="18.75">
      <c r="B8" s="21" t="s">
        <v>14</v>
      </c>
      <c r="C8" s="22">
        <v>100</v>
      </c>
      <c r="D8" s="1"/>
      <c r="E8" s="1"/>
      <c r="F8" s="1"/>
    </row>
    <row r="9" spans="1:7" ht="18.75">
      <c r="B9" s="21" t="s">
        <v>15</v>
      </c>
      <c r="C9" s="22">
        <v>99.54</v>
      </c>
      <c r="D9" s="1"/>
      <c r="E9" s="1"/>
      <c r="F9" s="1"/>
    </row>
    <row r="10" spans="1:7" ht="18.75">
      <c r="B10" s="21" t="s">
        <v>16</v>
      </c>
      <c r="C10" s="23">
        <f>MAX(0,(C8-C7))</f>
        <v>0</v>
      </c>
      <c r="D10" s="1"/>
      <c r="E10" s="1"/>
      <c r="F10" s="1"/>
    </row>
    <row r="11" spans="1:7" ht="18.75">
      <c r="B11" s="21" t="s">
        <v>17</v>
      </c>
      <c r="C11" s="23">
        <f>MAX(0,(C8-C9))</f>
        <v>0.45999999999999375</v>
      </c>
      <c r="D11" s="1"/>
      <c r="E11" s="1"/>
      <c r="F11" s="1"/>
    </row>
    <row r="12" spans="1:7" ht="18.75">
      <c r="B12" s="7" t="s">
        <v>2</v>
      </c>
      <c r="C12" s="56">
        <f>0.875*1.4%</f>
        <v>1.2249999999999999E-2</v>
      </c>
      <c r="D12" s="1"/>
      <c r="E12" s="1"/>
      <c r="F12" s="1"/>
    </row>
    <row r="13" spans="1:7" ht="18.75">
      <c r="B13" s="1"/>
      <c r="C13" s="1"/>
      <c r="D13" s="1"/>
      <c r="E13" s="1"/>
      <c r="F13" s="1"/>
    </row>
    <row r="14" spans="1:7" ht="18.75">
      <c r="B14" s="1"/>
      <c r="C14" s="1"/>
      <c r="D14" s="1"/>
      <c r="E14" s="1"/>
      <c r="F14" s="1"/>
    </row>
    <row r="15" spans="1:7" ht="18.75">
      <c r="B15" s="10" t="s">
        <v>4</v>
      </c>
      <c r="C15" s="11" t="s">
        <v>5</v>
      </c>
      <c r="D15" s="11" t="s">
        <v>6</v>
      </c>
      <c r="E15" s="12" t="s">
        <v>7</v>
      </c>
      <c r="F15" s="1"/>
    </row>
    <row r="16" spans="1:7" ht="18.75">
      <c r="B16" s="16">
        <v>45809</v>
      </c>
      <c r="C16" s="1">
        <v>0</v>
      </c>
      <c r="D16" s="1">
        <f>-C7</f>
        <v>-100.32</v>
      </c>
      <c r="E16" s="24">
        <f>D16/(1+$C$26)^C16</f>
        <v>-100.32</v>
      </c>
      <c r="F16" s="1"/>
    </row>
    <row r="17" spans="2:6" ht="18.75">
      <c r="B17" s="16">
        <v>45992</v>
      </c>
      <c r="C17" s="1">
        <v>0.5</v>
      </c>
      <c r="D17" s="1">
        <f>1.4-(1.4*0.125)</f>
        <v>1.2249999999999999</v>
      </c>
      <c r="E17" s="24">
        <f t="shared" ref="E17:E23" si="0">D17/(1+$C$26)^C17</f>
        <v>1.2108591626271812</v>
      </c>
      <c r="F17" s="1"/>
    </row>
    <row r="18" spans="2:6" ht="18.75">
      <c r="B18" s="16">
        <v>46174</v>
      </c>
      <c r="C18" s="1">
        <v>1</v>
      </c>
      <c r="D18" s="1">
        <f t="shared" ref="D18:D22" si="1">1.4-(1.4*0.125)</f>
        <v>1.2249999999999999</v>
      </c>
      <c r="E18" s="24">
        <f t="shared" si="0"/>
        <v>1.1968815605862841</v>
      </c>
      <c r="F18" s="1"/>
    </row>
    <row r="19" spans="2:6" ht="18.75">
      <c r="B19" s="16">
        <v>46357</v>
      </c>
      <c r="C19" s="1">
        <v>1.5</v>
      </c>
      <c r="D19" s="1">
        <f t="shared" si="1"/>
        <v>1.2249999999999999</v>
      </c>
      <c r="E19" s="24">
        <f t="shared" si="0"/>
        <v>1.1830653095636097</v>
      </c>
      <c r="F19" s="1"/>
    </row>
    <row r="20" spans="2:6" ht="18.75">
      <c r="B20" s="16">
        <v>46539</v>
      </c>
      <c r="C20" s="1">
        <v>2</v>
      </c>
      <c r="D20" s="1">
        <f t="shared" si="1"/>
        <v>1.2249999999999999</v>
      </c>
      <c r="E20" s="24">
        <f t="shared" si="0"/>
        <v>1.1694085469971094</v>
      </c>
      <c r="F20" s="1"/>
    </row>
    <row r="21" spans="2:6" ht="18.75">
      <c r="B21" s="16">
        <v>46722</v>
      </c>
      <c r="C21" s="1">
        <v>2.5</v>
      </c>
      <c r="D21" s="1">
        <f t="shared" si="1"/>
        <v>1.2249999999999999</v>
      </c>
      <c r="E21" s="24">
        <f t="shared" si="0"/>
        <v>1.1559094318252967</v>
      </c>
      <c r="F21" s="1"/>
    </row>
    <row r="22" spans="2:6" ht="18.75">
      <c r="B22" s="16">
        <v>46905</v>
      </c>
      <c r="C22" s="1">
        <v>3</v>
      </c>
      <c r="D22" s="1">
        <f t="shared" si="1"/>
        <v>1.2249999999999999</v>
      </c>
      <c r="E22" s="24">
        <f t="shared" si="0"/>
        <v>1.1425661442390527</v>
      </c>
      <c r="F22" s="1"/>
    </row>
    <row r="23" spans="2:6" ht="18.75">
      <c r="B23" s="18">
        <v>47088</v>
      </c>
      <c r="C23" s="19">
        <v>3.5</v>
      </c>
      <c r="D23" s="19">
        <f>100+1.4-((1.4+C11+C10)*0.125)</f>
        <v>101.1675</v>
      </c>
      <c r="E23" s="25">
        <f t="shared" si="0"/>
        <v>93.270396781532085</v>
      </c>
      <c r="F23" s="1"/>
    </row>
    <row r="24" spans="2:6" ht="18.75">
      <c r="B24" s="1"/>
      <c r="C24" s="1"/>
      <c r="D24" s="1"/>
      <c r="E24" s="1"/>
      <c r="F24" s="1"/>
    </row>
    <row r="25" spans="2:6" ht="18.75">
      <c r="B25" s="1"/>
      <c r="C25" s="1"/>
      <c r="D25" s="1"/>
      <c r="E25" s="1"/>
      <c r="F25" s="1"/>
    </row>
    <row r="26" spans="2:6" ht="18.75">
      <c r="B26" s="7" t="s">
        <v>8</v>
      </c>
      <c r="C26" s="38">
        <f>XIRR(D16:D23,B16:B23)</f>
        <v>2.3493084311485286E-2</v>
      </c>
      <c r="D26" s="39">
        <f>C26</f>
        <v>2.3493084311485286E-2</v>
      </c>
      <c r="E26" s="1"/>
      <c r="F26" s="1"/>
    </row>
    <row r="27" spans="2:6" ht="18.75">
      <c r="B27" s="2"/>
      <c r="C27" s="2"/>
      <c r="D27" s="1"/>
      <c r="E27" s="1"/>
      <c r="F27" s="1"/>
    </row>
    <row r="28" spans="2:6" ht="18.75">
      <c r="B28" s="7" t="s">
        <v>9</v>
      </c>
      <c r="C28" s="15">
        <f>SUM(E16:E23)</f>
        <v>9.0869373706254919E-3</v>
      </c>
      <c r="D28" s="1"/>
      <c r="E28" s="1"/>
      <c r="F28" s="1"/>
    </row>
    <row r="29" spans="2:6" ht="18.75">
      <c r="B29" s="1"/>
      <c r="C29" s="1"/>
      <c r="D29" s="1"/>
      <c r="E29" s="1"/>
      <c r="F29" s="1"/>
    </row>
    <row r="30" spans="2:6" ht="18.75">
      <c r="B30" s="1"/>
      <c r="C30" s="1"/>
      <c r="D30" s="1"/>
      <c r="E30" s="1"/>
      <c r="F30" s="1"/>
    </row>
  </sheetData>
  <mergeCells count="3">
    <mergeCell ref="A1:G2"/>
    <mergeCell ref="A3:G3"/>
    <mergeCell ref="A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4F69-A64A-4569-B1DC-1DA940EF22B5}">
  <dimension ref="A1:G34"/>
  <sheetViews>
    <sheetView workbookViewId="0">
      <selection activeCell="H8" sqref="H8"/>
    </sheetView>
  </sheetViews>
  <sheetFormatPr defaultRowHeight="15"/>
  <cols>
    <col min="2" max="2" width="31.42578125" customWidth="1"/>
    <col min="3" max="3" width="9.7109375" bestFit="1" customWidth="1"/>
    <col min="4" max="4" width="9.42578125" bestFit="1" customWidth="1"/>
    <col min="5" max="5" width="22" customWidth="1"/>
  </cols>
  <sheetData>
    <row r="1" spans="1:7">
      <c r="A1" s="69" t="s">
        <v>10</v>
      </c>
      <c r="B1" s="69"/>
      <c r="C1" s="69"/>
      <c r="D1" s="69"/>
      <c r="E1" s="69"/>
      <c r="F1" s="69"/>
      <c r="G1" s="69"/>
    </row>
    <row r="2" spans="1:7">
      <c r="A2" s="69"/>
      <c r="B2" s="69"/>
      <c r="C2" s="69"/>
      <c r="D2" s="69"/>
      <c r="E2" s="69"/>
      <c r="F2" s="69"/>
      <c r="G2" s="69"/>
    </row>
    <row r="3" spans="1:7" ht="21">
      <c r="A3" s="71" t="s">
        <v>13</v>
      </c>
      <c r="B3" s="71"/>
      <c r="C3" s="71"/>
      <c r="D3" s="71"/>
      <c r="E3" s="71"/>
      <c r="F3" s="71"/>
      <c r="G3" s="71"/>
    </row>
    <row r="4" spans="1:7" ht="21">
      <c r="A4" s="71"/>
      <c r="B4" s="71"/>
      <c r="C4" s="71"/>
      <c r="D4" s="71"/>
      <c r="E4" s="71"/>
      <c r="F4" s="71"/>
      <c r="G4" s="71"/>
    </row>
    <row r="5" spans="1:7" ht="18.75">
      <c r="A5" s="1"/>
      <c r="B5" s="1"/>
      <c r="C5" s="1"/>
      <c r="D5" s="1"/>
      <c r="E5" s="1"/>
      <c r="F5" s="1"/>
    </row>
    <row r="6" spans="1:7" ht="18.75">
      <c r="A6" s="1"/>
      <c r="B6" s="21" t="s">
        <v>1</v>
      </c>
      <c r="C6" s="22">
        <f>100.32</f>
        <v>100.32</v>
      </c>
      <c r="D6" s="1"/>
      <c r="E6" s="1"/>
      <c r="F6" s="1"/>
    </row>
    <row r="7" spans="1:7" ht="18.75">
      <c r="A7" s="1"/>
      <c r="B7" s="21" t="s">
        <v>18</v>
      </c>
      <c r="C7" s="22">
        <f>(1.4*(1-0.125))*5/6</f>
        <v>1.0208333333333333</v>
      </c>
      <c r="D7" s="1"/>
      <c r="E7" s="1"/>
      <c r="F7" s="1"/>
    </row>
    <row r="8" spans="1:7" ht="18.75">
      <c r="A8" s="1"/>
      <c r="B8" s="21" t="s">
        <v>12</v>
      </c>
      <c r="C8" s="22">
        <f>C6+C7</f>
        <v>101.34083333333332</v>
      </c>
      <c r="D8" s="1"/>
      <c r="E8" s="1"/>
      <c r="F8" s="1"/>
    </row>
    <row r="9" spans="1:7" ht="18.75">
      <c r="A9" s="1"/>
      <c r="B9" s="21" t="s">
        <v>14</v>
      </c>
      <c r="C9" s="22">
        <v>100</v>
      </c>
      <c r="D9" s="1"/>
      <c r="E9" s="1"/>
      <c r="F9" s="1"/>
    </row>
    <row r="10" spans="1:7" ht="18.75">
      <c r="A10" s="1"/>
      <c r="B10" s="21" t="s">
        <v>15</v>
      </c>
      <c r="C10" s="22">
        <v>99.54</v>
      </c>
      <c r="D10" s="1"/>
      <c r="E10" s="1"/>
      <c r="F10" s="1"/>
    </row>
    <row r="11" spans="1:7" ht="18.75">
      <c r="A11" s="1"/>
      <c r="B11" s="21" t="s">
        <v>16</v>
      </c>
      <c r="C11" s="23">
        <f>MAX(0,(C9-C6))</f>
        <v>0</v>
      </c>
      <c r="D11" s="1"/>
      <c r="E11" s="1"/>
      <c r="F11" s="1"/>
    </row>
    <row r="12" spans="1:7" ht="18.75">
      <c r="A12" s="1"/>
      <c r="B12" s="21" t="s">
        <v>17</v>
      </c>
      <c r="C12" s="23">
        <f>MAX(0,(C9-C10))</f>
        <v>0.45999999999999375</v>
      </c>
      <c r="D12" s="1"/>
      <c r="E12" s="1"/>
      <c r="F12" s="1"/>
    </row>
    <row r="13" spans="1:7" ht="18.75">
      <c r="A13" s="1"/>
      <c r="B13" s="7" t="s">
        <v>2</v>
      </c>
      <c r="C13" s="56">
        <f>0.875*1.4%</f>
        <v>1.2249999999999999E-2</v>
      </c>
      <c r="D13" s="1"/>
      <c r="E13" s="1"/>
      <c r="F13" s="1"/>
    </row>
    <row r="14" spans="1:7" ht="18.75">
      <c r="A14" s="1"/>
      <c r="B14" s="2"/>
      <c r="C14" s="2"/>
      <c r="D14" s="1"/>
      <c r="E14" s="1"/>
      <c r="F14" s="1"/>
    </row>
    <row r="15" spans="1:7" ht="18.75">
      <c r="A15" s="1"/>
      <c r="B15" s="1"/>
      <c r="C15" s="1"/>
      <c r="D15" s="1"/>
      <c r="E15" s="1"/>
      <c r="F15" s="1"/>
    </row>
    <row r="16" spans="1:7" ht="18.75">
      <c r="A16" s="1"/>
      <c r="B16" s="26" t="s">
        <v>4</v>
      </c>
      <c r="C16" s="27" t="s">
        <v>5</v>
      </c>
      <c r="D16" s="27" t="s">
        <v>6</v>
      </c>
      <c r="E16" s="22" t="s">
        <v>7</v>
      </c>
      <c r="F16" s="1"/>
    </row>
    <row r="17" spans="1:6" ht="18.75">
      <c r="A17" s="1"/>
      <c r="B17" s="16">
        <v>45778</v>
      </c>
      <c r="C17" s="1">
        <f>0</f>
        <v>0</v>
      </c>
      <c r="D17" s="1">
        <f>-C8</f>
        <v>-101.34083333333332</v>
      </c>
      <c r="E17" s="24">
        <f>D17/(1+$C$28)^C17</f>
        <v>-101.34083333333332</v>
      </c>
      <c r="F17" s="1"/>
    </row>
    <row r="18" spans="1:6" ht="18.75">
      <c r="A18" s="1"/>
      <c r="B18" s="16">
        <v>45809</v>
      </c>
      <c r="C18" s="1">
        <f>1/12</f>
        <v>8.3333333333333329E-2</v>
      </c>
      <c r="D18" s="1">
        <f>1.4-(1.4*0.125)</f>
        <v>1.2249999999999999</v>
      </c>
      <c r="E18" s="24">
        <f t="shared" ref="E18:E25" si="0">D18/(1+$C$28)^C18</f>
        <v>1.2226305746484367</v>
      </c>
      <c r="F18" s="1"/>
    </row>
    <row r="19" spans="1:6" ht="18.75">
      <c r="A19" s="1"/>
      <c r="B19" s="16">
        <v>45992</v>
      </c>
      <c r="C19" s="1">
        <f>7/12</f>
        <v>0.58333333333333337</v>
      </c>
      <c r="D19" s="1">
        <f t="shared" ref="D19:D25" si="1">1.4-(1.4*0.125)</f>
        <v>1.2249999999999999</v>
      </c>
      <c r="E19" s="24">
        <f t="shared" si="0"/>
        <v>1.2085099559047219</v>
      </c>
      <c r="F19" s="1"/>
    </row>
    <row r="20" spans="1:6" ht="18.75">
      <c r="A20" s="1"/>
      <c r="B20" s="16">
        <v>46174</v>
      </c>
      <c r="C20" s="1">
        <f>13/12</f>
        <v>1.0833333333333333</v>
      </c>
      <c r="D20" s="1">
        <f t="shared" si="1"/>
        <v>1.2249999999999999</v>
      </c>
      <c r="E20" s="24">
        <f t="shared" si="0"/>
        <v>1.1945524214792302</v>
      </c>
      <c r="F20" s="1"/>
    </row>
    <row r="21" spans="1:6" ht="18.75">
      <c r="A21" s="1"/>
      <c r="B21" s="16">
        <v>46357</v>
      </c>
      <c r="C21" s="1">
        <f>19/12</f>
        <v>1.5833333333333333</v>
      </c>
      <c r="D21" s="1">
        <f t="shared" si="1"/>
        <v>1.2249999999999999</v>
      </c>
      <c r="E21" s="24">
        <f t="shared" si="0"/>
        <v>1.1807560878500474</v>
      </c>
      <c r="F21" s="1"/>
    </row>
    <row r="22" spans="1:6" ht="18.75">
      <c r="A22" s="1"/>
      <c r="B22" s="16">
        <v>46539</v>
      </c>
      <c r="C22" s="1">
        <f>25/12</f>
        <v>2.0833333333333335</v>
      </c>
      <c r="D22" s="1">
        <f t="shared" si="1"/>
        <v>1.2249999999999999</v>
      </c>
      <c r="E22" s="24">
        <f t="shared" si="0"/>
        <v>1.167119093248759</v>
      </c>
      <c r="F22" s="1"/>
    </row>
    <row r="23" spans="1:6" ht="18.75">
      <c r="A23" s="1"/>
      <c r="B23" s="16">
        <v>46722</v>
      </c>
      <c r="C23" s="1">
        <f>31/12</f>
        <v>2.5833333333333335</v>
      </c>
      <c r="D23" s="1">
        <f t="shared" si="1"/>
        <v>1.2249999999999999</v>
      </c>
      <c r="E23" s="24">
        <f t="shared" si="0"/>
        <v>1.1536395974092124</v>
      </c>
      <c r="F23" s="1"/>
    </row>
    <row r="24" spans="1:6" ht="18.75">
      <c r="A24" s="1"/>
      <c r="B24" s="16">
        <v>46905</v>
      </c>
      <c r="C24" s="1">
        <f>37/12</f>
        <v>3.0833333333333335</v>
      </c>
      <c r="D24" s="1">
        <f t="shared" si="1"/>
        <v>1.2249999999999999</v>
      </c>
      <c r="E24" s="24">
        <f t="shared" si="0"/>
        <v>1.1403157813191787</v>
      </c>
      <c r="F24" s="1"/>
    </row>
    <row r="25" spans="1:6" ht="18.75">
      <c r="A25" s="1"/>
      <c r="B25" s="18">
        <v>47088</v>
      </c>
      <c r="C25" s="19">
        <f>43/12</f>
        <v>3.5833333333333335</v>
      </c>
      <c r="D25" s="19">
        <f>100+1.4-((1.4+C12+C11)*0.125)</f>
        <v>101.1675</v>
      </c>
      <c r="E25" s="25">
        <f t="shared" si="0"/>
        <v>93.086144876597075</v>
      </c>
      <c r="F25" s="1"/>
    </row>
    <row r="26" spans="1:6" ht="18.75">
      <c r="A26" s="1"/>
      <c r="B26" s="1"/>
      <c r="C26" s="1"/>
      <c r="D26" s="1"/>
      <c r="E26" s="1"/>
      <c r="F26" s="1"/>
    </row>
    <row r="27" spans="1:6" ht="18.75">
      <c r="A27" s="1"/>
      <c r="B27" s="1"/>
      <c r="C27" s="1"/>
      <c r="D27" s="1"/>
      <c r="E27" s="1"/>
      <c r="F27" s="1"/>
    </row>
    <row r="28" spans="1:6" ht="18.75">
      <c r="A28" s="1"/>
      <c r="B28" s="7" t="s">
        <v>8</v>
      </c>
      <c r="C28" s="38">
        <f>XIRR(D17:D25,B17:B25)</f>
        <v>2.3505166172981262E-2</v>
      </c>
      <c r="D28" s="39">
        <f>C28</f>
        <v>2.3505166172981262E-2</v>
      </c>
      <c r="E28" s="1"/>
      <c r="F28" s="1"/>
    </row>
    <row r="29" spans="1:6" ht="18.75">
      <c r="A29" s="1"/>
      <c r="B29" s="1"/>
      <c r="C29" s="1"/>
      <c r="D29" s="1"/>
      <c r="E29" s="1"/>
      <c r="F29" s="1"/>
    </row>
    <row r="30" spans="1:6" ht="18.75">
      <c r="A30" s="1"/>
      <c r="B30" s="7" t="s">
        <v>9</v>
      </c>
      <c r="C30" s="15">
        <f>SUM(E17:E25)</f>
        <v>1.2835055123318284E-2</v>
      </c>
      <c r="D30" s="1"/>
      <c r="E30" s="1"/>
      <c r="F30" s="1"/>
    </row>
    <row r="31" spans="1:6" ht="18.75">
      <c r="A31" s="1"/>
      <c r="B31" s="1"/>
      <c r="C31" s="1"/>
      <c r="D31" s="1"/>
      <c r="E31" s="1"/>
      <c r="F31" s="1"/>
    </row>
    <row r="32" spans="1:6" ht="18.75">
      <c r="A32" s="1"/>
      <c r="B32" s="1"/>
      <c r="C32" s="1"/>
      <c r="D32" s="1"/>
      <c r="E32" s="1"/>
      <c r="F32" s="1"/>
    </row>
    <row r="33" spans="1:6" ht="18.75">
      <c r="A33" s="1"/>
      <c r="B33" s="1"/>
      <c r="C33" s="1"/>
      <c r="D33" s="1"/>
      <c r="E33" s="1"/>
      <c r="F33" s="1"/>
    </row>
    <row r="34" spans="1:6" ht="18.75">
      <c r="A34" s="1"/>
      <c r="B34" s="1"/>
      <c r="C34" s="1"/>
      <c r="D34" s="1"/>
      <c r="E34" s="1"/>
      <c r="F34" s="1"/>
    </row>
  </sheetData>
  <mergeCells count="3">
    <mergeCell ref="A1:G2"/>
    <mergeCell ref="A3:G3"/>
    <mergeCell ref="A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8D146-AEC6-4B4E-A231-36294A7B65BB}">
  <dimension ref="A1:V35"/>
  <sheetViews>
    <sheetView topLeftCell="E1" workbookViewId="0">
      <selection activeCell="B13" sqref="B13"/>
    </sheetView>
  </sheetViews>
  <sheetFormatPr defaultRowHeight="15"/>
  <cols>
    <col min="2" max="2" width="28.28515625" customWidth="1"/>
    <col min="3" max="3" width="14.85546875" customWidth="1"/>
    <col min="4" max="4" width="11.7109375" customWidth="1"/>
    <col min="5" max="5" width="21.42578125" customWidth="1"/>
    <col min="8" max="8" width="28.140625" customWidth="1"/>
    <col min="9" max="9" width="14.42578125" customWidth="1"/>
    <col min="10" max="10" width="12.140625" customWidth="1"/>
    <col min="11" max="11" width="21" customWidth="1"/>
    <col min="14" max="14" width="28" customWidth="1"/>
    <col min="15" max="15" width="14.85546875" customWidth="1"/>
    <col min="16" max="16" width="12.42578125" customWidth="1"/>
    <col min="17" max="17" width="21" customWidth="1"/>
  </cols>
  <sheetData>
    <row r="1" spans="1:22">
      <c r="A1" s="69" t="s">
        <v>10</v>
      </c>
      <c r="B1" s="69"/>
      <c r="C1" s="69"/>
      <c r="D1" s="69"/>
      <c r="E1" s="69"/>
      <c r="F1" s="69"/>
      <c r="G1" s="69"/>
    </row>
    <row r="2" spans="1:22">
      <c r="A2" s="69"/>
      <c r="B2" s="69"/>
      <c r="C2" s="69"/>
      <c r="D2" s="69"/>
      <c r="E2" s="69"/>
      <c r="F2" s="69"/>
      <c r="G2" s="69"/>
    </row>
    <row r="3" spans="1:22" ht="21">
      <c r="A3" s="69" t="s">
        <v>19</v>
      </c>
      <c r="B3" s="69"/>
      <c r="C3" s="69"/>
      <c r="D3" s="69"/>
      <c r="E3" s="69"/>
      <c r="F3" s="69"/>
      <c r="G3" s="69"/>
    </row>
    <row r="4" spans="1:22" ht="21">
      <c r="A4" s="69"/>
      <c r="B4" s="69"/>
      <c r="C4" s="69"/>
      <c r="D4" s="69"/>
      <c r="E4" s="69"/>
      <c r="F4" s="69"/>
      <c r="G4" s="69"/>
    </row>
    <row r="6" spans="1:22" ht="18.7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75">
      <c r="B7" s="29" t="s">
        <v>20</v>
      </c>
      <c r="C7" s="2"/>
      <c r="D7" s="1"/>
      <c r="E7" s="1"/>
      <c r="F7" s="1"/>
      <c r="G7" s="1"/>
      <c r="H7" s="29" t="s">
        <v>21</v>
      </c>
      <c r="I7" s="2"/>
      <c r="J7" s="1"/>
      <c r="K7" s="1"/>
      <c r="L7" s="1"/>
      <c r="M7" s="1"/>
      <c r="N7" s="29" t="s">
        <v>22</v>
      </c>
      <c r="O7" s="2"/>
      <c r="P7" s="1"/>
      <c r="Q7" s="1"/>
      <c r="R7" s="1"/>
      <c r="S7" s="1"/>
      <c r="T7" s="1"/>
      <c r="U7" s="1"/>
      <c r="V7" s="1"/>
    </row>
    <row r="8" spans="1:22" ht="18.75">
      <c r="B8" s="2"/>
      <c r="C8" s="2"/>
      <c r="D8" s="1"/>
      <c r="E8" s="1"/>
      <c r="F8" s="1"/>
      <c r="G8" s="1"/>
      <c r="H8" s="2"/>
      <c r="I8" s="2"/>
      <c r="J8" s="1"/>
      <c r="K8" s="1"/>
      <c r="L8" s="1"/>
      <c r="M8" s="1"/>
      <c r="N8" s="2"/>
      <c r="O8" s="2"/>
      <c r="P8" s="1"/>
      <c r="Q8" s="1"/>
      <c r="R8" s="1"/>
      <c r="S8" s="1"/>
      <c r="T8" s="1"/>
      <c r="U8" s="1"/>
      <c r="V8" s="1"/>
    </row>
    <row r="9" spans="1:22" ht="18.75">
      <c r="B9" s="21" t="s">
        <v>23</v>
      </c>
      <c r="C9" s="12">
        <v>1</v>
      </c>
      <c r="D9" s="1"/>
      <c r="E9" s="1"/>
      <c r="F9" s="1"/>
      <c r="G9" s="1"/>
      <c r="H9" s="21" t="s">
        <v>24</v>
      </c>
      <c r="I9" s="22">
        <v>1</v>
      </c>
      <c r="J9" s="1"/>
      <c r="K9" s="1"/>
      <c r="L9" s="1"/>
      <c r="M9" s="1"/>
      <c r="N9" s="21" t="s">
        <v>24</v>
      </c>
      <c r="O9" s="22">
        <v>1</v>
      </c>
      <c r="P9" s="1"/>
      <c r="Q9" s="1"/>
      <c r="R9" s="1"/>
      <c r="S9" s="1"/>
      <c r="T9" s="1"/>
      <c r="U9" s="1"/>
      <c r="V9" s="1"/>
    </row>
    <row r="10" spans="1:22" ht="18.75">
      <c r="B10" s="21" t="s">
        <v>2</v>
      </c>
      <c r="C10" s="52">
        <v>0.01</v>
      </c>
      <c r="D10" s="1"/>
      <c r="E10" s="1"/>
      <c r="F10" s="1"/>
      <c r="G10" s="1"/>
      <c r="H10" s="21" t="s">
        <v>2</v>
      </c>
      <c r="I10" s="52">
        <v>3.2500000000000001E-2</v>
      </c>
      <c r="J10" s="1"/>
      <c r="K10" s="1"/>
      <c r="L10" s="1"/>
      <c r="M10" s="1"/>
      <c r="N10" s="21" t="s">
        <v>2</v>
      </c>
      <c r="O10" s="52">
        <v>0.02</v>
      </c>
      <c r="P10" s="1"/>
      <c r="Q10" s="1"/>
      <c r="R10" s="1"/>
      <c r="S10" s="1"/>
      <c r="T10" s="1"/>
      <c r="U10" s="1"/>
      <c r="V10" s="1"/>
    </row>
    <row r="11" spans="1:22" ht="18.75">
      <c r="B11" s="7" t="s">
        <v>25</v>
      </c>
      <c r="C11" s="30">
        <f>99.854</f>
        <v>99.853999999999999</v>
      </c>
      <c r="D11" s="1"/>
      <c r="E11" s="1"/>
      <c r="F11" s="1"/>
      <c r="G11" s="1"/>
      <c r="H11" s="21" t="s">
        <v>25</v>
      </c>
      <c r="I11" s="62">
        <f>110.03+I12</f>
        <v>110.03</v>
      </c>
      <c r="J11" s="1"/>
      <c r="K11" s="1"/>
      <c r="L11" s="1"/>
      <c r="M11" s="1"/>
      <c r="N11" s="21" t="s">
        <v>25</v>
      </c>
      <c r="O11" s="62">
        <f>103.76</f>
        <v>103.76</v>
      </c>
      <c r="P11" s="1"/>
      <c r="Q11" s="1"/>
      <c r="R11" s="1"/>
      <c r="S11" s="1"/>
      <c r="T11" s="1"/>
      <c r="U11" s="1"/>
      <c r="V11" s="1"/>
    </row>
    <row r="12" spans="1:22" ht="18.75">
      <c r="B12" s="28" t="s">
        <v>18</v>
      </c>
      <c r="C12" s="63">
        <f>1*5/6</f>
        <v>0.83333333333333337</v>
      </c>
      <c r="D12" s="1"/>
      <c r="E12" s="1"/>
      <c r="F12" s="1"/>
      <c r="G12" s="1"/>
      <c r="H12" s="21" t="s">
        <v>18</v>
      </c>
      <c r="I12" s="59">
        <v>0</v>
      </c>
      <c r="J12" s="1"/>
      <c r="K12" s="1"/>
      <c r="L12" s="1"/>
      <c r="M12" s="1"/>
      <c r="N12" s="21" t="s">
        <v>18</v>
      </c>
      <c r="O12" s="62">
        <f>2*11/12</f>
        <v>1.8333333333333333</v>
      </c>
      <c r="P12" s="1"/>
      <c r="Q12" s="1"/>
      <c r="R12" s="1"/>
      <c r="S12" s="1"/>
      <c r="T12" s="1"/>
      <c r="U12" s="1"/>
      <c r="V12" s="1"/>
    </row>
    <row r="13" spans="1:22" ht="18.75">
      <c r="B13" s="7" t="s">
        <v>26</v>
      </c>
      <c r="C13" s="60">
        <f>C11+C12</f>
        <v>100.68733333333333</v>
      </c>
      <c r="D13" s="1"/>
      <c r="E13" s="1"/>
      <c r="F13" s="1"/>
      <c r="G13" s="1"/>
      <c r="H13" s="7" t="s">
        <v>26</v>
      </c>
      <c r="I13" s="61">
        <f>I11+I12</f>
        <v>110.03</v>
      </c>
      <c r="J13" s="1"/>
      <c r="K13" s="1"/>
      <c r="L13" s="1"/>
      <c r="M13" s="1"/>
      <c r="N13" s="7" t="s">
        <v>26</v>
      </c>
      <c r="O13" s="61">
        <f>O11+O12</f>
        <v>105.59333333333333</v>
      </c>
      <c r="P13" s="1"/>
      <c r="Q13" s="1"/>
      <c r="R13" s="1"/>
      <c r="S13" s="1"/>
      <c r="T13" s="1"/>
      <c r="U13" s="1"/>
      <c r="V13" s="1"/>
    </row>
    <row r="14" spans="1:22" ht="18.7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18.7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18.75">
      <c r="B16" s="10" t="s">
        <v>4</v>
      </c>
      <c r="C16" s="11" t="s">
        <v>5</v>
      </c>
      <c r="D16" s="11" t="s">
        <v>6</v>
      </c>
      <c r="E16" s="12" t="s">
        <v>7</v>
      </c>
      <c r="F16" s="1"/>
      <c r="G16" s="1"/>
      <c r="H16" s="10" t="s">
        <v>4</v>
      </c>
      <c r="I16" s="11" t="s">
        <v>5</v>
      </c>
      <c r="J16" s="11" t="s">
        <v>6</v>
      </c>
      <c r="K16" s="12" t="s">
        <v>7</v>
      </c>
      <c r="L16" s="1"/>
      <c r="M16" s="1"/>
      <c r="N16" s="26" t="s">
        <v>4</v>
      </c>
      <c r="O16" s="27" t="s">
        <v>5</v>
      </c>
      <c r="P16" s="27" t="s">
        <v>6</v>
      </c>
      <c r="Q16" s="22" t="s">
        <v>7</v>
      </c>
      <c r="R16" s="1"/>
      <c r="S16" s="1"/>
      <c r="T16" s="1"/>
      <c r="U16" s="1"/>
      <c r="V16" s="1"/>
    </row>
    <row r="17" spans="2:22" ht="18.75">
      <c r="B17" s="16">
        <v>45778</v>
      </c>
      <c r="C17" s="1">
        <v>0</v>
      </c>
      <c r="D17" s="1">
        <f>-C13</f>
        <v>-100.68733333333333</v>
      </c>
      <c r="E17" s="24">
        <f>D17/(1+$C$22)^C17</f>
        <v>-100.68733333333333</v>
      </c>
      <c r="F17" s="1"/>
      <c r="G17" s="1"/>
      <c r="H17" s="16">
        <v>45778</v>
      </c>
      <c r="I17" s="1">
        <v>0</v>
      </c>
      <c r="J17" s="58">
        <f>-I13</f>
        <v>-110.03</v>
      </c>
      <c r="K17" s="24">
        <f>J17/(1+$I$25)^I17</f>
        <v>-110.03</v>
      </c>
      <c r="L17" s="1"/>
      <c r="M17" s="1"/>
      <c r="N17" s="16">
        <v>45778</v>
      </c>
      <c r="O17" s="1">
        <v>0</v>
      </c>
      <c r="P17" s="1">
        <f>-O13</f>
        <v>-105.59333333333333</v>
      </c>
      <c r="Q17" s="24">
        <f>P17/(1+$O$32)^O17</f>
        <v>-105.59333333333333</v>
      </c>
      <c r="R17" s="1"/>
      <c r="S17" s="1"/>
      <c r="T17" s="1"/>
      <c r="U17" s="1"/>
      <c r="V17" s="1"/>
    </row>
    <row r="18" spans="2:22" ht="18.75">
      <c r="B18" s="16">
        <v>45809</v>
      </c>
      <c r="C18" s="1">
        <f>1/12</f>
        <v>8.3333333333333329E-2</v>
      </c>
      <c r="D18" s="1">
        <f>1</f>
        <v>1</v>
      </c>
      <c r="E18" s="24">
        <f>D18/(1+$C$22)^C18</f>
        <v>0.99814503653845321</v>
      </c>
      <c r="F18" s="1"/>
      <c r="G18" s="1"/>
      <c r="H18" s="16">
        <v>45962</v>
      </c>
      <c r="I18" s="1">
        <v>0.5</v>
      </c>
      <c r="J18" s="1">
        <f>100*0.0325</f>
        <v>3.25</v>
      </c>
      <c r="K18" s="24">
        <f>J18/(1+$I$25)^I18</f>
        <v>3.2123851940331258</v>
      </c>
      <c r="L18" s="1"/>
      <c r="M18" s="1"/>
      <c r="N18" s="16">
        <v>45792</v>
      </c>
      <c r="O18" s="1">
        <f>1/24</f>
        <v>4.1666666666666664E-2</v>
      </c>
      <c r="P18" s="1">
        <f>2</f>
        <v>2</v>
      </c>
      <c r="Q18" s="24">
        <f t="shared" ref="Q18:Q29" si="0">P18/(1+$O$32)^O18</f>
        <v>1.9973144849379127</v>
      </c>
      <c r="R18" s="1"/>
      <c r="S18" s="1"/>
      <c r="T18" s="1"/>
      <c r="U18" s="1"/>
      <c r="V18" s="1"/>
    </row>
    <row r="19" spans="2:22" ht="18.75">
      <c r="B19" s="18">
        <v>45992</v>
      </c>
      <c r="C19" s="19">
        <f>7/12</f>
        <v>0.58333333333333337</v>
      </c>
      <c r="D19" s="19">
        <f>100+1</f>
        <v>101</v>
      </c>
      <c r="E19" s="25">
        <f>D19/(1+$C$22)^C19</f>
        <v>99.695816438073379</v>
      </c>
      <c r="F19" s="1"/>
      <c r="G19" s="1"/>
      <c r="H19" s="16">
        <v>46143</v>
      </c>
      <c r="I19" s="1">
        <v>1</v>
      </c>
      <c r="J19" s="1">
        <f t="shared" ref="J19:J21" si="1">100*0.0325</f>
        <v>3.25</v>
      </c>
      <c r="K19" s="24">
        <f>J19/(1+$I$25)^I19</f>
        <v>3.1752057337979207</v>
      </c>
      <c r="L19" s="1"/>
      <c r="M19" s="1"/>
      <c r="N19" s="16">
        <v>45976</v>
      </c>
      <c r="O19" s="1">
        <f>13/24</f>
        <v>0.54166666666666663</v>
      </c>
      <c r="P19" s="1">
        <f>2</f>
        <v>2</v>
      </c>
      <c r="Q19" s="24">
        <f t="shared" si="0"/>
        <v>1.9653681916794687</v>
      </c>
      <c r="R19" s="1"/>
      <c r="S19" s="1"/>
      <c r="T19" s="1"/>
      <c r="U19" s="1"/>
      <c r="V19" s="1"/>
    </row>
    <row r="20" spans="2:22" ht="18.75">
      <c r="B20" s="1"/>
      <c r="C20" s="1"/>
      <c r="D20" s="1"/>
      <c r="E20" s="1"/>
      <c r="F20" s="1"/>
      <c r="G20" s="1"/>
      <c r="H20" s="16">
        <v>46327</v>
      </c>
      <c r="I20" s="1">
        <v>1.5</v>
      </c>
      <c r="J20" s="1">
        <f t="shared" si="1"/>
        <v>3.25</v>
      </c>
      <c r="K20" s="24">
        <f>J20/(1+$I$25)^I20</f>
        <v>3.1384565806958542</v>
      </c>
      <c r="L20" s="1"/>
      <c r="M20" s="1"/>
      <c r="N20" s="16">
        <v>46157</v>
      </c>
      <c r="O20" s="1">
        <f>25/24</f>
        <v>1.0416666666666667</v>
      </c>
      <c r="P20" s="1">
        <f>2</f>
        <v>2</v>
      </c>
      <c r="Q20" s="24">
        <f t="shared" si="0"/>
        <v>1.9339328673548861</v>
      </c>
      <c r="R20" s="1"/>
      <c r="S20" s="1"/>
      <c r="T20" s="1"/>
      <c r="U20" s="1"/>
      <c r="V20" s="1"/>
    </row>
    <row r="21" spans="2:22" ht="18.75">
      <c r="B21" s="1"/>
      <c r="C21" s="1"/>
      <c r="D21" s="1"/>
      <c r="E21" s="1"/>
      <c r="F21" s="1"/>
      <c r="G21" s="1"/>
      <c r="H21" s="16">
        <v>46508</v>
      </c>
      <c r="I21" s="1">
        <v>2</v>
      </c>
      <c r="J21" s="1">
        <f>100*0.0325</f>
        <v>3.25</v>
      </c>
      <c r="K21" s="24">
        <f>J21/(1+$I$25)^I21</f>
        <v>3.1021327544440593</v>
      </c>
      <c r="L21" s="1"/>
      <c r="M21" s="1"/>
      <c r="N21" s="16">
        <v>46341</v>
      </c>
      <c r="O21" s="1">
        <f>37/24</f>
        <v>1.5416666666666667</v>
      </c>
      <c r="P21" s="1">
        <f>2</f>
        <v>2</v>
      </c>
      <c r="Q21" s="24">
        <f t="shared" si="0"/>
        <v>1.903000339208432</v>
      </c>
      <c r="R21" s="1"/>
      <c r="S21" s="1"/>
      <c r="T21" s="1"/>
      <c r="U21" s="1"/>
      <c r="V21" s="1"/>
    </row>
    <row r="22" spans="2:22" ht="18.75">
      <c r="B22" s="7" t="s">
        <v>8</v>
      </c>
      <c r="C22" s="38">
        <f>XIRR(D17:D19,B17:B19)</f>
        <v>2.2530290484428412E-2</v>
      </c>
      <c r="D22" s="39">
        <f>C22</f>
        <v>2.2530290484428412E-2</v>
      </c>
      <c r="E22" s="1"/>
      <c r="F22" s="1"/>
      <c r="G22" s="1"/>
      <c r="H22" s="18">
        <v>46692</v>
      </c>
      <c r="I22" s="19">
        <v>2.5</v>
      </c>
      <c r="J22" s="19">
        <f>100+100*0.0325</f>
        <v>103.25</v>
      </c>
      <c r="K22" s="25">
        <f t="shared" ref="K18:K22" si="2">J22/(1+$I$25)^I22</f>
        <v>97.411747252412638</v>
      </c>
      <c r="L22" s="1"/>
      <c r="M22" s="1"/>
      <c r="N22" s="16">
        <v>46522</v>
      </c>
      <c r="O22" s="1">
        <f>49/24</f>
        <v>2.0416666666666665</v>
      </c>
      <c r="P22" s="1">
        <f>2</f>
        <v>2</v>
      </c>
      <c r="Q22" s="24">
        <f t="shared" si="0"/>
        <v>1.8725625652045241</v>
      </c>
      <c r="R22" s="1"/>
      <c r="S22" s="1"/>
      <c r="T22" s="1"/>
      <c r="U22" s="1"/>
      <c r="V22" s="1"/>
    </row>
    <row r="23" spans="2:22" ht="18.75"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6">
        <v>46706</v>
      </c>
      <c r="O23" s="1">
        <f>61/24</f>
        <v>2.5416666666666665</v>
      </c>
      <c r="P23" s="1">
        <f>2</f>
        <v>2</v>
      </c>
      <c r="Q23" s="24">
        <f t="shared" si="0"/>
        <v>1.8426116319369135</v>
      </c>
      <c r="R23" s="1"/>
      <c r="S23" s="1"/>
      <c r="T23" s="1"/>
      <c r="U23" s="1"/>
      <c r="V23" s="1"/>
    </row>
    <row r="24" spans="2:22" ht="18.75">
      <c r="B24" s="7" t="s">
        <v>9</v>
      </c>
      <c r="C24" s="15">
        <f>SUM(E17:E19)</f>
        <v>6.6281412785116345E-3</v>
      </c>
      <c r="D24" s="1"/>
      <c r="E24" s="1"/>
      <c r="F24" s="1"/>
      <c r="G24" s="1"/>
      <c r="J24" s="1"/>
      <c r="K24" s="1"/>
      <c r="L24" s="1"/>
      <c r="M24" s="1"/>
      <c r="N24" s="16">
        <v>46888</v>
      </c>
      <c r="O24" s="1">
        <f>73/24</f>
        <v>3.0416666666666665</v>
      </c>
      <c r="P24" s="1">
        <f>2</f>
        <v>2</v>
      </c>
      <c r="Q24" s="24">
        <f t="shared" si="0"/>
        <v>1.8131397525713029</v>
      </c>
      <c r="R24" s="1"/>
      <c r="S24" s="1"/>
      <c r="T24" s="1"/>
      <c r="U24" s="1"/>
      <c r="V24" s="1"/>
    </row>
    <row r="25" spans="2:22" ht="18.75">
      <c r="B25" s="1"/>
      <c r="C25" s="1"/>
      <c r="D25" s="1"/>
      <c r="E25" s="1"/>
      <c r="F25" s="1"/>
      <c r="G25" s="1"/>
      <c r="H25" s="7" t="s">
        <v>8</v>
      </c>
      <c r="I25" s="38">
        <f>XIRR(J17:J22,H17:H22)</f>
        <v>2.3555722832679749E-2</v>
      </c>
      <c r="J25" s="39">
        <f>I25</f>
        <v>2.3555722832679749E-2</v>
      </c>
      <c r="K25" s="1"/>
      <c r="L25" s="1"/>
      <c r="M25" s="1"/>
      <c r="N25" s="16">
        <v>47072</v>
      </c>
      <c r="O25" s="1">
        <f>85/24</f>
        <v>3.5416666666666665</v>
      </c>
      <c r="P25" s="1">
        <f>2</f>
        <v>2</v>
      </c>
      <c r="Q25" s="24">
        <f t="shared" si="0"/>
        <v>1.7841392648208796</v>
      </c>
      <c r="R25" s="1"/>
      <c r="S25" s="1"/>
      <c r="T25" s="1"/>
      <c r="U25" s="1"/>
      <c r="V25" s="1"/>
    </row>
    <row r="26" spans="2:22" ht="18.75">
      <c r="B26" s="1"/>
      <c r="C26" s="1"/>
      <c r="D26" s="1"/>
      <c r="E26" s="1"/>
      <c r="F26" s="1"/>
      <c r="G26" s="1"/>
      <c r="H26" s="2"/>
      <c r="I26" s="2"/>
      <c r="J26" s="1"/>
      <c r="K26" s="1"/>
      <c r="L26" s="1"/>
      <c r="M26" s="1"/>
      <c r="N26" s="16">
        <v>47253</v>
      </c>
      <c r="O26" s="1">
        <f>97/24</f>
        <v>4.041666666666667</v>
      </c>
      <c r="P26" s="1">
        <f>2</f>
        <v>2</v>
      </c>
      <c r="Q26" s="24">
        <f t="shared" si="0"/>
        <v>1.7556026289542226</v>
      </c>
      <c r="R26" s="1"/>
      <c r="S26" s="1"/>
      <c r="T26" s="1"/>
      <c r="U26" s="1"/>
      <c r="V26" s="1"/>
    </row>
    <row r="27" spans="2:22" ht="18.75">
      <c r="B27" s="1"/>
      <c r="C27" s="1"/>
      <c r="D27" s="1"/>
      <c r="E27" s="1"/>
      <c r="F27" s="1"/>
      <c r="G27" s="1"/>
      <c r="H27" s="7" t="s">
        <v>9</v>
      </c>
      <c r="I27" s="15">
        <f>SUM(K17:K22)</f>
        <v>9.9275153836089203E-3</v>
      </c>
      <c r="J27" s="1"/>
      <c r="K27" s="1"/>
      <c r="L27" s="1"/>
      <c r="M27" s="1"/>
      <c r="N27" s="16">
        <v>47437</v>
      </c>
      <c r="O27" s="1">
        <f>109/24</f>
        <v>4.541666666666667</v>
      </c>
      <c r="P27" s="1">
        <f>2</f>
        <v>2</v>
      </c>
      <c r="Q27" s="24">
        <f t="shared" si="0"/>
        <v>1.7275224258350776</v>
      </c>
      <c r="R27" s="1"/>
      <c r="S27" s="1"/>
      <c r="T27" s="1"/>
      <c r="U27" s="1"/>
      <c r="V27" s="1"/>
    </row>
    <row r="28" spans="2:22" ht="18.75">
      <c r="N28" s="16">
        <v>47618</v>
      </c>
      <c r="O28" s="1">
        <f>121/24</f>
        <v>5.041666666666667</v>
      </c>
      <c r="P28" s="1">
        <f>2</f>
        <v>2</v>
      </c>
      <c r="Q28" s="24">
        <f t="shared" si="0"/>
        <v>1.6998913549934811</v>
      </c>
    </row>
    <row r="29" spans="2:22" ht="18.75">
      <c r="N29" s="18">
        <v>47802</v>
      </c>
      <c r="O29" s="19">
        <f>133/24</f>
        <v>5.541666666666667</v>
      </c>
      <c r="P29" s="19">
        <f>100+2</f>
        <v>102</v>
      </c>
      <c r="Q29" s="25">
        <f t="shared" si="0"/>
        <v>85.307813869114668</v>
      </c>
    </row>
    <row r="30" spans="2:22" ht="18.75">
      <c r="N30" s="1"/>
      <c r="O30" s="1"/>
    </row>
    <row r="32" spans="2:22" ht="18.75">
      <c r="N32" s="7" t="s">
        <v>8</v>
      </c>
      <c r="O32" s="38">
        <f>XIRR(P17:P29,N17:N29)</f>
        <v>3.2773432135581981E-2</v>
      </c>
      <c r="P32" s="39">
        <f>O32</f>
        <v>3.2773432135581981E-2</v>
      </c>
    </row>
    <row r="33" spans="14:15" ht="18.75">
      <c r="N33" s="2"/>
      <c r="O33" s="2"/>
    </row>
    <row r="34" spans="14:15" ht="18.75">
      <c r="N34" s="7" t="s">
        <v>9</v>
      </c>
      <c r="O34" s="15">
        <f>SUM(Q17:Q29)</f>
        <v>9.5660432784399063E-3</v>
      </c>
    </row>
    <row r="35" spans="14:15" ht="18.75">
      <c r="N35" s="1"/>
      <c r="O35" s="1"/>
    </row>
  </sheetData>
  <mergeCells count="3">
    <mergeCell ref="A1:G2"/>
    <mergeCell ref="A3:G3"/>
    <mergeCell ref="A4:G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525-0234-42ED-BDC6-F357BC05C944}">
  <dimension ref="A1:V39"/>
  <sheetViews>
    <sheetView topLeftCell="E1" workbookViewId="0">
      <selection activeCell="E13" sqref="E13"/>
    </sheetView>
  </sheetViews>
  <sheetFormatPr defaultRowHeight="15"/>
  <cols>
    <col min="2" max="2" width="28.28515625" customWidth="1"/>
    <col min="3" max="3" width="14.85546875" customWidth="1"/>
    <col min="4" max="4" width="11.7109375" customWidth="1"/>
    <col min="5" max="5" width="21.42578125" customWidth="1"/>
    <col min="8" max="8" width="28.42578125" customWidth="1"/>
    <col min="9" max="9" width="14.42578125" customWidth="1"/>
    <col min="10" max="10" width="12.140625" customWidth="1"/>
    <col min="11" max="11" width="21" customWidth="1"/>
    <col min="13" max="13" width="9.42578125" customWidth="1"/>
    <col min="14" max="14" width="28.28515625" customWidth="1"/>
    <col min="15" max="15" width="14.85546875" customWidth="1"/>
    <col min="16" max="16" width="12.42578125" customWidth="1"/>
    <col min="17" max="17" width="21" customWidth="1"/>
  </cols>
  <sheetData>
    <row r="1" spans="1:22">
      <c r="A1" s="69" t="s">
        <v>10</v>
      </c>
      <c r="B1" s="69"/>
      <c r="C1" s="69"/>
      <c r="D1" s="69"/>
      <c r="E1" s="69"/>
      <c r="F1" s="69"/>
      <c r="G1" s="69"/>
    </row>
    <row r="2" spans="1:22">
      <c r="A2" s="69"/>
      <c r="B2" s="69"/>
      <c r="C2" s="69"/>
      <c r="D2" s="69"/>
      <c r="E2" s="69"/>
      <c r="F2" s="69"/>
      <c r="G2" s="69"/>
    </row>
    <row r="3" spans="1:22" ht="21">
      <c r="A3" s="69" t="s">
        <v>13</v>
      </c>
      <c r="B3" s="69"/>
      <c r="C3" s="69"/>
      <c r="D3" s="69"/>
      <c r="E3" s="69"/>
      <c r="F3" s="69"/>
      <c r="G3" s="69"/>
    </row>
    <row r="4" spans="1:22" ht="21">
      <c r="A4" s="69"/>
      <c r="B4" s="69"/>
      <c r="C4" s="69"/>
      <c r="D4" s="69"/>
      <c r="E4" s="69"/>
      <c r="F4" s="69"/>
      <c r="G4" s="69"/>
    </row>
    <row r="6" spans="1:22" ht="18.7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18.75">
      <c r="B7" s="29" t="s">
        <v>20</v>
      </c>
      <c r="C7" s="2"/>
      <c r="D7" s="1"/>
      <c r="E7" s="1"/>
      <c r="F7" s="1"/>
      <c r="G7" s="1"/>
      <c r="H7" s="29" t="s">
        <v>21</v>
      </c>
      <c r="I7" s="2"/>
      <c r="J7" s="1"/>
      <c r="K7" s="1"/>
      <c r="L7" s="1"/>
      <c r="M7" s="1"/>
      <c r="N7" s="29" t="s">
        <v>22</v>
      </c>
      <c r="O7" s="2"/>
      <c r="P7" s="1"/>
      <c r="Q7" s="1"/>
      <c r="R7" s="1"/>
      <c r="S7" s="1"/>
      <c r="T7" s="1"/>
      <c r="U7" s="1"/>
      <c r="V7" s="1"/>
    </row>
    <row r="8" spans="1:22" ht="18.75">
      <c r="B8" s="2"/>
      <c r="C8" s="2"/>
      <c r="D8" s="1"/>
      <c r="E8" s="1"/>
      <c r="F8" s="1"/>
      <c r="G8" s="1"/>
      <c r="H8" s="2"/>
      <c r="I8" s="2"/>
      <c r="J8" s="1"/>
      <c r="K8" s="1"/>
      <c r="L8" s="1"/>
      <c r="M8" s="1"/>
      <c r="N8" s="2"/>
      <c r="O8" s="2"/>
      <c r="P8" s="1"/>
      <c r="Q8" s="1"/>
      <c r="R8" s="1"/>
      <c r="S8" s="1"/>
      <c r="T8" s="1"/>
      <c r="U8" s="1"/>
      <c r="V8" s="1"/>
    </row>
    <row r="9" spans="1:22" ht="18.75">
      <c r="B9" s="21" t="s">
        <v>23</v>
      </c>
      <c r="C9" s="12">
        <v>1</v>
      </c>
      <c r="D9" s="1"/>
      <c r="E9" s="1"/>
      <c r="F9" s="1"/>
      <c r="G9" s="1"/>
      <c r="H9" s="21" t="s">
        <v>24</v>
      </c>
      <c r="I9" s="22">
        <v>1</v>
      </c>
      <c r="J9" s="1"/>
      <c r="K9" s="1"/>
      <c r="L9" s="1"/>
      <c r="M9" s="1"/>
      <c r="N9" s="21" t="s">
        <v>24</v>
      </c>
      <c r="O9" s="22">
        <v>1</v>
      </c>
      <c r="P9" s="1"/>
      <c r="Q9" s="1"/>
      <c r="R9" s="1"/>
      <c r="S9" s="1"/>
      <c r="T9" s="1"/>
      <c r="U9" s="1"/>
      <c r="V9" s="1"/>
    </row>
    <row r="10" spans="1:22" ht="18.75">
      <c r="B10" s="21" t="s">
        <v>2</v>
      </c>
      <c r="C10" s="53">
        <v>8.7500000000000008E-3</v>
      </c>
      <c r="D10" s="1"/>
      <c r="E10" s="1"/>
      <c r="F10" s="1"/>
      <c r="G10" s="1"/>
      <c r="H10" s="21" t="s">
        <v>2</v>
      </c>
      <c r="I10" s="53">
        <f>0.875*3.25%</f>
        <v>2.8437500000000001E-2</v>
      </c>
      <c r="J10" s="1"/>
      <c r="K10" s="1"/>
      <c r="L10" s="1"/>
      <c r="M10" s="1"/>
      <c r="N10" s="21" t="s">
        <v>2</v>
      </c>
      <c r="O10" s="53">
        <f>0.875*2%</f>
        <v>1.7500000000000002E-2</v>
      </c>
      <c r="P10" s="1"/>
      <c r="Q10" s="1"/>
      <c r="R10" s="1"/>
      <c r="S10" s="1"/>
      <c r="T10" s="1"/>
      <c r="U10" s="1"/>
      <c r="V10" s="1"/>
    </row>
    <row r="11" spans="1:22" ht="18.75">
      <c r="B11" s="7" t="s">
        <v>25</v>
      </c>
      <c r="C11" s="30">
        <f>99.854</f>
        <v>99.853999999999999</v>
      </c>
      <c r="D11" s="1"/>
      <c r="E11" s="1"/>
      <c r="F11" s="1"/>
      <c r="G11" s="1"/>
      <c r="H11" s="21" t="s">
        <v>25</v>
      </c>
      <c r="I11" s="62">
        <f>110.03</f>
        <v>110.03</v>
      </c>
      <c r="J11" s="1"/>
      <c r="K11" s="1"/>
      <c r="L11" s="1"/>
      <c r="M11" s="1"/>
      <c r="N11" s="21" t="s">
        <v>25</v>
      </c>
      <c r="O11" s="62">
        <f>103.76</f>
        <v>103.76</v>
      </c>
      <c r="P11" s="1"/>
      <c r="Q11" s="1"/>
      <c r="R11" s="1"/>
      <c r="S11" s="1"/>
      <c r="T11" s="1"/>
      <c r="U11" s="1"/>
      <c r="V11" s="1"/>
    </row>
    <row r="12" spans="1:22" ht="18.75">
      <c r="B12" s="28" t="s">
        <v>18</v>
      </c>
      <c r="C12" s="63">
        <f>(1-0.125)*5/6</f>
        <v>0.72916666666666663</v>
      </c>
      <c r="D12" s="1"/>
      <c r="E12" s="1"/>
      <c r="F12" s="1"/>
      <c r="G12" s="1"/>
      <c r="H12" s="21" t="s">
        <v>18</v>
      </c>
      <c r="I12" s="23">
        <v>0</v>
      </c>
      <c r="J12" s="1"/>
      <c r="K12" s="1"/>
      <c r="L12" s="1"/>
      <c r="M12" s="1"/>
      <c r="N12" s="21" t="s">
        <v>18</v>
      </c>
      <c r="O12" s="62">
        <f>(2*(1-0.125))*11/12</f>
        <v>1.6041666666666667</v>
      </c>
      <c r="P12" s="35"/>
      <c r="Q12" s="1"/>
      <c r="R12" s="1"/>
      <c r="S12" s="1"/>
      <c r="T12" s="1"/>
      <c r="U12" s="1"/>
      <c r="V12" s="1"/>
    </row>
    <row r="13" spans="1:22" ht="18.75">
      <c r="B13" s="7" t="s">
        <v>26</v>
      </c>
      <c r="C13" s="60">
        <f>C11+C12</f>
        <v>100.58316666666667</v>
      </c>
      <c r="D13" s="1"/>
      <c r="E13" s="1"/>
      <c r="F13" s="1"/>
      <c r="G13" s="1"/>
      <c r="H13" s="7" t="s">
        <v>26</v>
      </c>
      <c r="I13" s="61">
        <f>I11+I12</f>
        <v>110.03</v>
      </c>
      <c r="J13" s="1"/>
      <c r="K13" s="1"/>
      <c r="L13" s="1"/>
      <c r="M13" s="1"/>
      <c r="N13" s="7" t="s">
        <v>26</v>
      </c>
      <c r="O13" s="61">
        <f>O11+O12</f>
        <v>105.36416666666668</v>
      </c>
      <c r="P13" s="35"/>
      <c r="Q13" s="1"/>
      <c r="R13" s="1"/>
      <c r="S13" s="1"/>
      <c r="T13" s="1"/>
      <c r="U13" s="1"/>
      <c r="V13" s="1"/>
    </row>
    <row r="14" spans="1:22" ht="18.75">
      <c r="B14" s="21" t="s">
        <v>27</v>
      </c>
      <c r="C14" s="22">
        <v>100.51</v>
      </c>
      <c r="D14" s="1"/>
      <c r="E14" s="1"/>
      <c r="F14" s="1"/>
      <c r="G14" s="1"/>
      <c r="H14" s="21" t="s">
        <v>27</v>
      </c>
      <c r="I14" s="22">
        <v>100.15</v>
      </c>
      <c r="J14" s="1"/>
      <c r="K14" s="1"/>
      <c r="L14" s="1"/>
      <c r="M14" s="1"/>
      <c r="N14" s="21" t="s">
        <v>27</v>
      </c>
      <c r="O14" s="22">
        <v>99</v>
      </c>
      <c r="P14" s="1"/>
      <c r="Q14" s="1"/>
      <c r="R14" s="1"/>
      <c r="S14" s="1"/>
      <c r="T14" s="1"/>
      <c r="U14" s="1"/>
      <c r="V14" s="1"/>
    </row>
    <row r="15" spans="1:22" ht="18.75">
      <c r="B15" s="21" t="s">
        <v>14</v>
      </c>
      <c r="C15" s="22">
        <v>100</v>
      </c>
      <c r="D15" s="1"/>
      <c r="E15" s="1"/>
      <c r="F15" s="1"/>
      <c r="G15" s="1"/>
      <c r="H15" s="21" t="s">
        <v>14</v>
      </c>
      <c r="I15" s="22">
        <v>100</v>
      </c>
      <c r="J15" s="1"/>
      <c r="K15" s="1"/>
      <c r="L15" s="1"/>
      <c r="M15" s="1"/>
      <c r="N15" s="21" t="s">
        <v>14</v>
      </c>
      <c r="O15" s="22">
        <v>100</v>
      </c>
      <c r="P15" s="1"/>
      <c r="Q15" s="1"/>
      <c r="R15" s="1"/>
      <c r="S15" s="1"/>
      <c r="T15" s="1"/>
      <c r="U15" s="1"/>
      <c r="V15" s="1"/>
    </row>
    <row r="16" spans="1:22" ht="18.75">
      <c r="B16" s="21" t="s">
        <v>16</v>
      </c>
      <c r="C16" s="23">
        <f>MAX(0,(C15-C11))</f>
        <v>0.1460000000000008</v>
      </c>
      <c r="D16" s="1"/>
      <c r="E16" s="1"/>
      <c r="F16" s="1"/>
      <c r="G16" s="1"/>
      <c r="H16" s="21" t="s">
        <v>16</v>
      </c>
      <c r="I16" s="23">
        <f>MAX(0,(I15-I11))</f>
        <v>0</v>
      </c>
      <c r="J16" s="1"/>
      <c r="K16" s="1"/>
      <c r="L16" s="1"/>
      <c r="M16" s="1"/>
      <c r="N16" s="21" t="s">
        <v>16</v>
      </c>
      <c r="O16" s="23">
        <f>MAX(0,(O15-O11))</f>
        <v>0</v>
      </c>
      <c r="P16" s="1"/>
      <c r="Q16" s="1"/>
      <c r="R16" s="1"/>
      <c r="S16" s="1"/>
      <c r="T16" s="1"/>
      <c r="U16" s="1"/>
      <c r="V16" s="1"/>
    </row>
    <row r="17" spans="2:22" ht="18.75">
      <c r="B17" s="7" t="s">
        <v>17</v>
      </c>
      <c r="C17" s="15">
        <f>MAX(0,(C15-C14))</f>
        <v>0</v>
      </c>
      <c r="D17" s="1"/>
      <c r="E17" s="1"/>
      <c r="F17" s="1"/>
      <c r="G17" s="1"/>
      <c r="H17" s="7" t="s">
        <v>17</v>
      </c>
      <c r="I17" s="15">
        <f>MAX(0,(I15-I14))</f>
        <v>0</v>
      </c>
      <c r="J17" s="1"/>
      <c r="K17" s="1"/>
      <c r="L17" s="1"/>
      <c r="M17" s="1"/>
      <c r="N17" s="7" t="s">
        <v>17</v>
      </c>
      <c r="O17" s="15">
        <f>MAX(0,(O15-O14))</f>
        <v>1</v>
      </c>
      <c r="P17" s="1"/>
      <c r="Q17" s="1"/>
      <c r="R17" s="1"/>
      <c r="S17" s="1"/>
      <c r="T17" s="1"/>
      <c r="U17" s="1"/>
      <c r="V17" s="1"/>
    </row>
    <row r="18" spans="2:22" ht="18.7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ht="18.7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ht="18.75">
      <c r="B20" s="10" t="s">
        <v>4</v>
      </c>
      <c r="C20" s="11" t="s">
        <v>5</v>
      </c>
      <c r="D20" s="11" t="s">
        <v>6</v>
      </c>
      <c r="E20" s="12" t="s">
        <v>7</v>
      </c>
      <c r="F20" s="1"/>
      <c r="G20" s="1"/>
      <c r="H20" s="10" t="s">
        <v>4</v>
      </c>
      <c r="I20" s="11" t="s">
        <v>5</v>
      </c>
      <c r="J20" s="11" t="s">
        <v>6</v>
      </c>
      <c r="K20" s="12" t="s">
        <v>7</v>
      </c>
      <c r="L20" s="1"/>
      <c r="M20" s="1"/>
      <c r="N20" s="10" t="s">
        <v>4</v>
      </c>
      <c r="O20" s="11" t="s">
        <v>5</v>
      </c>
      <c r="P20" s="11" t="s">
        <v>6</v>
      </c>
      <c r="Q20" s="12" t="s">
        <v>7</v>
      </c>
      <c r="R20" s="1"/>
      <c r="S20" s="1"/>
      <c r="T20" s="1"/>
      <c r="U20" s="1"/>
      <c r="V20" s="1"/>
    </row>
    <row r="21" spans="2:22" ht="18.75">
      <c r="B21" s="16">
        <v>45778</v>
      </c>
      <c r="C21" s="1">
        <v>0</v>
      </c>
      <c r="D21" s="1">
        <f>-C11</f>
        <v>-99.853999999999999</v>
      </c>
      <c r="E21" s="24">
        <f>D21/(1+$C$26)^C21</f>
        <v>-99.853999999999999</v>
      </c>
      <c r="F21" s="1"/>
      <c r="G21" s="1"/>
      <c r="H21" s="16">
        <v>45778</v>
      </c>
      <c r="I21" s="1">
        <v>0</v>
      </c>
      <c r="J21" s="64">
        <f>-I13</f>
        <v>-110.03</v>
      </c>
      <c r="K21" s="24">
        <f>J21/(1+$I$29)^I21</f>
        <v>-110.03</v>
      </c>
      <c r="L21" s="1"/>
      <c r="M21" s="1"/>
      <c r="N21" s="16">
        <v>45778</v>
      </c>
      <c r="O21" s="1">
        <v>0</v>
      </c>
      <c r="P21" s="64">
        <f>-O13</f>
        <v>-105.36416666666668</v>
      </c>
      <c r="Q21" s="24">
        <f>P21/(1+$O$36)^O21</f>
        <v>-105.36416666666668</v>
      </c>
      <c r="R21" s="1"/>
      <c r="S21" s="1"/>
      <c r="T21" s="1"/>
      <c r="U21" s="1"/>
      <c r="V21" s="1"/>
    </row>
    <row r="22" spans="2:22" ht="18.75">
      <c r="B22" s="16">
        <v>45809</v>
      </c>
      <c r="C22" s="1">
        <f>1/12</f>
        <v>8.3333333333333329E-2</v>
      </c>
      <c r="D22" s="1">
        <f>1-(1*0.125)</f>
        <v>0.875</v>
      </c>
      <c r="E22" s="24">
        <f>D22/(1+$C$26)^C22</f>
        <v>0.87266880257770285</v>
      </c>
      <c r="F22" s="1"/>
      <c r="G22" s="1"/>
      <c r="H22" s="16">
        <v>45962</v>
      </c>
      <c r="I22" s="1">
        <v>0.5</v>
      </c>
      <c r="J22" s="1">
        <f>100*0.0325*(1-0.125)</f>
        <v>2.84375</v>
      </c>
      <c r="K22" s="24">
        <f t="shared" ref="K22:K26" si="0">J22/(1+$I$29)^I22</f>
        <v>2.821498011360303</v>
      </c>
      <c r="L22" s="1"/>
      <c r="M22" s="1"/>
      <c r="N22" s="16">
        <v>45792</v>
      </c>
      <c r="O22" s="1">
        <f>1/24</f>
        <v>4.1666666666666664E-2</v>
      </c>
      <c r="P22" s="1">
        <f>2-2*0.125</f>
        <v>1.75</v>
      </c>
      <c r="Q22" s="24">
        <f>P22/(1+$O$36)^O22</f>
        <v>1.7480159135500437</v>
      </c>
      <c r="R22" s="1"/>
      <c r="S22" s="1"/>
      <c r="T22" s="1"/>
      <c r="U22" s="1"/>
      <c r="V22" s="1"/>
    </row>
    <row r="23" spans="2:22" ht="18.75">
      <c r="B23" s="18">
        <v>45992</v>
      </c>
      <c r="C23" s="19">
        <f>7/12</f>
        <v>0.58333333333333337</v>
      </c>
      <c r="D23" s="19">
        <f>100+1-(1*0.125)-(0.125)*(C17+C16)</f>
        <v>100.85675000000001</v>
      </c>
      <c r="E23" s="25">
        <f t="shared" ref="E22:E23" si="1">D23/(1+$C$26)^C23</f>
        <v>98.990781170649598</v>
      </c>
      <c r="F23" s="1"/>
      <c r="G23" s="1"/>
      <c r="H23" s="16">
        <v>46143</v>
      </c>
      <c r="I23" s="1">
        <v>1</v>
      </c>
      <c r="J23" s="1">
        <f>100*0.0325*(1-0.125)</f>
        <v>2.84375</v>
      </c>
      <c r="K23" s="24">
        <f t="shared" si="0"/>
        <v>2.7994201417530173</v>
      </c>
      <c r="L23" s="1"/>
      <c r="M23" s="1"/>
      <c r="N23" s="16">
        <v>45976</v>
      </c>
      <c r="O23" s="1">
        <f>13/24</f>
        <v>0.54166666666666663</v>
      </c>
      <c r="P23" s="1">
        <f>2-2*0.125</f>
        <v>1.75</v>
      </c>
      <c r="Q23" s="24">
        <f t="shared" ref="Q22:Q33" si="2">P23/(1+$O$36)^O23</f>
        <v>1.7243816086467751</v>
      </c>
      <c r="R23" s="1"/>
      <c r="S23" s="1"/>
      <c r="T23" s="1"/>
      <c r="U23" s="1"/>
      <c r="V23" s="1"/>
    </row>
    <row r="24" spans="2:22" ht="18.75">
      <c r="B24" s="1"/>
      <c r="C24" s="1"/>
      <c r="D24" s="1"/>
      <c r="E24" s="1"/>
      <c r="F24" s="1"/>
      <c r="G24" s="1"/>
      <c r="H24" s="16">
        <v>46327</v>
      </c>
      <c r="I24" s="1">
        <v>1.5</v>
      </c>
      <c r="J24" s="1">
        <f>100*0.0325*(1-0.125)</f>
        <v>2.84375</v>
      </c>
      <c r="K24" s="24">
        <f t="shared" si="0"/>
        <v>2.777515028718458</v>
      </c>
      <c r="L24" s="1"/>
      <c r="M24" s="1"/>
      <c r="N24" s="16">
        <v>46157</v>
      </c>
      <c r="O24" s="1">
        <f>25/24</f>
        <v>1.0416666666666667</v>
      </c>
      <c r="P24" s="1">
        <f t="shared" ref="P23:P33" si="3">2-2*0.125</f>
        <v>1.75</v>
      </c>
      <c r="Q24" s="24">
        <f t="shared" si="2"/>
        <v>1.7010668548207766</v>
      </c>
      <c r="R24" s="1"/>
      <c r="S24" s="1"/>
      <c r="T24" s="1"/>
      <c r="U24" s="1"/>
      <c r="V24" s="1"/>
    </row>
    <row r="25" spans="2:22" ht="18.75">
      <c r="B25" s="1"/>
      <c r="C25" s="1"/>
      <c r="D25" s="1"/>
      <c r="E25" s="1"/>
      <c r="F25" s="1"/>
      <c r="G25" s="1"/>
      <c r="H25" s="16">
        <v>46508</v>
      </c>
      <c r="I25" s="1">
        <v>2</v>
      </c>
      <c r="J25" s="1">
        <f>100*0.0325*(1-0.125)</f>
        <v>2.84375</v>
      </c>
      <c r="K25" s="24">
        <f t="shared" si="0"/>
        <v>2.7557813204580164</v>
      </c>
      <c r="L25" s="1"/>
      <c r="M25" s="1"/>
      <c r="N25" s="16">
        <v>46341</v>
      </c>
      <c r="O25" s="1">
        <f>37/24</f>
        <v>1.5416666666666667</v>
      </c>
      <c r="P25" s="1">
        <f>2-2*0.125</f>
        <v>1.75</v>
      </c>
      <c r="Q25" s="24">
        <f t="shared" si="2"/>
        <v>1.6780673315349564</v>
      </c>
      <c r="R25" s="1"/>
      <c r="S25" s="1"/>
      <c r="T25" s="1"/>
      <c r="U25" s="1"/>
      <c r="V25" s="1"/>
    </row>
    <row r="26" spans="2:22" ht="18.75">
      <c r="B26" s="7" t="s">
        <v>8</v>
      </c>
      <c r="C26" s="38">
        <f>XIRR(D21:D23,B21:B23)</f>
        <v>3.2531312108039862E-2</v>
      </c>
      <c r="D26" s="39">
        <f>C26</f>
        <v>3.2531312108039862E-2</v>
      </c>
      <c r="E26" s="1"/>
      <c r="F26" s="1"/>
      <c r="G26" s="1"/>
      <c r="H26" s="18">
        <v>46692</v>
      </c>
      <c r="I26" s="19">
        <v>2.5</v>
      </c>
      <c r="J26" s="19">
        <f>100+100*0.0325*(1-0.125)-(0.125)*(I17+I16)</f>
        <v>102.84375</v>
      </c>
      <c r="K26" s="25">
        <f t="shared" si="0"/>
        <v>98.882531548304158</v>
      </c>
      <c r="L26" s="1"/>
      <c r="M26" s="1"/>
      <c r="N26" s="16">
        <v>46522</v>
      </c>
      <c r="O26" s="1">
        <f>49/24</f>
        <v>2.0416666666666665</v>
      </c>
      <c r="P26" s="1">
        <f t="shared" si="3"/>
        <v>1.75</v>
      </c>
      <c r="Q26" s="24">
        <f t="shared" si="2"/>
        <v>1.6553787766686763</v>
      </c>
      <c r="R26" s="1"/>
      <c r="S26" s="1"/>
      <c r="T26" s="1"/>
      <c r="U26" s="1"/>
      <c r="V26" s="1"/>
    </row>
    <row r="27" spans="2:22" ht="18.75"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6">
        <v>46706</v>
      </c>
      <c r="O27" s="1">
        <f>61/24</f>
        <v>2.5416666666666665</v>
      </c>
      <c r="P27" s="1">
        <f t="shared" si="3"/>
        <v>1.75</v>
      </c>
      <c r="Q27" s="24">
        <f t="shared" si="2"/>
        <v>1.6329969857279227</v>
      </c>
      <c r="R27" s="1"/>
      <c r="S27" s="1"/>
      <c r="T27" s="1"/>
      <c r="U27" s="1"/>
      <c r="V27" s="1"/>
    </row>
    <row r="28" spans="2:22" ht="18.75">
      <c r="B28" s="7" t="s">
        <v>9</v>
      </c>
      <c r="C28" s="15">
        <f>SUM(E21:E23)</f>
        <v>9.4499732273050085E-3</v>
      </c>
      <c r="D28" s="1"/>
      <c r="E28" s="1"/>
      <c r="F28" s="1"/>
      <c r="G28" s="1"/>
      <c r="J28" s="1"/>
      <c r="K28" s="1"/>
      <c r="L28" s="1"/>
      <c r="M28" s="1"/>
      <c r="N28" s="16">
        <v>46888</v>
      </c>
      <c r="O28" s="1">
        <f>73/24</f>
        <v>3.0416666666666665</v>
      </c>
      <c r="P28" s="1">
        <f t="shared" si="3"/>
        <v>1.75</v>
      </c>
      <c r="Q28" s="24">
        <f t="shared" si="2"/>
        <v>1.6109178110661595</v>
      </c>
      <c r="R28" s="1"/>
      <c r="S28" s="1"/>
      <c r="T28" s="1"/>
      <c r="U28" s="1"/>
      <c r="V28" s="1"/>
    </row>
    <row r="29" spans="2:22" ht="18.75">
      <c r="B29" s="1"/>
      <c r="C29" s="1"/>
      <c r="D29" s="1"/>
      <c r="E29" s="1"/>
      <c r="F29" s="1"/>
      <c r="G29" s="1"/>
      <c r="H29" s="7" t="s">
        <v>8</v>
      </c>
      <c r="I29" s="38">
        <f>XIRR(J21:J26,H21:H26)</f>
        <v>1.58353716135025E-2</v>
      </c>
      <c r="J29" s="39">
        <f>I29</f>
        <v>1.58353716135025E-2</v>
      </c>
      <c r="K29" s="1"/>
      <c r="L29" s="1"/>
      <c r="M29" s="1"/>
      <c r="N29" s="16">
        <v>47072</v>
      </c>
      <c r="O29" s="1">
        <f>85/24</f>
        <v>3.5416666666666665</v>
      </c>
      <c r="P29" s="1">
        <f>2-2*0.125</f>
        <v>1.75</v>
      </c>
      <c r="Q29" s="24">
        <f t="shared" si="2"/>
        <v>1.5891371611157128</v>
      </c>
      <c r="R29" s="1"/>
      <c r="S29" s="1"/>
      <c r="T29" s="1"/>
      <c r="U29" s="1"/>
      <c r="V29" s="1"/>
    </row>
    <row r="30" spans="2:22" ht="18.75">
      <c r="B30" s="1"/>
      <c r="C30" s="1"/>
      <c r="D30" s="1"/>
      <c r="E30" s="1"/>
      <c r="F30" s="1"/>
      <c r="G30" s="1"/>
      <c r="H30" s="2"/>
      <c r="I30" s="2"/>
      <c r="J30" s="1"/>
      <c r="K30" s="1"/>
      <c r="L30" s="1"/>
      <c r="M30" s="1"/>
      <c r="N30" s="16">
        <v>47253</v>
      </c>
      <c r="O30" s="1">
        <f>97/24</f>
        <v>4.041666666666667</v>
      </c>
      <c r="P30" s="1">
        <f t="shared" si="3"/>
        <v>1.75</v>
      </c>
      <c r="Q30" s="24">
        <f t="shared" si="2"/>
        <v>1.5676509996295473</v>
      </c>
      <c r="R30" s="1"/>
      <c r="S30" s="1"/>
      <c r="T30" s="1"/>
      <c r="U30" s="1"/>
      <c r="V30" s="1"/>
    </row>
    <row r="31" spans="2:22" ht="18.75">
      <c r="B31" s="1"/>
      <c r="C31" s="1"/>
      <c r="D31" s="1"/>
      <c r="E31" s="1"/>
      <c r="F31" s="1"/>
      <c r="G31" s="1"/>
      <c r="H31" s="7" t="s">
        <v>9</v>
      </c>
      <c r="I31" s="15">
        <f>SUM(K21:K26)</f>
        <v>6.7460505939465065E-3</v>
      </c>
      <c r="J31" s="1"/>
      <c r="K31" s="1"/>
      <c r="L31" s="1"/>
      <c r="M31" s="1"/>
      <c r="N31" s="16">
        <v>47437</v>
      </c>
      <c r="O31" s="1">
        <f>109/24</f>
        <v>4.541666666666667</v>
      </c>
      <c r="P31" s="1">
        <f>2-2*0.125</f>
        <v>1.75</v>
      </c>
      <c r="Q31" s="24">
        <f>P31/(1+$O$36)^O31</f>
        <v>1.5464553449332963</v>
      </c>
      <c r="R31" s="1"/>
      <c r="S31" s="1"/>
      <c r="T31" s="1"/>
      <c r="U31" s="1"/>
      <c r="V31" s="1"/>
    </row>
    <row r="32" spans="2:22" ht="18.75">
      <c r="N32" s="16">
        <v>47618</v>
      </c>
      <c r="O32" s="1">
        <f>121/24</f>
        <v>5.041666666666667</v>
      </c>
      <c r="P32" s="1">
        <f t="shared" si="3"/>
        <v>1.75</v>
      </c>
      <c r="Q32" s="24">
        <f>P32/(1+$O$36)^O32</f>
        <v>1.5255462691874038</v>
      </c>
    </row>
    <row r="33" spans="14:17" ht="18.75">
      <c r="N33" s="18">
        <v>47802</v>
      </c>
      <c r="O33" s="19">
        <f>133/24</f>
        <v>5.541666666666667</v>
      </c>
      <c r="P33" s="19">
        <f>100+2-2*0.125-(0.125)*(O17+O16)</f>
        <v>101.625</v>
      </c>
      <c r="Q33" s="25">
        <f>P33/(1+$O$36)^O33</f>
        <v>87.392848342640377</v>
      </c>
    </row>
    <row r="34" spans="14:17" ht="18.75">
      <c r="N34" s="1"/>
      <c r="O34" s="1"/>
    </row>
    <row r="36" spans="14:17" ht="18.75">
      <c r="N36" s="7" t="s">
        <v>8</v>
      </c>
      <c r="O36" s="38">
        <f>XIRR(P21:P33,N21:N33)</f>
        <v>2.7599772810935976E-2</v>
      </c>
      <c r="P36" s="39">
        <f>O36</f>
        <v>2.7599772810935976E-2</v>
      </c>
    </row>
    <row r="37" spans="14:17" ht="18.75">
      <c r="N37" s="2"/>
      <c r="O37" s="2"/>
    </row>
    <row r="38" spans="14:17" ht="18.75">
      <c r="N38" s="7" t="s">
        <v>9</v>
      </c>
      <c r="O38" s="15">
        <f>SUM(Q21:Q33)</f>
        <v>8.296732854986999E-3</v>
      </c>
    </row>
    <row r="39" spans="14:17" ht="18.75">
      <c r="N39" s="1"/>
      <c r="O39" s="1"/>
    </row>
  </sheetData>
  <mergeCells count="3">
    <mergeCell ref="A1:G2"/>
    <mergeCell ref="A3:G3"/>
    <mergeCell ref="A4:G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E0C1-A41D-4565-8325-B96BD4E01F90}">
  <dimension ref="A1:AB40"/>
  <sheetViews>
    <sheetView topLeftCell="B1" workbookViewId="0">
      <selection activeCell="L15" sqref="L15"/>
    </sheetView>
  </sheetViews>
  <sheetFormatPr defaultRowHeight="15"/>
  <cols>
    <col min="2" max="2" width="24.140625" customWidth="1"/>
    <col min="3" max="3" width="14.85546875" customWidth="1"/>
    <col min="4" max="4" width="11.7109375" customWidth="1"/>
    <col min="5" max="5" width="21.42578125" customWidth="1"/>
    <col min="8" max="8" width="29.140625" customWidth="1"/>
    <col min="9" max="9" width="14.85546875" customWidth="1"/>
    <col min="10" max="10" width="12.42578125" customWidth="1"/>
    <col min="11" max="11" width="21" customWidth="1"/>
    <col min="14" max="14" width="27.85546875" customWidth="1"/>
    <col min="15" max="15" width="13.140625" customWidth="1"/>
    <col min="16" max="16" width="11.85546875" customWidth="1"/>
    <col min="17" max="17" width="21.140625" customWidth="1"/>
  </cols>
  <sheetData>
    <row r="1" spans="1:28">
      <c r="A1" s="69" t="s">
        <v>10</v>
      </c>
      <c r="B1" s="69"/>
      <c r="C1" s="69"/>
      <c r="D1" s="69"/>
      <c r="E1" s="69"/>
      <c r="F1" s="69"/>
      <c r="G1" s="69"/>
    </row>
    <row r="2" spans="1:28">
      <c r="A2" s="69"/>
      <c r="B2" s="69"/>
      <c r="C2" s="69"/>
      <c r="D2" s="69"/>
      <c r="E2" s="69"/>
      <c r="F2" s="69"/>
      <c r="G2" s="69"/>
    </row>
    <row r="3" spans="1:28" ht="21">
      <c r="A3" s="69" t="s">
        <v>13</v>
      </c>
      <c r="B3" s="69"/>
      <c r="C3" s="69"/>
      <c r="D3" s="69"/>
      <c r="E3" s="69"/>
      <c r="F3" s="69"/>
      <c r="G3" s="69"/>
    </row>
    <row r="4" spans="1:28" ht="21">
      <c r="A4" s="69" t="s">
        <v>28</v>
      </c>
      <c r="B4" s="69"/>
      <c r="C4" s="69"/>
      <c r="D4" s="69"/>
      <c r="E4" s="69"/>
      <c r="F4" s="69"/>
      <c r="G4" s="69"/>
    </row>
    <row r="6" spans="1:28" ht="18.75">
      <c r="B6" s="29" t="s">
        <v>29</v>
      </c>
      <c r="C6" s="1"/>
      <c r="D6" s="1"/>
      <c r="H6" s="29" t="s">
        <v>20</v>
      </c>
      <c r="I6" s="2"/>
      <c r="J6" s="1"/>
      <c r="K6" s="1"/>
      <c r="L6" s="1"/>
      <c r="M6" s="1"/>
      <c r="N6" s="29" t="s">
        <v>22</v>
      </c>
      <c r="O6" s="2"/>
      <c r="P6" s="1"/>
      <c r="Q6" s="1"/>
    </row>
    <row r="7" spans="1:28" ht="18.75">
      <c r="B7" s="1"/>
      <c r="C7" s="1"/>
      <c r="D7" s="1"/>
      <c r="H7" s="2"/>
      <c r="I7" s="2"/>
      <c r="J7" s="1"/>
      <c r="K7" s="1"/>
      <c r="L7" s="1"/>
      <c r="M7" s="1"/>
      <c r="N7" s="2"/>
      <c r="O7" s="2"/>
      <c r="P7" s="1"/>
      <c r="Q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8.75">
      <c r="B8" s="7" t="s">
        <v>24</v>
      </c>
      <c r="C8" s="8" t="s">
        <v>30</v>
      </c>
      <c r="D8" s="1"/>
      <c r="H8" s="21" t="s">
        <v>23</v>
      </c>
      <c r="I8" s="12">
        <v>1</v>
      </c>
      <c r="J8" s="1"/>
      <c r="K8" s="1"/>
      <c r="L8" s="1"/>
      <c r="M8" s="1"/>
      <c r="N8" s="21" t="s">
        <v>24</v>
      </c>
      <c r="O8" s="22">
        <v>1</v>
      </c>
      <c r="P8" s="1"/>
      <c r="Q8" s="1"/>
    </row>
    <row r="9" spans="1:28" ht="18.75">
      <c r="B9" s="1"/>
      <c r="C9" s="1"/>
      <c r="D9" s="1"/>
      <c r="H9" s="21" t="s">
        <v>2</v>
      </c>
      <c r="I9" s="54">
        <f>'TIR A tax, TIR B tax, TIR C tax'!C10</f>
        <v>8.7500000000000008E-3</v>
      </c>
      <c r="J9" s="1"/>
      <c r="K9" s="1"/>
      <c r="L9" s="1"/>
      <c r="M9" s="1"/>
      <c r="N9" s="21" t="s">
        <v>2</v>
      </c>
      <c r="O9" s="55">
        <f>'TIR A tax, TIR B tax, TIR C tax'!O10</f>
        <v>1.7500000000000002E-2</v>
      </c>
      <c r="P9" s="1"/>
      <c r="Q9" s="1"/>
    </row>
    <row r="10" spans="1:28" ht="18.75">
      <c r="B10" s="1"/>
      <c r="C10" s="1"/>
      <c r="D10" s="1"/>
      <c r="H10" s="7" t="s">
        <v>25</v>
      </c>
      <c r="I10" s="30">
        <f>99.854</f>
        <v>99.853999999999999</v>
      </c>
      <c r="J10" s="1"/>
      <c r="K10" s="1"/>
      <c r="L10" s="1"/>
      <c r="M10" s="1"/>
      <c r="N10" s="21" t="s">
        <v>25</v>
      </c>
      <c r="O10" s="23">
        <f>103.76</f>
        <v>103.76</v>
      </c>
      <c r="P10" s="1"/>
      <c r="Q10" s="1"/>
    </row>
    <row r="11" spans="1:28" ht="18.75">
      <c r="B11" s="1"/>
      <c r="C11" s="1"/>
      <c r="D11" s="1"/>
      <c r="H11" s="28" t="s">
        <v>18</v>
      </c>
      <c r="I11" s="63">
        <f>(1-0.125)*5/6</f>
        <v>0.72916666666666663</v>
      </c>
      <c r="J11" s="1"/>
      <c r="K11" s="1"/>
      <c r="L11" s="1"/>
      <c r="M11" s="1"/>
      <c r="N11" s="21" t="s">
        <v>18</v>
      </c>
      <c r="O11" s="62">
        <f>(2*(1-0.125))*11/12</f>
        <v>1.6041666666666667</v>
      </c>
      <c r="P11" s="35"/>
      <c r="Q11" s="1"/>
    </row>
    <row r="12" spans="1:28" ht="18.75">
      <c r="B12" s="1"/>
      <c r="C12" s="1"/>
      <c r="D12" s="1"/>
      <c r="H12" s="7" t="s">
        <v>26</v>
      </c>
      <c r="I12" s="60">
        <f>I10+I11</f>
        <v>100.58316666666667</v>
      </c>
      <c r="J12" s="1"/>
      <c r="K12" s="1"/>
      <c r="L12" s="1"/>
      <c r="M12" s="1"/>
      <c r="N12" s="7" t="s">
        <v>26</v>
      </c>
      <c r="O12" s="61">
        <f>O10+O11</f>
        <v>105.36416666666668</v>
      </c>
      <c r="P12" s="1"/>
      <c r="Q12" s="1"/>
      <c r="R12" s="1"/>
      <c r="S12" s="1"/>
      <c r="T12" s="7"/>
      <c r="U12" s="61"/>
    </row>
    <row r="13" spans="1:28" ht="18.75">
      <c r="B13" s="1"/>
      <c r="C13" s="1"/>
      <c r="D13" s="1"/>
      <c r="H13" s="21" t="s">
        <v>27</v>
      </c>
      <c r="I13" s="22">
        <v>100.51</v>
      </c>
      <c r="J13" s="1"/>
      <c r="K13" s="1"/>
      <c r="L13" s="1"/>
      <c r="M13" s="1"/>
      <c r="N13" s="21" t="s">
        <v>27</v>
      </c>
      <c r="O13" s="22">
        <v>99</v>
      </c>
      <c r="P13" s="1"/>
      <c r="Q13" s="1"/>
    </row>
    <row r="14" spans="1:28" ht="18.75">
      <c r="B14" s="1"/>
      <c r="C14" s="1"/>
      <c r="D14" s="1"/>
      <c r="H14" s="21" t="s">
        <v>14</v>
      </c>
      <c r="I14" s="22">
        <v>100</v>
      </c>
      <c r="J14" s="1"/>
      <c r="K14" s="1"/>
      <c r="L14" s="1"/>
      <c r="M14" s="1"/>
      <c r="N14" s="21" t="s">
        <v>14</v>
      </c>
      <c r="O14" s="22">
        <v>100</v>
      </c>
      <c r="P14" s="1"/>
      <c r="Q14" s="1"/>
    </row>
    <row r="15" spans="1:28" ht="18.75">
      <c r="B15" s="1"/>
      <c r="C15" s="1"/>
      <c r="D15" s="1"/>
      <c r="H15" s="21" t="s">
        <v>16</v>
      </c>
      <c r="I15" s="23">
        <f>MAX(0,(I14-I10))</f>
        <v>0.1460000000000008</v>
      </c>
      <c r="J15" s="1"/>
      <c r="K15" s="1"/>
      <c r="L15" s="1"/>
      <c r="M15" s="1"/>
      <c r="N15" s="21" t="s">
        <v>16</v>
      </c>
      <c r="O15" s="23">
        <f>MAX(0,(O14-O10))</f>
        <v>0</v>
      </c>
      <c r="P15" s="1"/>
      <c r="Q15" s="1"/>
    </row>
    <row r="16" spans="1:28" ht="18.75">
      <c r="B16" s="1"/>
      <c r="C16" s="1"/>
      <c r="D16" s="1"/>
      <c r="H16" s="7" t="s">
        <v>17</v>
      </c>
      <c r="I16" s="15">
        <f>MAX(0,(I14-I13))</f>
        <v>0</v>
      </c>
      <c r="J16" s="1"/>
      <c r="K16" s="1"/>
      <c r="L16" s="1"/>
      <c r="M16" s="1"/>
      <c r="N16" s="7" t="s">
        <v>17</v>
      </c>
      <c r="O16" s="15">
        <f>MAX(0,(O14-O13))</f>
        <v>1</v>
      </c>
      <c r="P16" s="1"/>
      <c r="Q16" s="1"/>
    </row>
    <row r="17" spans="2:17" ht="18.75">
      <c r="B17" s="1"/>
      <c r="C17" s="1"/>
      <c r="D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2:17" ht="18.75">
      <c r="B18" s="1"/>
      <c r="C18" s="1"/>
      <c r="D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 ht="18.75">
      <c r="B19" s="10" t="s">
        <v>4</v>
      </c>
      <c r="C19" s="11" t="s">
        <v>5</v>
      </c>
      <c r="D19" s="11" t="s">
        <v>6</v>
      </c>
      <c r="E19" s="12" t="s">
        <v>7</v>
      </c>
      <c r="H19" s="10" t="s">
        <v>4</v>
      </c>
      <c r="I19" s="11" t="s">
        <v>5</v>
      </c>
      <c r="J19" s="11" t="s">
        <v>6</v>
      </c>
      <c r="K19" s="12" t="s">
        <v>7</v>
      </c>
      <c r="L19" s="1"/>
      <c r="M19" s="1"/>
      <c r="N19" s="10" t="s">
        <v>4</v>
      </c>
      <c r="O19" s="11" t="s">
        <v>5</v>
      </c>
      <c r="P19" s="11" t="s">
        <v>6</v>
      </c>
      <c r="Q19" s="12" t="s">
        <v>7</v>
      </c>
    </row>
    <row r="20" spans="2:17" ht="18.75">
      <c r="B20" s="16">
        <v>45778</v>
      </c>
      <c r="C20" s="1">
        <v>0</v>
      </c>
      <c r="D20" s="1">
        <f>-(O10+I10)</f>
        <v>-203.614</v>
      </c>
      <c r="E20" s="24">
        <f>D20/(1+$C$37)^C20</f>
        <v>-203.614</v>
      </c>
      <c r="H20" s="16">
        <v>45778</v>
      </c>
      <c r="I20" s="1">
        <v>0</v>
      </c>
      <c r="J20" s="64">
        <f>-I12</f>
        <v>-100.58316666666667</v>
      </c>
      <c r="K20" s="24">
        <f>J20/(1+$I$25)^I20</f>
        <v>-100.58316666666667</v>
      </c>
      <c r="L20" s="1"/>
      <c r="M20" s="1"/>
      <c r="N20" s="16">
        <v>45778</v>
      </c>
      <c r="O20" s="1">
        <v>0</v>
      </c>
      <c r="P20" s="64">
        <f>-O12</f>
        <v>-105.36416666666668</v>
      </c>
      <c r="Q20" s="24">
        <f>P20/(1+$O$35)^O20</f>
        <v>-105.36416666666668</v>
      </c>
    </row>
    <row r="21" spans="2:17" ht="18.75">
      <c r="B21" s="16">
        <v>45792</v>
      </c>
      <c r="C21" s="1">
        <f>1/24</f>
        <v>4.1666666666666664E-2</v>
      </c>
      <c r="D21" s="1">
        <f>2-2*0.125</f>
        <v>1.75</v>
      </c>
      <c r="E21" s="24">
        <f>D21/(1+$C$37)^C21</f>
        <v>1.7477805908593851</v>
      </c>
      <c r="H21" s="16">
        <v>45809</v>
      </c>
      <c r="I21" s="1">
        <f>1/12</f>
        <v>8.3333333333333329E-2</v>
      </c>
      <c r="J21" s="1">
        <f>1-(1*0.125)</f>
        <v>0.875</v>
      </c>
      <c r="K21" s="24">
        <f>J21/(1+$I$25)^I21</f>
        <v>0.87357850971628892</v>
      </c>
      <c r="L21" s="1"/>
      <c r="M21" s="1"/>
      <c r="N21" s="16">
        <v>45792</v>
      </c>
      <c r="O21" s="1">
        <f>1/24</f>
        <v>4.1666666666666664E-2</v>
      </c>
      <c r="P21" s="1">
        <f>2-2*0.125</f>
        <v>1.75</v>
      </c>
      <c r="Q21" s="24">
        <f>P21/(1+$O$35)^O21</f>
        <v>1.7480159135500437</v>
      </c>
    </row>
    <row r="22" spans="2:17" ht="18.75">
      <c r="B22" s="16">
        <v>45809</v>
      </c>
      <c r="C22" s="1">
        <f>1/12</f>
        <v>8.3333333333333329E-2</v>
      </c>
      <c r="D22" s="1">
        <f>1-(1*0.125)</f>
        <v>0.875</v>
      </c>
      <c r="E22" s="24">
        <f>D22/(1+$C$37)^C22</f>
        <v>0.8727819982242232</v>
      </c>
      <c r="H22" s="18">
        <v>45992</v>
      </c>
      <c r="I22" s="19">
        <f>7/12</f>
        <v>0.58333333333333337</v>
      </c>
      <c r="J22" s="19">
        <f>100+1-(1*0.125)-(0.125)*(I16+I15)</f>
        <v>100.85675000000001</v>
      </c>
      <c r="K22" s="25">
        <f>J22/(1+$I$25)^I22</f>
        <v>99.715389564133986</v>
      </c>
      <c r="L22" s="1"/>
      <c r="M22" s="1"/>
      <c r="N22" s="16">
        <v>45976</v>
      </c>
      <c r="O22" s="1">
        <f>13/24</f>
        <v>0.54166666666666663</v>
      </c>
      <c r="P22" s="1">
        <f t="shared" ref="P22:P30" si="0">2-2*0.125</f>
        <v>1.75</v>
      </c>
      <c r="Q22" s="24">
        <f>P22/(1+$O$35)^O22</f>
        <v>1.7243816086467751</v>
      </c>
    </row>
    <row r="23" spans="2:17" ht="18.75">
      <c r="B23" s="16">
        <v>45976</v>
      </c>
      <c r="C23" s="1">
        <f>13/24</f>
        <v>0.54166666666666663</v>
      </c>
      <c r="D23" s="1">
        <f>D25</f>
        <v>1.75</v>
      </c>
      <c r="E23" s="24">
        <f>D23/(1+$C$37)^C23</f>
        <v>1.7213662123720725</v>
      </c>
      <c r="H23" s="1"/>
      <c r="I23" s="1"/>
      <c r="J23" s="1"/>
      <c r="K23" s="1"/>
      <c r="L23" s="1"/>
      <c r="M23" s="1"/>
      <c r="N23" s="16">
        <v>46157</v>
      </c>
      <c r="O23" s="1">
        <f>25/24</f>
        <v>1.0416666666666667</v>
      </c>
      <c r="P23" s="1">
        <f t="shared" si="0"/>
        <v>1.75</v>
      </c>
      <c r="Q23" s="24">
        <f>P23/(1+$O$35)^O23</f>
        <v>1.7010668548207766</v>
      </c>
    </row>
    <row r="24" spans="2:17" ht="18.75">
      <c r="B24" s="16">
        <v>45992</v>
      </c>
      <c r="C24" s="1">
        <f>7/12</f>
        <v>0.58333333333333337</v>
      </c>
      <c r="D24" s="1">
        <f>100+1-(1*0.125)-(0.125)*(I16+I15)</f>
        <v>100.85675000000001</v>
      </c>
      <c r="E24" s="24">
        <f>D24/(1+$C$37)^C24</f>
        <v>99.080698224477999</v>
      </c>
      <c r="H24" s="1"/>
      <c r="I24" s="1"/>
      <c r="J24" s="1"/>
      <c r="K24" s="1"/>
      <c r="L24" s="1"/>
      <c r="M24" s="1"/>
      <c r="N24" s="16">
        <v>46341</v>
      </c>
      <c r="O24" s="1">
        <f>37/24</f>
        <v>1.5416666666666667</v>
      </c>
      <c r="P24" s="1">
        <f t="shared" si="0"/>
        <v>1.75</v>
      </c>
      <c r="Q24" s="24">
        <f>P24/(1+$O$35)^O24</f>
        <v>1.6780673315349564</v>
      </c>
    </row>
    <row r="25" spans="2:17" ht="18.75">
      <c r="B25" s="16">
        <v>46157</v>
      </c>
      <c r="C25" s="1">
        <f>25/24</f>
        <v>1.0416666666666667</v>
      </c>
      <c r="D25" s="1">
        <f>2-2*0.125</f>
        <v>1.75</v>
      </c>
      <c r="E25" s="24">
        <f>D25/(1+$C$37)^C25</f>
        <v>1.6953510369623772</v>
      </c>
      <c r="H25" s="7" t="s">
        <v>8</v>
      </c>
      <c r="I25" s="15">
        <f>XIRR(J20:J22,H20:H22)</f>
        <v>1.9702151417732242E-2</v>
      </c>
      <c r="J25" s="1"/>
      <c r="K25" s="1"/>
      <c r="L25" s="1"/>
      <c r="M25" s="1"/>
      <c r="N25" s="16">
        <v>46522</v>
      </c>
      <c r="O25" s="1">
        <f>49/24</f>
        <v>2.0416666666666665</v>
      </c>
      <c r="P25" s="1">
        <f t="shared" si="0"/>
        <v>1.75</v>
      </c>
      <c r="Q25" s="24">
        <f>P25/(1+$O$35)^O25</f>
        <v>1.6553787766686763</v>
      </c>
    </row>
    <row r="26" spans="2:17" ht="18.75">
      <c r="B26" s="16">
        <v>46341</v>
      </c>
      <c r="C26" s="1">
        <f>37/24</f>
        <v>1.5416666666666667</v>
      </c>
      <c r="D26" s="1">
        <f t="shared" ref="D26:D33" si="1">2-2*0.125</f>
        <v>1.75</v>
      </c>
      <c r="E26" s="24">
        <f>D26/(1+$C$37)^C26</f>
        <v>1.6697290314352631</v>
      </c>
      <c r="H26" s="2"/>
      <c r="I26" s="2"/>
      <c r="J26" s="1"/>
      <c r="K26" s="1"/>
      <c r="L26" s="1"/>
      <c r="M26" s="1"/>
      <c r="N26" s="16">
        <v>46706</v>
      </c>
      <c r="O26" s="1">
        <f>61/24</f>
        <v>2.5416666666666665</v>
      </c>
      <c r="P26" s="1">
        <f t="shared" si="0"/>
        <v>1.75</v>
      </c>
      <c r="Q26" s="24">
        <f>P26/(1+$O$35)^O26</f>
        <v>1.6329969857279227</v>
      </c>
    </row>
    <row r="27" spans="2:17" ht="18.75">
      <c r="B27" s="16">
        <v>46522</v>
      </c>
      <c r="C27" s="1">
        <f>49/24</f>
        <v>2.0416666666666665</v>
      </c>
      <c r="D27" s="1">
        <f t="shared" si="1"/>
        <v>1.75</v>
      </c>
      <c r="E27" s="24">
        <f>D27/(1+$C$37)^C27</f>
        <v>1.6444942537759581</v>
      </c>
      <c r="H27" s="7" t="s">
        <v>9</v>
      </c>
      <c r="I27" s="15">
        <f>SUM(K20:K22)</f>
        <v>5.8014071835970071E-3</v>
      </c>
      <c r="J27" s="1"/>
      <c r="K27" s="1"/>
      <c r="L27" s="1"/>
      <c r="M27" s="1"/>
      <c r="N27" s="16">
        <v>46888</v>
      </c>
      <c r="O27" s="1">
        <f>73/24</f>
        <v>3.0416666666666665</v>
      </c>
      <c r="P27" s="1">
        <f t="shared" si="0"/>
        <v>1.75</v>
      </c>
      <c r="Q27" s="24">
        <f>P27/(1+$O$35)^O27</f>
        <v>1.6109178110661595</v>
      </c>
    </row>
    <row r="28" spans="2:17" ht="18.75">
      <c r="B28" s="16">
        <v>46706</v>
      </c>
      <c r="C28" s="1">
        <f>61/24</f>
        <v>2.5416666666666665</v>
      </c>
      <c r="D28" s="1">
        <f t="shared" si="1"/>
        <v>1.75</v>
      </c>
      <c r="E28" s="24">
        <f>D28/(1+$C$37)^C28</f>
        <v>1.6196408517719401</v>
      </c>
      <c r="H28" s="1"/>
      <c r="I28" s="1"/>
      <c r="J28" s="1"/>
      <c r="K28" s="1"/>
      <c r="L28" s="1"/>
      <c r="M28" s="1"/>
      <c r="N28" s="16">
        <v>47072</v>
      </c>
      <c r="O28" s="1">
        <f>85/24</f>
        <v>3.5416666666666665</v>
      </c>
      <c r="P28" s="1">
        <f t="shared" si="0"/>
        <v>1.75</v>
      </c>
      <c r="Q28" s="24">
        <f>P28/(1+$O$35)^O28</f>
        <v>1.5891371611157128</v>
      </c>
    </row>
    <row r="29" spans="2:17" ht="18.75">
      <c r="B29" s="16">
        <v>46888</v>
      </c>
      <c r="C29" s="1">
        <f>73/24</f>
        <v>3.0416666666666665</v>
      </c>
      <c r="D29" s="1">
        <f t="shared" si="1"/>
        <v>1.75</v>
      </c>
      <c r="E29" s="24">
        <f>D29/(1+$C$37)^C29</f>
        <v>1.5951630616557437</v>
      </c>
      <c r="H29" s="1"/>
      <c r="I29" s="1"/>
      <c r="J29" s="1"/>
      <c r="K29" s="1"/>
      <c r="L29" s="1"/>
      <c r="M29" s="1"/>
      <c r="N29" s="16">
        <v>47253</v>
      </c>
      <c r="O29" s="1">
        <f>97/24</f>
        <v>4.041666666666667</v>
      </c>
      <c r="P29" s="1">
        <f t="shared" si="0"/>
        <v>1.75</v>
      </c>
      <c r="Q29" s="24">
        <f>P29/(1+$O$35)^O29</f>
        <v>1.5676509996295473</v>
      </c>
    </row>
    <row r="30" spans="2:17" ht="18.75">
      <c r="B30" s="16">
        <v>47072</v>
      </c>
      <c r="C30" s="1">
        <f>85/24</f>
        <v>3.5416666666666665</v>
      </c>
      <c r="D30" s="1">
        <f t="shared" si="1"/>
        <v>1.75</v>
      </c>
      <c r="E30" s="24">
        <f>D30/(1+$C$37)^C30</f>
        <v>1.571055206768285</v>
      </c>
      <c r="H30" s="1"/>
      <c r="I30" s="1"/>
      <c r="J30" s="1"/>
      <c r="K30" s="1"/>
      <c r="L30" s="1"/>
      <c r="M30" s="1"/>
      <c r="N30" s="16">
        <v>47437</v>
      </c>
      <c r="O30" s="1">
        <f>109/24</f>
        <v>4.541666666666667</v>
      </c>
      <c r="P30" s="1">
        <f t="shared" si="0"/>
        <v>1.75</v>
      </c>
      <c r="Q30" s="24">
        <f>P30/(1+$O$35)^O30</f>
        <v>1.5464553449332963</v>
      </c>
    </row>
    <row r="31" spans="2:17" ht="18.75">
      <c r="B31" s="16">
        <v>47253</v>
      </c>
      <c r="C31" s="1">
        <f>97/24</f>
        <v>4.041666666666667</v>
      </c>
      <c r="D31" s="1">
        <f t="shared" si="1"/>
        <v>1.75</v>
      </c>
      <c r="E31" s="24">
        <f>D31/(1+$C$37)^C31</f>
        <v>1.547311696242381</v>
      </c>
      <c r="N31" s="16">
        <v>47618</v>
      </c>
      <c r="O31" s="1">
        <f>121/24</f>
        <v>5.041666666666667</v>
      </c>
      <c r="P31" s="1">
        <f>2-2*0.125</f>
        <v>1.75</v>
      </c>
      <c r="Q31" s="24">
        <f>P31/(1+$O$35)^O31</f>
        <v>1.5255462691874038</v>
      </c>
    </row>
    <row r="32" spans="2:17" ht="18.75">
      <c r="B32" s="16">
        <v>47437</v>
      </c>
      <c r="C32" s="1">
        <f>109/24</f>
        <v>4.541666666666667</v>
      </c>
      <c r="D32" s="1">
        <f t="shared" si="1"/>
        <v>1.75</v>
      </c>
      <c r="E32" s="24">
        <f>D32/(1+$C$37)^C32</f>
        <v>1.5239270237061699</v>
      </c>
      <c r="N32" s="18">
        <v>47802</v>
      </c>
      <c r="O32" s="19">
        <f>133/24</f>
        <v>5.541666666666667</v>
      </c>
      <c r="P32" s="19">
        <f>100+2-2*0.125-(0.125)*(O16+O15)</f>
        <v>101.625</v>
      </c>
      <c r="Q32" s="25">
        <f>P32/(1+$O$35)^O32</f>
        <v>87.392848342640377</v>
      </c>
    </row>
    <row r="33" spans="2:26" ht="18.75">
      <c r="B33" s="16">
        <v>47618</v>
      </c>
      <c r="C33" s="1">
        <f>121/24</f>
        <v>5.041666666666667</v>
      </c>
      <c r="D33" s="1">
        <f t="shared" si="1"/>
        <v>1.75</v>
      </c>
      <c r="E33" s="24">
        <f>D33/(1+$C$37)^C33</f>
        <v>1.5008957660061253</v>
      </c>
      <c r="N33" s="1"/>
      <c r="O33" s="1"/>
    </row>
    <row r="34" spans="2:26" ht="18.75">
      <c r="B34" s="18">
        <v>47802</v>
      </c>
      <c r="C34" s="19">
        <f>133/24</f>
        <v>5.541666666666667</v>
      </c>
      <c r="D34" s="19">
        <f>100+2-2*0.125-(0.125)*(O16+O15)</f>
        <v>101.625</v>
      </c>
      <c r="E34" s="25">
        <f>D34/(1+$C$37)^C34</f>
        <v>85.841916366059749</v>
      </c>
    </row>
    <row r="35" spans="2:26" ht="18.75">
      <c r="N35" s="7" t="s">
        <v>8</v>
      </c>
      <c r="O35" s="15">
        <f>XIRR(P20:P32,N20:N32)</f>
        <v>2.7599772810935976E-2</v>
      </c>
    </row>
    <row r="36" spans="2:26" ht="18.75">
      <c r="N36" s="2"/>
      <c r="O36" s="2"/>
    </row>
    <row r="37" spans="2:26" ht="18.75">
      <c r="B37" s="7" t="s">
        <v>8</v>
      </c>
      <c r="C37" s="38">
        <f>XIRR(D20:D34,B20:B34)</f>
        <v>3.0925485491752631E-2</v>
      </c>
      <c r="D37" s="39">
        <f>C37</f>
        <v>3.0925485491752631E-2</v>
      </c>
      <c r="N37" s="7" t="s">
        <v>9</v>
      </c>
      <c r="O37" s="15">
        <f>SUM(Q20:Q32)</f>
        <v>8.296732854986999E-3</v>
      </c>
    </row>
    <row r="38" spans="2:26" ht="18.75">
      <c r="B38" s="2"/>
      <c r="C38" s="2"/>
    </row>
    <row r="39" spans="2:26" ht="18.75">
      <c r="B39" s="7" t="s">
        <v>9</v>
      </c>
      <c r="C39" s="15">
        <f>SUM(E20:E34)</f>
        <v>1.8111320317615309E-2</v>
      </c>
    </row>
    <row r="40" spans="2:26" ht="18.75">
      <c r="Y40" s="1"/>
      <c r="Z40" s="1"/>
    </row>
  </sheetData>
  <mergeCells count="3">
    <mergeCell ref="A1:G2"/>
    <mergeCell ref="A3:G3"/>
    <mergeCell ref="A4:G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7D2A9-6D26-46B8-ABED-4FA5A959A194}">
  <dimension ref="A1:V42"/>
  <sheetViews>
    <sheetView workbookViewId="0">
      <selection activeCell="H40" sqref="H40"/>
    </sheetView>
  </sheetViews>
  <sheetFormatPr defaultRowHeight="15"/>
  <cols>
    <col min="2" max="2" width="24.140625" customWidth="1"/>
    <col min="3" max="3" width="14.85546875" customWidth="1"/>
    <col min="4" max="4" width="11.7109375" customWidth="1"/>
    <col min="5" max="5" width="21.42578125" customWidth="1"/>
    <col min="8" max="8" width="28.42578125" customWidth="1"/>
    <col min="9" max="9" width="14.42578125" customWidth="1"/>
    <col min="10" max="10" width="12.140625" customWidth="1"/>
    <col min="11" max="11" width="21" customWidth="1"/>
    <col min="13" max="13" width="9.42578125" customWidth="1"/>
    <col min="14" max="14" width="28.28515625" customWidth="1"/>
    <col min="15" max="15" width="14.85546875" customWidth="1"/>
    <col min="16" max="16" width="12.42578125" customWidth="1"/>
    <col min="17" max="17" width="21" customWidth="1"/>
  </cols>
  <sheetData>
    <row r="1" spans="1:22">
      <c r="A1" s="69" t="s">
        <v>10</v>
      </c>
      <c r="B1" s="69"/>
      <c r="C1" s="69"/>
      <c r="D1" s="69"/>
      <c r="E1" s="69"/>
      <c r="F1" s="69"/>
      <c r="G1" s="69"/>
    </row>
    <row r="2" spans="1:22">
      <c r="A2" s="69"/>
      <c r="B2" s="69"/>
      <c r="C2" s="69"/>
      <c r="D2" s="69"/>
      <c r="E2" s="69"/>
      <c r="F2" s="69"/>
      <c r="G2" s="69"/>
    </row>
    <row r="3" spans="1:22" ht="21">
      <c r="A3" s="69" t="s">
        <v>13</v>
      </c>
      <c r="B3" s="69"/>
      <c r="C3" s="69"/>
      <c r="D3" s="69"/>
      <c r="E3" s="69"/>
      <c r="F3" s="69"/>
      <c r="G3" s="69"/>
    </row>
    <row r="4" spans="1:22" ht="21">
      <c r="A4" s="69" t="s">
        <v>31</v>
      </c>
      <c r="B4" s="69"/>
      <c r="C4" s="69"/>
      <c r="D4" s="69"/>
      <c r="E4" s="69"/>
      <c r="F4" s="69"/>
      <c r="G4" s="69"/>
    </row>
    <row r="6" spans="1:22" ht="18.75">
      <c r="B6" s="29" t="s">
        <v>32</v>
      </c>
      <c r="C6" s="2"/>
      <c r="F6" s="1"/>
      <c r="G6" s="1"/>
      <c r="H6" s="29" t="s">
        <v>21</v>
      </c>
      <c r="I6" s="2"/>
      <c r="J6" s="1"/>
      <c r="K6" s="1"/>
      <c r="L6" s="1"/>
      <c r="M6" s="1"/>
      <c r="N6" s="29" t="s">
        <v>22</v>
      </c>
      <c r="O6" s="2"/>
      <c r="P6" s="1"/>
      <c r="Q6" s="1"/>
      <c r="R6" s="1"/>
      <c r="S6" s="1"/>
      <c r="T6" s="1"/>
      <c r="U6" s="1"/>
      <c r="V6" s="1"/>
    </row>
    <row r="7" spans="1:22" ht="18.75">
      <c r="B7" s="2"/>
      <c r="C7" s="2"/>
      <c r="H7" s="2"/>
      <c r="I7" s="2"/>
      <c r="J7" s="1"/>
      <c r="K7" s="1"/>
      <c r="L7" s="1"/>
      <c r="M7" s="1"/>
      <c r="N7" s="2"/>
      <c r="O7" s="2"/>
      <c r="P7" s="1"/>
      <c r="Q7" s="1"/>
      <c r="R7" s="1"/>
    </row>
    <row r="8" spans="1:22" ht="18.75">
      <c r="B8" s="7" t="s">
        <v>24</v>
      </c>
      <c r="C8" s="31" t="s">
        <v>33</v>
      </c>
      <c r="H8" s="21" t="s">
        <v>24</v>
      </c>
      <c r="I8" s="22">
        <v>1</v>
      </c>
      <c r="J8" s="1"/>
      <c r="K8" s="1"/>
      <c r="L8" s="1"/>
      <c r="M8" s="1"/>
      <c r="N8" s="21" t="s">
        <v>24</v>
      </c>
      <c r="O8" s="22">
        <v>1</v>
      </c>
      <c r="P8" s="1"/>
      <c r="Q8" s="1"/>
      <c r="R8" s="1"/>
    </row>
    <row r="9" spans="1:22" ht="18.75">
      <c r="H9" s="21" t="s">
        <v>2</v>
      </c>
      <c r="I9" s="54">
        <f>'TIR A tax, TIR B tax, TIR C tax'!I10</f>
        <v>2.8437500000000001E-2</v>
      </c>
      <c r="J9" s="1"/>
      <c r="K9" s="1"/>
      <c r="L9" s="1"/>
      <c r="M9" s="1"/>
      <c r="N9" s="21" t="s">
        <v>2</v>
      </c>
      <c r="O9" s="50">
        <f>'TIR A tax, TIR B tax, TIR C tax'!O10</f>
        <v>1.7500000000000002E-2</v>
      </c>
      <c r="P9" s="1"/>
      <c r="Q9" s="1"/>
      <c r="R9" s="1"/>
    </row>
    <row r="10" spans="1:22" ht="18.75">
      <c r="H10" s="21" t="s">
        <v>25</v>
      </c>
      <c r="I10" s="62">
        <f>110.03</f>
        <v>110.03</v>
      </c>
      <c r="J10" s="1"/>
      <c r="K10" s="1"/>
      <c r="L10" s="1"/>
      <c r="M10" s="1"/>
      <c r="N10" s="21" t="s">
        <v>25</v>
      </c>
      <c r="O10" s="62">
        <f>103.76</f>
        <v>103.76</v>
      </c>
      <c r="P10" s="1"/>
      <c r="Q10" s="1"/>
      <c r="R10" s="1"/>
    </row>
    <row r="11" spans="1:22" ht="18.75">
      <c r="H11" s="21" t="s">
        <v>18</v>
      </c>
      <c r="I11" s="23">
        <v>0</v>
      </c>
      <c r="J11" s="1"/>
      <c r="K11" s="1"/>
      <c r="L11" s="1"/>
      <c r="M11" s="1"/>
      <c r="N11" s="21" t="s">
        <v>18</v>
      </c>
      <c r="O11" s="62">
        <f>(2*(1-0.125))*11/12</f>
        <v>1.6041666666666667</v>
      </c>
      <c r="P11" s="35"/>
      <c r="Q11" s="1"/>
      <c r="R11" s="1"/>
    </row>
    <row r="12" spans="1:22" ht="18.75">
      <c r="H12" s="7" t="s">
        <v>26</v>
      </c>
      <c r="I12" s="60">
        <f>I10+I11</f>
        <v>110.03</v>
      </c>
      <c r="J12" s="1"/>
      <c r="K12" s="1"/>
      <c r="L12" s="1"/>
      <c r="M12" s="1"/>
      <c r="N12" s="7" t="s">
        <v>26</v>
      </c>
      <c r="O12" s="61">
        <f>O10+O11</f>
        <v>105.36416666666668</v>
      </c>
      <c r="P12" s="35"/>
      <c r="Q12" s="1"/>
      <c r="R12" s="1"/>
    </row>
    <row r="13" spans="1:22" ht="18.75">
      <c r="H13" s="21" t="s">
        <v>27</v>
      </c>
      <c r="I13" s="22">
        <v>100.15</v>
      </c>
      <c r="J13" s="1"/>
      <c r="K13" s="1"/>
      <c r="L13" s="1"/>
      <c r="M13" s="1"/>
      <c r="N13" s="21" t="s">
        <v>27</v>
      </c>
      <c r="O13" s="22">
        <v>99</v>
      </c>
      <c r="P13" s="1"/>
      <c r="Q13" s="1"/>
      <c r="R13" s="1"/>
    </row>
    <row r="14" spans="1:22" ht="18.75">
      <c r="H14" s="21" t="s">
        <v>14</v>
      </c>
      <c r="I14" s="22">
        <v>100</v>
      </c>
      <c r="J14" s="1"/>
      <c r="K14" s="1"/>
      <c r="L14" s="1"/>
      <c r="M14" s="1"/>
      <c r="N14" s="21" t="s">
        <v>14</v>
      </c>
      <c r="O14" s="22">
        <v>100</v>
      </c>
      <c r="P14" s="1"/>
      <c r="Q14" s="1"/>
      <c r="R14" s="1"/>
    </row>
    <row r="15" spans="1:22" ht="18.75">
      <c r="H15" s="21" t="s">
        <v>16</v>
      </c>
      <c r="I15" s="23">
        <f>MAX(0,(I14-I10))</f>
        <v>0</v>
      </c>
      <c r="J15" s="1"/>
      <c r="K15" s="1"/>
      <c r="L15" s="1"/>
      <c r="M15" s="1"/>
      <c r="N15" s="21" t="s">
        <v>16</v>
      </c>
      <c r="O15" s="23">
        <f>MAX(0,(O14-O10))</f>
        <v>0</v>
      </c>
      <c r="P15" s="1"/>
      <c r="Q15" s="1"/>
      <c r="R15" s="1"/>
    </row>
    <row r="16" spans="1:22" ht="18.75">
      <c r="H16" s="7" t="s">
        <v>17</v>
      </c>
      <c r="I16" s="15">
        <f>MAX(0,(I14-I13))</f>
        <v>0</v>
      </c>
      <c r="J16" s="1"/>
      <c r="K16" s="1"/>
      <c r="L16" s="1"/>
      <c r="M16" s="1"/>
      <c r="N16" s="7" t="s">
        <v>17</v>
      </c>
      <c r="O16" s="15">
        <f>MAX(0,(O14-O13))</f>
        <v>1</v>
      </c>
      <c r="P16" s="1"/>
      <c r="Q16" s="1"/>
      <c r="R16" s="1"/>
    </row>
    <row r="17" spans="2:18" ht="18.75"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2:18" ht="18.75"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2:18" ht="18.75">
      <c r="B19" s="10" t="s">
        <v>4</v>
      </c>
      <c r="C19" s="11" t="s">
        <v>5</v>
      </c>
      <c r="D19" s="11" t="s">
        <v>6</v>
      </c>
      <c r="E19" s="12" t="s">
        <v>7</v>
      </c>
      <c r="H19" s="10" t="s">
        <v>4</v>
      </c>
      <c r="I19" s="11" t="s">
        <v>5</v>
      </c>
      <c r="J19" s="11" t="s">
        <v>6</v>
      </c>
      <c r="K19" s="12" t="s">
        <v>7</v>
      </c>
      <c r="L19" s="1"/>
      <c r="M19" s="1"/>
      <c r="N19" s="10" t="s">
        <v>4</v>
      </c>
      <c r="O19" s="11" t="s">
        <v>5</v>
      </c>
      <c r="P19" s="11" t="s">
        <v>6</v>
      </c>
      <c r="Q19" s="12" t="s">
        <v>7</v>
      </c>
      <c r="R19" s="1"/>
    </row>
    <row r="20" spans="2:18" ht="18.75">
      <c r="B20" s="16">
        <v>45778</v>
      </c>
      <c r="C20" s="1">
        <v>0</v>
      </c>
      <c r="D20" s="1">
        <f>-(O10+I10)</f>
        <v>-213.79000000000002</v>
      </c>
      <c r="E20" s="24">
        <f>D20/(1+$C$40)^C20</f>
        <v>-213.79000000000002</v>
      </c>
      <c r="H20" s="16">
        <v>45778</v>
      </c>
      <c r="I20" s="1">
        <v>0</v>
      </c>
      <c r="J20" s="64">
        <f>-I12</f>
        <v>-110.03</v>
      </c>
      <c r="K20" s="24">
        <f>J20/(1+$I$28)^I20</f>
        <v>-110.03</v>
      </c>
      <c r="L20" s="1"/>
      <c r="M20" s="1"/>
      <c r="N20" s="16">
        <v>45778</v>
      </c>
      <c r="O20" s="1">
        <v>0</v>
      </c>
      <c r="P20" s="64">
        <f>-O12</f>
        <v>-105.36416666666668</v>
      </c>
      <c r="Q20" s="24">
        <f>P20/(1+$O$35)^O20</f>
        <v>-105.36416666666668</v>
      </c>
      <c r="R20" s="1"/>
    </row>
    <row r="21" spans="2:18" ht="18.75">
      <c r="B21" s="16">
        <v>45792</v>
      </c>
      <c r="C21" s="1">
        <f>1/24</f>
        <v>4.1666666666666664E-2</v>
      </c>
      <c r="D21" s="1">
        <f>2-2*0.125</f>
        <v>1.75</v>
      </c>
      <c r="E21" s="24">
        <f>D21/(1+$C$40)^C21</f>
        <v>1.7481423472172579</v>
      </c>
      <c r="H21" s="16">
        <v>45962</v>
      </c>
      <c r="I21" s="1">
        <v>0.5</v>
      </c>
      <c r="J21" s="1">
        <f>100*0.0325*(1-0.125)</f>
        <v>2.84375</v>
      </c>
      <c r="K21" s="24">
        <f>J21/(1+$I$28)^I21</f>
        <v>2.821498011360303</v>
      </c>
      <c r="L21" s="1"/>
      <c r="M21" s="1"/>
      <c r="N21" s="16">
        <v>45792</v>
      </c>
      <c r="O21" s="1">
        <f>1/24</f>
        <v>4.1666666666666664E-2</v>
      </c>
      <c r="P21" s="1">
        <f>2-2*0.125</f>
        <v>1.75</v>
      </c>
      <c r="Q21" s="24">
        <f>P21/(1+$O$35)^O21</f>
        <v>1.7480159135500437</v>
      </c>
      <c r="R21" s="1"/>
    </row>
    <row r="22" spans="2:18" ht="18.75">
      <c r="B22" s="16">
        <v>45962</v>
      </c>
      <c r="C22" s="1">
        <v>0.5</v>
      </c>
      <c r="D22" s="1">
        <f>100*0.0325*(1-0.125)</f>
        <v>2.84375</v>
      </c>
      <c r="E22" s="24">
        <f>D22/(1+$C$40)^C22</f>
        <v>2.8077365134595906</v>
      </c>
      <c r="H22" s="16">
        <v>46143</v>
      </c>
      <c r="I22" s="1">
        <v>1</v>
      </c>
      <c r="J22" s="1">
        <f t="shared" ref="J22:J24" si="0">100*0.0325*(1-0.125)</f>
        <v>2.84375</v>
      </c>
      <c r="K22" s="24">
        <f>J22/(1+$I$28)^I22</f>
        <v>2.7994201417530173</v>
      </c>
      <c r="L22" s="1"/>
      <c r="M22" s="1"/>
      <c r="N22" s="16">
        <v>45976</v>
      </c>
      <c r="O22" s="1">
        <f>13/24</f>
        <v>0.54166666666666663</v>
      </c>
      <c r="P22" s="1">
        <f t="shared" ref="P22:P32" si="1">2-2*0.125</f>
        <v>1.75</v>
      </c>
      <c r="Q22" s="24">
        <f>P22/(1+$O$35)^O22</f>
        <v>1.7243816086467751</v>
      </c>
      <c r="R22" s="1"/>
    </row>
    <row r="23" spans="2:18" ht="18.75">
      <c r="B23" s="16">
        <v>45976</v>
      </c>
      <c r="C23" s="1">
        <f>13/24</f>
        <v>0.54166666666666663</v>
      </c>
      <c r="D23" s="1">
        <f t="shared" ref="D23:D36" si="2">2-2*0.125</f>
        <v>1.75</v>
      </c>
      <c r="E23" s="24">
        <f>D23/(1+$C$40)^C23</f>
        <v>1.7260037271232871</v>
      </c>
      <c r="H23" s="16">
        <v>46327</v>
      </c>
      <c r="I23" s="1">
        <v>1.5</v>
      </c>
      <c r="J23" s="1">
        <f t="shared" si="0"/>
        <v>2.84375</v>
      </c>
      <c r="K23" s="24">
        <f>J23/(1+$I$28)^I23</f>
        <v>2.777515028718458</v>
      </c>
      <c r="L23" s="1"/>
      <c r="M23" s="1"/>
      <c r="N23" s="16">
        <v>46157</v>
      </c>
      <c r="O23" s="1">
        <f>25/24</f>
        <v>1.0416666666666667</v>
      </c>
      <c r="P23" s="1">
        <f t="shared" si="1"/>
        <v>1.75</v>
      </c>
      <c r="Q23" s="24">
        <f>P23/(1+$O$35)^O23</f>
        <v>1.7010668548207766</v>
      </c>
      <c r="R23" s="1"/>
    </row>
    <row r="24" spans="2:18" ht="18.75">
      <c r="B24" s="16">
        <v>46143</v>
      </c>
      <c r="C24" s="1">
        <v>1</v>
      </c>
      <c r="D24" s="1">
        <f t="shared" ref="D24" si="3">100*0.0325*(1-0.125)</f>
        <v>2.84375</v>
      </c>
      <c r="E24" s="24">
        <f>D24/(1+$C$40)^C24</f>
        <v>2.7721791047082958</v>
      </c>
      <c r="H24" s="16">
        <v>46508</v>
      </c>
      <c r="I24" s="1">
        <v>2</v>
      </c>
      <c r="J24" s="1">
        <f t="shared" si="0"/>
        <v>2.84375</v>
      </c>
      <c r="K24" s="24">
        <f>J24/(1+$I$28)^I24</f>
        <v>2.7557813204580164</v>
      </c>
      <c r="L24" s="1"/>
      <c r="M24" s="1"/>
      <c r="N24" s="16">
        <v>46341</v>
      </c>
      <c r="O24" s="1">
        <f>37/24</f>
        <v>1.5416666666666667</v>
      </c>
      <c r="P24" s="1">
        <f t="shared" si="1"/>
        <v>1.75</v>
      </c>
      <c r="Q24" s="24">
        <f>P24/(1+$O$35)^O24</f>
        <v>1.6780673315349564</v>
      </c>
      <c r="R24" s="1"/>
    </row>
    <row r="25" spans="2:18" ht="18.75">
      <c r="B25" s="16">
        <v>46157</v>
      </c>
      <c r="C25" s="1">
        <f>25/24</f>
        <v>1.0416666666666667</v>
      </c>
      <c r="D25" s="1">
        <f t="shared" si="2"/>
        <v>1.75</v>
      </c>
      <c r="E25" s="24">
        <f>D25/(1+$C$40)^C25</f>
        <v>1.7041454723556559</v>
      </c>
      <c r="H25" s="18">
        <v>46692</v>
      </c>
      <c r="I25" s="19">
        <v>2.5</v>
      </c>
      <c r="J25" s="19">
        <f>100+100*0.0325*(1-0.125)-(0.125)*(I16+I15)</f>
        <v>102.84375</v>
      </c>
      <c r="K25" s="25">
        <f>J25/(1+$I$28)^I25</f>
        <v>98.882531548304158</v>
      </c>
      <c r="L25" s="1"/>
      <c r="M25" s="1"/>
      <c r="N25" s="16">
        <v>46522</v>
      </c>
      <c r="O25" s="1">
        <f>49/24</f>
        <v>2.0416666666666665</v>
      </c>
      <c r="P25" s="1">
        <f t="shared" si="1"/>
        <v>1.75</v>
      </c>
      <c r="Q25" s="24">
        <f>P25/(1+$O$35)^O25</f>
        <v>1.6553787766686763</v>
      </c>
      <c r="R25" s="1"/>
    </row>
    <row r="26" spans="2:18" ht="18.75">
      <c r="B26" s="16">
        <v>46327</v>
      </c>
      <c r="C26" s="1">
        <v>1.5</v>
      </c>
      <c r="D26" s="1">
        <f t="shared" ref="D26" si="4">100*0.0325*(1-0.125)</f>
        <v>2.84375</v>
      </c>
      <c r="E26" s="24">
        <f>D26/(1+$C$40)^C26</f>
        <v>2.7370719979390588</v>
      </c>
      <c r="H26" s="1"/>
      <c r="I26" s="1"/>
      <c r="J26" s="1"/>
      <c r="K26" s="1"/>
      <c r="L26" s="1"/>
      <c r="M26" s="1"/>
      <c r="N26" s="16">
        <v>46706</v>
      </c>
      <c r="O26" s="1">
        <f>61/24</f>
        <v>2.5416666666666665</v>
      </c>
      <c r="P26" s="1">
        <f t="shared" si="1"/>
        <v>1.75</v>
      </c>
      <c r="Q26" s="24">
        <f>P26/(1+$O$35)^O26</f>
        <v>1.6329969857279227</v>
      </c>
      <c r="R26" s="1"/>
    </row>
    <row r="27" spans="2:18" ht="18.75">
      <c r="B27" s="16">
        <v>46341</v>
      </c>
      <c r="C27" s="1">
        <f>37/24</f>
        <v>1.5416666666666667</v>
      </c>
      <c r="D27" s="1">
        <f t="shared" si="2"/>
        <v>1.75</v>
      </c>
      <c r="E27" s="24">
        <f>D27/(1+$C$40)^C27</f>
        <v>1.6825640323445508</v>
      </c>
      <c r="J27" s="1"/>
      <c r="K27" s="1"/>
      <c r="L27" s="1"/>
      <c r="M27" s="1"/>
      <c r="N27" s="16">
        <v>46888</v>
      </c>
      <c r="O27" s="1">
        <f>73/24</f>
        <v>3.0416666666666665</v>
      </c>
      <c r="P27" s="1">
        <f t="shared" si="1"/>
        <v>1.75</v>
      </c>
      <c r="Q27" s="24">
        <f>P27/(1+$O$35)^O27</f>
        <v>1.6109178110661595</v>
      </c>
      <c r="R27" s="1"/>
    </row>
    <row r="28" spans="2:18" ht="18.75">
      <c r="B28" s="16">
        <v>46508</v>
      </c>
      <c r="C28" s="1">
        <v>2</v>
      </c>
      <c r="D28" s="1">
        <f t="shared" ref="D28" si="5">100*0.0325*(1-0.125)</f>
        <v>2.84375</v>
      </c>
      <c r="E28" s="24">
        <f>D28/(1+$C$40)^C28</f>
        <v>2.702409490490123</v>
      </c>
      <c r="H28" s="7" t="s">
        <v>8</v>
      </c>
      <c r="I28" s="15">
        <f>XIRR(J20:J25,H20:H25)</f>
        <v>1.58353716135025E-2</v>
      </c>
      <c r="J28" s="1"/>
      <c r="K28" s="1"/>
      <c r="L28" s="1"/>
      <c r="M28" s="1"/>
      <c r="N28" s="16">
        <v>47072</v>
      </c>
      <c r="O28" s="1">
        <f>85/24</f>
        <v>3.5416666666666665</v>
      </c>
      <c r="P28" s="1">
        <f t="shared" si="1"/>
        <v>1.75</v>
      </c>
      <c r="Q28" s="24">
        <f>P28/(1+$O$35)^O28</f>
        <v>1.5891371611157128</v>
      </c>
      <c r="R28" s="1"/>
    </row>
    <row r="29" spans="2:18" ht="18.75">
      <c r="B29" s="16">
        <v>46522</v>
      </c>
      <c r="C29" s="1">
        <f>49/24</f>
        <v>2.0416666666666665</v>
      </c>
      <c r="D29" s="1">
        <f t="shared" si="2"/>
        <v>1.75</v>
      </c>
      <c r="E29" s="24">
        <f>D29/(1+$C$40)^C29</f>
        <v>1.6612559014848693</v>
      </c>
      <c r="H29" s="2"/>
      <c r="I29" s="2"/>
      <c r="J29" s="1"/>
      <c r="K29" s="1"/>
      <c r="L29" s="1"/>
      <c r="M29" s="1"/>
      <c r="N29" s="16">
        <v>47253</v>
      </c>
      <c r="O29" s="1">
        <f>97/24</f>
        <v>4.041666666666667</v>
      </c>
      <c r="P29" s="1">
        <f t="shared" si="1"/>
        <v>1.75</v>
      </c>
      <c r="Q29" s="24">
        <f>P29/(1+$O$35)^O29</f>
        <v>1.5676509996295473</v>
      </c>
      <c r="R29" s="1"/>
    </row>
    <row r="30" spans="2:18" ht="18.75">
      <c r="B30" s="16">
        <v>46692</v>
      </c>
      <c r="C30" s="1">
        <v>2.5</v>
      </c>
      <c r="D30" s="1">
        <f>100+100*0.0325*(1-0.125)-(0.125)*(I16+I15)</f>
        <v>102.84375</v>
      </c>
      <c r="E30" s="24">
        <f>D30/(1+$C$40)^C30</f>
        <v>96.494505140269126</v>
      </c>
      <c r="H30" s="7" t="s">
        <v>9</v>
      </c>
      <c r="I30" s="15">
        <f>SUM(K20:K25)</f>
        <v>6.7460505939465065E-3</v>
      </c>
      <c r="J30" s="1"/>
      <c r="K30" s="1"/>
      <c r="L30" s="1"/>
      <c r="M30" s="1"/>
      <c r="N30" s="16">
        <v>47437</v>
      </c>
      <c r="O30" s="1">
        <f>109/24</f>
        <v>4.541666666666667</v>
      </c>
      <c r="P30" s="1">
        <f t="shared" si="1"/>
        <v>1.75</v>
      </c>
      <c r="Q30" s="24">
        <f>P30/(1+$O$35)^O30</f>
        <v>1.5464553449332963</v>
      </c>
      <c r="R30" s="1"/>
    </row>
    <row r="31" spans="2:18" ht="18.75">
      <c r="B31" s="16">
        <v>46706</v>
      </c>
      <c r="C31" s="1">
        <f>61/24</f>
        <v>2.5416666666666665</v>
      </c>
      <c r="D31" s="1">
        <f t="shared" si="2"/>
        <v>1.75</v>
      </c>
      <c r="E31" s="24">
        <f>D31/(1+$C$40)^C31</f>
        <v>1.6402176185667854</v>
      </c>
      <c r="N31" s="16">
        <v>47618</v>
      </c>
      <c r="O31" s="1">
        <f>121/24</f>
        <v>5.041666666666667</v>
      </c>
      <c r="P31" s="1">
        <f t="shared" si="1"/>
        <v>1.75</v>
      </c>
      <c r="Q31" s="24">
        <f>P31/(1+$O$35)^O31</f>
        <v>1.5255462691874038</v>
      </c>
      <c r="R31" s="1"/>
    </row>
    <row r="32" spans="2:18" ht="18.75">
      <c r="B32" s="16">
        <v>46888</v>
      </c>
      <c r="C32" s="1">
        <f>73/24</f>
        <v>3.0416666666666665</v>
      </c>
      <c r="D32" s="1">
        <f t="shared" si="2"/>
        <v>1.75</v>
      </c>
      <c r="E32" s="24">
        <f>D32/(1+$C$40)^C32</f>
        <v>1.6194457662135202</v>
      </c>
      <c r="N32" s="18">
        <v>47802</v>
      </c>
      <c r="O32" s="19">
        <f>133/24</f>
        <v>5.541666666666667</v>
      </c>
      <c r="P32" s="19">
        <f>100+2-2*0.125-(0.125)*(O16+O15)</f>
        <v>101.625</v>
      </c>
      <c r="Q32" s="25">
        <f>P32/(1+$O$35)^O32</f>
        <v>87.392848342640377</v>
      </c>
    </row>
    <row r="33" spans="2:15" ht="18.75">
      <c r="B33" s="16">
        <v>47072</v>
      </c>
      <c r="C33" s="1">
        <f>85/24</f>
        <v>3.5416666666666665</v>
      </c>
      <c r="D33" s="1">
        <f t="shared" si="2"/>
        <v>1.75</v>
      </c>
      <c r="E33" s="24">
        <f>D33/(1+$C$40)^C33</f>
        <v>1.5989369703262395</v>
      </c>
      <c r="N33" s="1"/>
      <c r="O33" s="1"/>
    </row>
    <row r="34" spans="2:15" ht="18.75">
      <c r="B34" s="16">
        <v>47253</v>
      </c>
      <c r="C34" s="1">
        <f>97/24</f>
        <v>4.041666666666667</v>
      </c>
      <c r="D34" s="1">
        <f t="shared" si="2"/>
        <v>1.75</v>
      </c>
      <c r="E34" s="24">
        <f>D34/(1+$C$40)^C34</f>
        <v>1.5786878995359774</v>
      </c>
    </row>
    <row r="35" spans="2:15" ht="18.75">
      <c r="B35" s="16">
        <v>47437</v>
      </c>
      <c r="C35" s="1">
        <f>109/24</f>
        <v>4.541666666666667</v>
      </c>
      <c r="D35" s="1">
        <f t="shared" si="2"/>
        <v>1.75</v>
      </c>
      <c r="E35" s="24">
        <f>D35/(1+$C$40)^C35</f>
        <v>1.5586952646625019</v>
      </c>
      <c r="N35" s="7" t="s">
        <v>8</v>
      </c>
      <c r="O35" s="15">
        <f>XIRR(P20:P32,N20:N32)</f>
        <v>2.7599772810935976E-2</v>
      </c>
    </row>
    <row r="36" spans="2:15" ht="18.75">
      <c r="B36" s="16">
        <v>47618</v>
      </c>
      <c r="C36" s="1">
        <f>121/24</f>
        <v>5.041666666666667</v>
      </c>
      <c r="D36" s="1">
        <f t="shared" si="2"/>
        <v>1.75</v>
      </c>
      <c r="E36" s="24">
        <f>D36/(1+$C$40)^C36</f>
        <v>1.538955818180032</v>
      </c>
      <c r="N36" s="2"/>
      <c r="O36" s="2"/>
    </row>
    <row r="37" spans="2:15" ht="18.75">
      <c r="B37" s="18">
        <v>47802</v>
      </c>
      <c r="C37" s="19">
        <f>133/24</f>
        <v>5.541666666666667</v>
      </c>
      <c r="D37" s="19">
        <f>100+2-2*0.125-(0.125)*(O16+O15)</f>
        <v>101.625</v>
      </c>
      <c r="E37" s="25">
        <f>D37/(1+$C$40)^C37</f>
        <v>88.237581824981845</v>
      </c>
      <c r="N37" s="7" t="s">
        <v>9</v>
      </c>
      <c r="O37" s="15">
        <f>SUM(Q20:Q32)</f>
        <v>8.296732854986999E-3</v>
      </c>
    </row>
    <row r="39" spans="2:15" ht="18.75">
      <c r="H39" s="1"/>
      <c r="I39" s="1"/>
    </row>
    <row r="40" spans="2:15" ht="18.75">
      <c r="B40" s="7" t="s">
        <v>8</v>
      </c>
      <c r="C40" s="38">
        <f>XIRR(D20:D37,B20:B37)</f>
        <v>2.5817558169364933E-2</v>
      </c>
      <c r="D40" s="39">
        <f>C40</f>
        <v>2.5817558169364933E-2</v>
      </c>
    </row>
    <row r="41" spans="2:15" ht="18.75">
      <c r="B41" s="2"/>
      <c r="C41" s="2"/>
    </row>
    <row r="42" spans="2:15" ht="18.75">
      <c r="B42" s="7" t="s">
        <v>9</v>
      </c>
      <c r="C42" s="15">
        <f>SUM(E20:E37)</f>
        <v>1.8534889858699444E-2</v>
      </c>
    </row>
  </sheetData>
  <mergeCells count="3">
    <mergeCell ref="A1:G2"/>
    <mergeCell ref="A3:G3"/>
    <mergeCell ref="A4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1191-597B-427D-9064-CA76EFFC1F37}">
  <dimension ref="A1:W48"/>
  <sheetViews>
    <sheetView workbookViewId="0">
      <selection activeCell="C13" sqref="C13"/>
    </sheetView>
  </sheetViews>
  <sheetFormatPr defaultRowHeight="15"/>
  <cols>
    <col min="2" max="2" width="29.85546875" customWidth="1"/>
    <col min="3" max="3" width="14.85546875" customWidth="1"/>
    <col min="4" max="4" width="12.140625" customWidth="1"/>
    <col min="5" max="5" width="21.42578125" customWidth="1"/>
    <col min="8" max="8" width="29.28515625" customWidth="1"/>
    <col min="9" max="9" width="21" customWidth="1"/>
    <col min="10" max="10" width="11.7109375" customWidth="1"/>
    <col min="11" max="11" width="23" customWidth="1"/>
    <col min="12" max="12" width="13.7109375" customWidth="1"/>
    <col min="13" max="13" width="11.85546875" customWidth="1"/>
    <col min="14" max="14" width="28.140625" customWidth="1"/>
    <col min="15" max="15" width="17.85546875" customWidth="1"/>
    <col min="16" max="16" width="11.7109375" customWidth="1"/>
    <col min="17" max="17" width="23.140625" customWidth="1"/>
    <col min="20" max="20" width="27.85546875" customWidth="1"/>
    <col min="21" max="21" width="14.28515625" customWidth="1"/>
    <col min="22" max="22" width="12.28515625" customWidth="1"/>
    <col min="23" max="23" width="26.140625" customWidth="1"/>
  </cols>
  <sheetData>
    <row r="1" spans="1:23">
      <c r="A1" s="69" t="s">
        <v>10</v>
      </c>
      <c r="B1" s="69"/>
      <c r="C1" s="69"/>
      <c r="D1" s="69"/>
      <c r="E1" s="69"/>
      <c r="F1" s="69"/>
      <c r="G1" s="69"/>
    </row>
    <row r="2" spans="1:23">
      <c r="A2" s="69"/>
      <c r="B2" s="69"/>
      <c r="C2" s="69"/>
      <c r="D2" s="69"/>
      <c r="E2" s="69"/>
      <c r="F2" s="69"/>
      <c r="G2" s="69"/>
    </row>
    <row r="3" spans="1:23" ht="21">
      <c r="A3" s="69" t="s">
        <v>13</v>
      </c>
      <c r="B3" s="69"/>
      <c r="C3" s="69"/>
      <c r="D3" s="69"/>
      <c r="E3" s="69"/>
      <c r="F3" s="69"/>
      <c r="G3" s="69"/>
    </row>
    <row r="4" spans="1:23" ht="21">
      <c r="A4" s="69" t="s">
        <v>34</v>
      </c>
      <c r="B4" s="69"/>
      <c r="C4" s="69"/>
      <c r="D4" s="69"/>
      <c r="E4" s="69"/>
      <c r="F4" s="69"/>
      <c r="G4" s="69"/>
    </row>
    <row r="6" spans="1:23" ht="18.7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3" ht="18.75">
      <c r="B7" s="29" t="s">
        <v>35</v>
      </c>
      <c r="C7" s="2"/>
      <c r="D7" s="2"/>
      <c r="E7" s="2"/>
      <c r="F7" s="1"/>
      <c r="G7" s="1"/>
      <c r="H7" s="29" t="s">
        <v>20</v>
      </c>
      <c r="I7" s="2"/>
      <c r="J7" s="1"/>
      <c r="K7" s="1"/>
      <c r="L7" s="1"/>
      <c r="M7" s="1"/>
      <c r="N7" s="29" t="s">
        <v>21</v>
      </c>
      <c r="O7" s="2"/>
      <c r="P7" s="1"/>
      <c r="Q7" s="1"/>
      <c r="R7" s="1"/>
      <c r="S7" s="1"/>
      <c r="T7" s="29" t="s">
        <v>22</v>
      </c>
      <c r="U7" s="2"/>
      <c r="V7" s="1"/>
      <c r="W7" s="1"/>
    </row>
    <row r="8" spans="1:23" ht="18.75">
      <c r="B8" s="2"/>
      <c r="C8" s="2"/>
      <c r="D8" s="2"/>
      <c r="E8" s="2"/>
      <c r="F8" s="1"/>
      <c r="G8" s="1"/>
      <c r="H8" s="2"/>
      <c r="I8" s="2"/>
      <c r="J8" s="1"/>
      <c r="K8" s="1"/>
      <c r="L8" s="1"/>
      <c r="M8" s="1"/>
      <c r="N8" s="2"/>
      <c r="O8" s="2"/>
      <c r="P8" s="1"/>
      <c r="Q8" s="1"/>
      <c r="R8" s="1"/>
      <c r="S8" s="1"/>
      <c r="T8" s="2"/>
      <c r="U8" s="2"/>
      <c r="V8" s="1"/>
      <c r="W8" s="1"/>
    </row>
    <row r="9" spans="1:23" ht="18.75">
      <c r="B9" s="21" t="s">
        <v>36</v>
      </c>
      <c r="C9" s="32">
        <f>TRUNC(1000000*0.15/I11)</f>
        <v>1502</v>
      </c>
      <c r="D9" s="74" t="s">
        <v>37</v>
      </c>
      <c r="E9" s="75"/>
      <c r="F9" s="1"/>
      <c r="G9" s="1"/>
      <c r="H9" s="21" t="s">
        <v>23</v>
      </c>
      <c r="I9" s="12">
        <v>1</v>
      </c>
      <c r="J9" s="1"/>
      <c r="K9" s="1"/>
      <c r="L9" s="1"/>
      <c r="M9" s="1"/>
      <c r="N9" s="21" t="s">
        <v>24</v>
      </c>
      <c r="O9" s="22">
        <v>1</v>
      </c>
      <c r="P9" s="1"/>
      <c r="Q9" s="1"/>
      <c r="R9" s="1"/>
      <c r="S9" s="1"/>
      <c r="T9" s="21" t="s">
        <v>24</v>
      </c>
      <c r="U9" s="22">
        <v>1</v>
      </c>
      <c r="V9" s="1"/>
      <c r="W9" s="1"/>
    </row>
    <row r="10" spans="1:23" ht="18.75">
      <c r="B10" s="21" t="s">
        <v>38</v>
      </c>
      <c r="C10" s="32">
        <f>TRUNC(1000000*0.45/O11)</f>
        <v>4089</v>
      </c>
      <c r="D10" s="74" t="s">
        <v>37</v>
      </c>
      <c r="E10" s="75"/>
      <c r="F10" s="1"/>
      <c r="G10" s="1"/>
      <c r="H10" s="21" t="s">
        <v>2</v>
      </c>
      <c r="I10" s="54">
        <f>'TIR A tax, TIR B tax, TIR C tax'!C10</f>
        <v>8.7500000000000008E-3</v>
      </c>
      <c r="J10" s="1"/>
      <c r="K10" s="1"/>
      <c r="L10" s="1"/>
      <c r="M10" s="1"/>
      <c r="N10" s="21" t="s">
        <v>2</v>
      </c>
      <c r="O10" s="54">
        <f>'TIR A tax, TIR B tax, TIR C tax'!I10</f>
        <v>2.8437500000000001E-2</v>
      </c>
      <c r="P10" s="1"/>
      <c r="Q10" s="1"/>
      <c r="R10" s="1"/>
      <c r="S10" s="1"/>
      <c r="T10" s="21" t="s">
        <v>2</v>
      </c>
      <c r="U10" s="55">
        <f>'TIR A tax, TIR B tax, TIR C tax'!O10</f>
        <v>1.7500000000000002E-2</v>
      </c>
      <c r="V10" s="1"/>
      <c r="W10" s="1"/>
    </row>
    <row r="11" spans="1:23" ht="18.75">
      <c r="B11" s="21" t="s">
        <v>39</v>
      </c>
      <c r="C11" s="32">
        <f>TRUNC(1000000*0.4/U11)</f>
        <v>3855</v>
      </c>
      <c r="D11" s="72" t="s">
        <v>37</v>
      </c>
      <c r="E11" s="73"/>
      <c r="F11" s="1"/>
      <c r="G11" s="1"/>
      <c r="H11" s="7" t="s">
        <v>25</v>
      </c>
      <c r="I11" s="60">
        <f>99.854</f>
        <v>99.853999999999999</v>
      </c>
      <c r="J11" s="1"/>
      <c r="K11" s="1"/>
      <c r="L11" s="1"/>
      <c r="M11" s="1"/>
      <c r="N11" s="21" t="s">
        <v>25</v>
      </c>
      <c r="O11" s="62">
        <f>110.03</f>
        <v>110.03</v>
      </c>
      <c r="P11" s="1"/>
      <c r="Q11" s="1"/>
      <c r="R11" s="1"/>
      <c r="S11" s="1"/>
      <c r="T11" s="21" t="s">
        <v>25</v>
      </c>
      <c r="U11" s="62">
        <f>103.76</f>
        <v>103.76</v>
      </c>
      <c r="V11" s="1"/>
      <c r="W11" s="1"/>
    </row>
    <row r="12" spans="1:23" ht="18.75">
      <c r="B12" s="7" t="s">
        <v>40</v>
      </c>
      <c r="C12" s="61">
        <f>C9*I11+C10*O11+C11*U11</f>
        <v>999888.17800000007</v>
      </c>
      <c r="D12" s="2"/>
      <c r="E12" s="2"/>
      <c r="F12" s="1"/>
      <c r="G12" s="1"/>
      <c r="H12" s="28" t="s">
        <v>18</v>
      </c>
      <c r="I12" s="63">
        <f>(1-0.125)*5/6</f>
        <v>0.72916666666666663</v>
      </c>
      <c r="J12" s="1"/>
      <c r="K12" s="1"/>
      <c r="L12" s="1"/>
      <c r="M12" s="1"/>
      <c r="N12" s="21" t="s">
        <v>18</v>
      </c>
      <c r="O12" s="23">
        <v>0</v>
      </c>
      <c r="P12" s="1"/>
      <c r="Q12" s="1"/>
      <c r="R12" s="1"/>
      <c r="S12" s="1"/>
      <c r="T12" s="21" t="s">
        <v>18</v>
      </c>
      <c r="U12" s="62">
        <f>(2*(1-0.125))*11/12</f>
        <v>1.6041666666666667</v>
      </c>
      <c r="V12" s="1"/>
      <c r="W12" s="1"/>
    </row>
    <row r="13" spans="1:23" ht="18.75">
      <c r="B13" s="7" t="s">
        <v>41</v>
      </c>
      <c r="C13" s="61">
        <f>C9*I12+C10*O12+C11*U12</f>
        <v>7279.270833333333</v>
      </c>
      <c r="D13" s="2"/>
      <c r="E13" s="2"/>
      <c r="F13" s="1"/>
      <c r="G13" s="1"/>
      <c r="H13" s="7" t="s">
        <v>26</v>
      </c>
      <c r="I13" s="60">
        <f>I11+I12</f>
        <v>100.58316666666667</v>
      </c>
      <c r="J13" s="1"/>
      <c r="K13" s="1"/>
      <c r="L13" s="1"/>
      <c r="M13" s="1"/>
      <c r="N13" s="7" t="s">
        <v>26</v>
      </c>
      <c r="O13" s="61">
        <f>O11+O12</f>
        <v>110.03</v>
      </c>
      <c r="P13" s="1"/>
      <c r="Q13" s="1"/>
      <c r="R13" s="1"/>
      <c r="S13" s="1"/>
      <c r="T13" s="7" t="s">
        <v>26</v>
      </c>
      <c r="U13" s="61">
        <f>U11+U12</f>
        <v>105.36416666666668</v>
      </c>
      <c r="V13" s="1"/>
      <c r="W13" s="1"/>
    </row>
    <row r="14" spans="1:23" ht="18.75">
      <c r="B14" s="2"/>
      <c r="C14" s="2"/>
      <c r="D14" s="2"/>
      <c r="E14" s="2"/>
      <c r="F14" s="1"/>
      <c r="G14" s="1"/>
      <c r="H14" s="21" t="s">
        <v>27</v>
      </c>
      <c r="I14" s="22">
        <v>100.51</v>
      </c>
      <c r="J14" s="1"/>
      <c r="K14" s="1"/>
      <c r="L14" s="1"/>
      <c r="M14" s="1"/>
      <c r="N14" s="21" t="s">
        <v>27</v>
      </c>
      <c r="O14" s="22">
        <v>100.15</v>
      </c>
      <c r="P14" s="1"/>
      <c r="Q14" s="1"/>
      <c r="R14" s="1"/>
      <c r="S14" s="1"/>
      <c r="T14" s="21" t="s">
        <v>27</v>
      </c>
      <c r="U14" s="22">
        <v>99</v>
      </c>
      <c r="V14" s="1"/>
      <c r="W14" s="1"/>
    </row>
    <row r="15" spans="1:23" ht="18.75">
      <c r="B15" s="2"/>
      <c r="C15" s="2"/>
      <c r="D15" s="2"/>
      <c r="E15" s="2"/>
      <c r="F15" s="1"/>
      <c r="G15" s="1"/>
      <c r="H15" s="21" t="s">
        <v>14</v>
      </c>
      <c r="I15" s="22">
        <v>100</v>
      </c>
      <c r="J15" s="1"/>
      <c r="K15" s="1"/>
      <c r="L15" s="1"/>
      <c r="M15" s="1"/>
      <c r="N15" s="21" t="s">
        <v>14</v>
      </c>
      <c r="O15" s="22">
        <v>100</v>
      </c>
      <c r="P15" s="1"/>
      <c r="Q15" s="1"/>
      <c r="R15" s="1"/>
      <c r="S15" s="1"/>
      <c r="T15" s="21" t="s">
        <v>14</v>
      </c>
      <c r="U15" s="22">
        <v>100</v>
      </c>
      <c r="V15" s="1"/>
      <c r="W15" s="1"/>
    </row>
    <row r="16" spans="1:23" ht="18.75">
      <c r="B16" s="2"/>
      <c r="C16" s="2"/>
      <c r="D16" s="2"/>
      <c r="E16" s="2"/>
      <c r="F16" s="1"/>
      <c r="G16" s="1"/>
      <c r="H16" s="21" t="s">
        <v>16</v>
      </c>
      <c r="I16" s="23">
        <f>MAX(0,(I15-I11))</f>
        <v>0.1460000000000008</v>
      </c>
      <c r="J16" s="1"/>
      <c r="K16" s="1"/>
      <c r="L16" s="1"/>
      <c r="M16" s="1"/>
      <c r="N16" s="21" t="s">
        <v>16</v>
      </c>
      <c r="O16" s="23">
        <f>MAX(0,(O15-O11))</f>
        <v>0</v>
      </c>
      <c r="P16" s="1"/>
      <c r="Q16" s="1"/>
      <c r="R16" s="1"/>
      <c r="S16" s="1"/>
      <c r="T16" s="21" t="s">
        <v>16</v>
      </c>
      <c r="U16" s="23">
        <f>MAX(0,(U15-U11))</f>
        <v>0</v>
      </c>
      <c r="V16" s="1"/>
      <c r="W16" s="1"/>
    </row>
    <row r="17" spans="2:23" ht="18.75">
      <c r="B17" s="2"/>
      <c r="C17" s="2"/>
      <c r="D17" s="2"/>
      <c r="E17" s="2"/>
      <c r="F17" s="1"/>
      <c r="G17" s="1"/>
      <c r="H17" s="7" t="s">
        <v>17</v>
      </c>
      <c r="I17" s="15">
        <f>MAX(0,(I15-I14))</f>
        <v>0</v>
      </c>
      <c r="J17" s="1"/>
      <c r="K17" s="1"/>
      <c r="L17" s="1"/>
      <c r="M17" s="1"/>
      <c r="N17" s="7" t="s">
        <v>17</v>
      </c>
      <c r="O17" s="15">
        <f>MAX(0,(O15-O14))</f>
        <v>0</v>
      </c>
      <c r="P17" s="1"/>
      <c r="Q17" s="1"/>
      <c r="R17" s="1"/>
      <c r="S17" s="1"/>
      <c r="T17" s="7" t="s">
        <v>17</v>
      </c>
      <c r="U17" s="15">
        <f>MAX(0,(U15-U14))</f>
        <v>1</v>
      </c>
      <c r="V17" s="1"/>
      <c r="W17" s="1"/>
    </row>
    <row r="18" spans="2:23" ht="18.75">
      <c r="B18" s="2"/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ht="18.75">
      <c r="B19" s="2"/>
      <c r="C19" s="2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ht="18.75">
      <c r="B20" s="10" t="s">
        <v>4</v>
      </c>
      <c r="C20" s="11" t="s">
        <v>5</v>
      </c>
      <c r="D20" s="11" t="s">
        <v>6</v>
      </c>
      <c r="E20" s="12" t="s">
        <v>7</v>
      </c>
      <c r="F20" s="1"/>
      <c r="G20" s="1"/>
      <c r="H20" s="10" t="s">
        <v>4</v>
      </c>
      <c r="I20" s="11" t="s">
        <v>5</v>
      </c>
      <c r="J20" s="11" t="s">
        <v>6</v>
      </c>
      <c r="K20" s="12" t="s">
        <v>7</v>
      </c>
      <c r="L20" s="1"/>
      <c r="M20" s="1"/>
      <c r="N20" s="10" t="s">
        <v>4</v>
      </c>
      <c r="O20" s="11" t="s">
        <v>5</v>
      </c>
      <c r="P20" s="11" t="s">
        <v>6</v>
      </c>
      <c r="Q20" s="12" t="s">
        <v>7</v>
      </c>
      <c r="R20" s="1"/>
      <c r="S20" s="1"/>
      <c r="T20" s="10" t="s">
        <v>4</v>
      </c>
      <c r="U20" s="11" t="s">
        <v>5</v>
      </c>
      <c r="V20" s="11" t="s">
        <v>6</v>
      </c>
      <c r="W20" s="12" t="s">
        <v>7</v>
      </c>
    </row>
    <row r="21" spans="2:23" ht="18.75">
      <c r="B21" s="16">
        <v>45778</v>
      </c>
      <c r="C21" s="1">
        <v>0</v>
      </c>
      <c r="D21" s="1">
        <f>-(C12+C13)</f>
        <v>-1007167.4488333334</v>
      </c>
      <c r="E21" s="24">
        <f>D21/(1+$C$43)^C21</f>
        <v>-1007167.4488333334</v>
      </c>
      <c r="F21" s="1"/>
      <c r="G21" s="1"/>
      <c r="H21" s="16">
        <v>45778</v>
      </c>
      <c r="I21" s="1">
        <v>0</v>
      </c>
      <c r="J21" s="64">
        <f>-I13</f>
        <v>-100.58316666666667</v>
      </c>
      <c r="K21" s="24">
        <f>J21/(1+$I$26)^I21</f>
        <v>-100.58316666666667</v>
      </c>
      <c r="L21" s="1"/>
      <c r="M21" s="1"/>
      <c r="N21" s="16">
        <v>45778</v>
      </c>
      <c r="O21" s="1">
        <v>0</v>
      </c>
      <c r="P21" s="64">
        <f>-O13</f>
        <v>-110.03</v>
      </c>
      <c r="Q21" s="24">
        <f>P21/(1+$O$29)^O21</f>
        <v>-110.03</v>
      </c>
      <c r="R21" s="1"/>
      <c r="S21" s="1"/>
      <c r="T21" s="16">
        <v>45778</v>
      </c>
      <c r="U21" s="1">
        <v>0</v>
      </c>
      <c r="V21" s="64">
        <f>-U13</f>
        <v>-105.36416666666668</v>
      </c>
      <c r="W21" s="24">
        <f>V21/(1+$U$36)^U21</f>
        <v>-105.36416666666668</v>
      </c>
    </row>
    <row r="22" spans="2:23" ht="18.75">
      <c r="B22" s="16">
        <v>45792</v>
      </c>
      <c r="C22" s="1">
        <f>1/24</f>
        <v>4.1666666666666664E-2</v>
      </c>
      <c r="D22" s="1">
        <f>(2-2*0.125)*C11</f>
        <v>6746.25</v>
      </c>
      <c r="E22" s="24">
        <f t="shared" ref="E22:E40" si="0">D22/(1+$C$43)^C22</f>
        <v>6739.7282019984586</v>
      </c>
      <c r="F22" s="1"/>
      <c r="G22" s="1"/>
      <c r="H22" s="16">
        <v>45809</v>
      </c>
      <c r="I22" s="1">
        <f>1/12</f>
        <v>8.3333333333333329E-2</v>
      </c>
      <c r="J22" s="1">
        <f>1-(1*0.125)</f>
        <v>0.875</v>
      </c>
      <c r="K22" s="24">
        <f>J22/(1+$I$26)^I22</f>
        <v>0.87357850971628892</v>
      </c>
      <c r="L22" s="1"/>
      <c r="M22" s="1"/>
      <c r="N22" s="16">
        <v>45962</v>
      </c>
      <c r="O22" s="1">
        <v>0.5</v>
      </c>
      <c r="P22" s="1">
        <f>100*0.0325*(1-0.125)</f>
        <v>2.84375</v>
      </c>
      <c r="Q22" s="24">
        <f>P22/(1+$O$29)^O22</f>
        <v>2.821498011360303</v>
      </c>
      <c r="R22" s="1"/>
      <c r="S22" s="1"/>
      <c r="T22" s="16">
        <v>45792</v>
      </c>
      <c r="U22" s="1">
        <f>1/24</f>
        <v>4.1666666666666664E-2</v>
      </c>
      <c r="V22" s="1">
        <f>2-2*0.125</f>
        <v>1.75</v>
      </c>
      <c r="W22" s="24">
        <f>V22/(1+$U$36)^U22</f>
        <v>1.7480159135500437</v>
      </c>
    </row>
    <row r="23" spans="2:23" ht="18.75">
      <c r="B23" s="16">
        <v>45809</v>
      </c>
      <c r="C23" s="1">
        <f>1/12</f>
        <v>8.3333333333333329E-2</v>
      </c>
      <c r="D23" s="1">
        <f>(1-(1*0.125))*C9</f>
        <v>1314.25</v>
      </c>
      <c r="E23" s="24">
        <f t="shared" si="0"/>
        <v>1311.7101801081055</v>
      </c>
      <c r="F23" s="1"/>
      <c r="G23" s="1"/>
      <c r="H23" s="18">
        <v>45992</v>
      </c>
      <c r="I23" s="19">
        <f>7/12</f>
        <v>0.58333333333333337</v>
      </c>
      <c r="J23" s="19">
        <f>100+1-(1*0.125)-(0.125)*(I17+I16)</f>
        <v>100.85675000000001</v>
      </c>
      <c r="K23" s="25">
        <f>J23/(1+$I$26)^I23</f>
        <v>99.715389564133986</v>
      </c>
      <c r="L23" s="1"/>
      <c r="M23" s="1"/>
      <c r="N23" s="16">
        <v>46143</v>
      </c>
      <c r="O23" s="1">
        <v>1</v>
      </c>
      <c r="P23" s="1">
        <f t="shared" ref="P23:P25" si="1">100*0.0325*(1-0.125)</f>
        <v>2.84375</v>
      </c>
      <c r="Q23" s="24">
        <f>P23/(1+$O$29)^O23</f>
        <v>2.7994201417530173</v>
      </c>
      <c r="R23" s="1"/>
      <c r="S23" s="1"/>
      <c r="T23" s="16">
        <v>45976</v>
      </c>
      <c r="U23" s="1">
        <f>13/24</f>
        <v>0.54166666666666663</v>
      </c>
      <c r="V23" s="1">
        <f t="shared" ref="V23:V33" si="2">2-2*0.125</f>
        <v>1.75</v>
      </c>
      <c r="W23" s="24">
        <f>V23/(1+$U$36)^U23</f>
        <v>1.7243816086467751</v>
      </c>
    </row>
    <row r="24" spans="2:23" ht="18.75">
      <c r="B24" s="16">
        <v>45962</v>
      </c>
      <c r="C24" s="1">
        <v>0.5</v>
      </c>
      <c r="D24" s="1">
        <f>(100*0.0325*(1-0.125))*C10</f>
        <v>11628.09375</v>
      </c>
      <c r="E24" s="24">
        <f t="shared" si="0"/>
        <v>11493.914043393963</v>
      </c>
      <c r="F24" s="1"/>
      <c r="G24" s="1"/>
      <c r="H24" s="1"/>
      <c r="I24" s="1"/>
      <c r="J24" s="1"/>
      <c r="K24" s="1"/>
      <c r="L24" s="1"/>
      <c r="M24" s="1"/>
      <c r="N24" s="16">
        <v>46327</v>
      </c>
      <c r="O24" s="1">
        <v>1.5</v>
      </c>
      <c r="P24" s="1">
        <f t="shared" si="1"/>
        <v>2.84375</v>
      </c>
      <c r="Q24" s="24">
        <f>P24/(1+$O$29)^O24</f>
        <v>2.777515028718458</v>
      </c>
      <c r="R24" s="1"/>
      <c r="S24" s="1"/>
      <c r="T24" s="16">
        <v>46157</v>
      </c>
      <c r="U24" s="1">
        <f>25/24</f>
        <v>1.0416666666666667</v>
      </c>
      <c r="V24" s="1">
        <f t="shared" si="2"/>
        <v>1.75</v>
      </c>
      <c r="W24" s="24">
        <f>V24/(1+$U$36)^U24</f>
        <v>1.7010668548207766</v>
      </c>
    </row>
    <row r="25" spans="2:23" ht="18.75">
      <c r="B25" s="16">
        <v>45976</v>
      </c>
      <c r="C25" s="1">
        <f>13/24</f>
        <v>0.54166666666666663</v>
      </c>
      <c r="D25" s="1">
        <f>(2-2*0.125)*C11</f>
        <v>6746.25</v>
      </c>
      <c r="E25" s="24">
        <f t="shared" si="0"/>
        <v>6661.9566624674344</v>
      </c>
      <c r="F25" s="1"/>
      <c r="G25" s="1"/>
      <c r="H25" s="1"/>
      <c r="I25" s="1"/>
      <c r="J25" s="1"/>
      <c r="K25" s="1"/>
      <c r="L25" s="1"/>
      <c r="M25" s="1"/>
      <c r="N25" s="16">
        <v>46508</v>
      </c>
      <c r="O25" s="1">
        <v>2</v>
      </c>
      <c r="P25" s="1">
        <f t="shared" si="1"/>
        <v>2.84375</v>
      </c>
      <c r="Q25" s="24">
        <f>P25/(1+$O$29)^O25</f>
        <v>2.7557813204580164</v>
      </c>
      <c r="R25" s="1"/>
      <c r="S25" s="1"/>
      <c r="T25" s="16">
        <v>46341</v>
      </c>
      <c r="U25" s="1">
        <f>37/24</f>
        <v>1.5416666666666667</v>
      </c>
      <c r="V25" s="1">
        <f t="shared" si="2"/>
        <v>1.75</v>
      </c>
      <c r="W25" s="24">
        <f>V25/(1+$U$36)^U25</f>
        <v>1.6780673315349564</v>
      </c>
    </row>
    <row r="26" spans="2:23" ht="18.75">
      <c r="B26" s="16">
        <v>45992</v>
      </c>
      <c r="C26" s="1">
        <f>7/12</f>
        <v>0.58333333333333337</v>
      </c>
      <c r="D26" s="1">
        <f>(100+1-(1*0.125)-(0.125)*(I17+I16))*C9</f>
        <v>151486.83850000001</v>
      </c>
      <c r="E26" s="24">
        <f t="shared" si="0"/>
        <v>149449.41722410364</v>
      </c>
      <c r="F26" s="1"/>
      <c r="G26" s="1"/>
      <c r="H26" s="7" t="s">
        <v>8</v>
      </c>
      <c r="I26" s="15">
        <f>XIRR(J21:J23,H21:H23)</f>
        <v>1.9702151417732242E-2</v>
      </c>
      <c r="J26" s="1"/>
      <c r="K26" s="1"/>
      <c r="L26" s="1"/>
      <c r="M26" s="1"/>
      <c r="N26" s="18">
        <v>46692</v>
      </c>
      <c r="O26" s="19">
        <v>2.5</v>
      </c>
      <c r="P26" s="19">
        <f>100+100*0.0325*(1-0.125)-(0.125)*(O17+O16)</f>
        <v>102.84375</v>
      </c>
      <c r="Q26" s="25">
        <f>P26/(1+$O$29)^O26</f>
        <v>98.882531548304158</v>
      </c>
      <c r="R26" s="1"/>
      <c r="S26" s="1"/>
      <c r="T26" s="16">
        <v>46522</v>
      </c>
      <c r="U26" s="1">
        <f>49/24</f>
        <v>2.0416666666666665</v>
      </c>
      <c r="V26" s="1">
        <f t="shared" si="2"/>
        <v>1.75</v>
      </c>
      <c r="W26" s="24">
        <f>V26/(1+$U$36)^U26</f>
        <v>1.6553787766686763</v>
      </c>
    </row>
    <row r="27" spans="2:23" ht="18.75">
      <c r="B27" s="16">
        <v>46143</v>
      </c>
      <c r="C27" s="1">
        <v>1</v>
      </c>
      <c r="D27" s="1">
        <f>(100*0.0325*(1-0.125))*C10</f>
        <v>11628.09375</v>
      </c>
      <c r="E27" s="24">
        <f t="shared" si="0"/>
        <v>11361.282672572963</v>
      </c>
      <c r="F27" s="1"/>
      <c r="G27" s="1"/>
      <c r="H27" s="2"/>
      <c r="I27" s="2"/>
      <c r="J27" s="1"/>
      <c r="K27" s="1"/>
      <c r="L27" s="1"/>
      <c r="M27" s="1"/>
      <c r="N27" s="1"/>
      <c r="O27" s="1"/>
      <c r="P27" s="1"/>
      <c r="Q27" s="1"/>
      <c r="R27" s="1"/>
      <c r="S27" s="1"/>
      <c r="T27" s="16">
        <v>46706</v>
      </c>
      <c r="U27" s="1">
        <f>61/24</f>
        <v>2.5416666666666665</v>
      </c>
      <c r="V27" s="1">
        <f t="shared" si="2"/>
        <v>1.75</v>
      </c>
      <c r="W27" s="24">
        <f>V27/(1+$U$36)^U27</f>
        <v>1.6329969857279227</v>
      </c>
    </row>
    <row r="28" spans="2:23" ht="18.75">
      <c r="B28" s="16">
        <v>46157</v>
      </c>
      <c r="C28" s="1">
        <f>25/24</f>
        <v>1.0416666666666667</v>
      </c>
      <c r="D28" s="1">
        <f>(2-2*0.125)*C11</f>
        <v>6746.25</v>
      </c>
      <c r="E28" s="24">
        <f t="shared" si="0"/>
        <v>6585.082549684158</v>
      </c>
      <c r="F28" s="1"/>
      <c r="G28" s="1"/>
      <c r="H28" s="7" t="s">
        <v>9</v>
      </c>
      <c r="I28" s="15">
        <f>SUM(K21:K23)</f>
        <v>5.8014071835970071E-3</v>
      </c>
      <c r="J28" s="1"/>
      <c r="K28" s="1"/>
      <c r="L28" s="1"/>
      <c r="M28" s="1"/>
      <c r="P28" s="1"/>
      <c r="Q28" s="1"/>
      <c r="R28" s="1"/>
      <c r="S28" s="1"/>
      <c r="T28" s="16">
        <v>46888</v>
      </c>
      <c r="U28" s="1">
        <f>73/24</f>
        <v>3.0416666666666665</v>
      </c>
      <c r="V28" s="1">
        <f t="shared" si="2"/>
        <v>1.75</v>
      </c>
      <c r="W28" s="24">
        <f>V28/(1+$U$36)^U28</f>
        <v>1.6109178110661595</v>
      </c>
    </row>
    <row r="29" spans="2:23" ht="18.75">
      <c r="B29" s="16">
        <v>46327</v>
      </c>
      <c r="C29" s="1">
        <v>1.5</v>
      </c>
      <c r="D29" s="1">
        <f>(100*0.0325*(1-0.125))*C10</f>
        <v>11628.09375</v>
      </c>
      <c r="E29" s="24">
        <f t="shared" si="0"/>
        <v>11230.181770873225</v>
      </c>
      <c r="F29" s="1"/>
      <c r="G29" s="1"/>
      <c r="H29" s="1"/>
      <c r="I29" s="1"/>
      <c r="J29" s="1"/>
      <c r="K29" s="1"/>
      <c r="L29" s="1"/>
      <c r="M29" s="1"/>
      <c r="N29" s="7" t="s">
        <v>8</v>
      </c>
      <c r="O29" s="15">
        <f>XIRR(P21:P26,N21:N26)</f>
        <v>1.58353716135025E-2</v>
      </c>
      <c r="P29" s="1"/>
      <c r="Q29" s="1"/>
      <c r="R29" s="1"/>
      <c r="S29" s="1"/>
      <c r="T29" s="16">
        <v>47072</v>
      </c>
      <c r="U29" s="1">
        <f>85/24</f>
        <v>3.5416666666666665</v>
      </c>
      <c r="V29" s="1">
        <f t="shared" si="2"/>
        <v>1.75</v>
      </c>
      <c r="W29" s="24">
        <f>V29/(1+$U$36)^U29</f>
        <v>1.5891371611157128</v>
      </c>
    </row>
    <row r="30" spans="2:23" ht="18.75">
      <c r="B30" s="16">
        <v>46341</v>
      </c>
      <c r="C30" s="1">
        <f>37/24</f>
        <v>1.5416666666666667</v>
      </c>
      <c r="D30" s="1">
        <f>(2-2*0.125)*C11</f>
        <v>6746.25</v>
      </c>
      <c r="E30" s="24">
        <f t="shared" si="0"/>
        <v>6509.0955079996038</v>
      </c>
      <c r="F30" s="1"/>
      <c r="G30" s="1"/>
      <c r="H30" s="1"/>
      <c r="I30" s="1"/>
      <c r="J30" s="1"/>
      <c r="K30" s="1"/>
      <c r="L30" s="1"/>
      <c r="M30" s="1"/>
      <c r="N30" s="2"/>
      <c r="O30" s="2"/>
      <c r="P30" s="1"/>
      <c r="Q30" s="1"/>
      <c r="R30" s="1"/>
      <c r="S30" s="1"/>
      <c r="T30" s="16">
        <v>47253</v>
      </c>
      <c r="U30" s="1">
        <f>97/24</f>
        <v>4.041666666666667</v>
      </c>
      <c r="V30" s="1">
        <f t="shared" si="2"/>
        <v>1.75</v>
      </c>
      <c r="W30" s="24">
        <f>V30/(1+$U$36)^U30</f>
        <v>1.5676509996295473</v>
      </c>
    </row>
    <row r="31" spans="2:23" ht="18.75">
      <c r="B31" s="16">
        <v>46508</v>
      </c>
      <c r="C31" s="1">
        <v>2</v>
      </c>
      <c r="D31" s="1">
        <f>(100*0.0325*(1-0.125))*C10</f>
        <v>11628.09375</v>
      </c>
      <c r="E31" s="24">
        <f t="shared" si="0"/>
        <v>11100.593677799223</v>
      </c>
      <c r="F31" s="1"/>
      <c r="G31" s="1"/>
      <c r="H31" s="1"/>
      <c r="I31" s="1"/>
      <c r="J31" s="1"/>
      <c r="K31" s="1"/>
      <c r="L31" s="1"/>
      <c r="M31" s="1"/>
      <c r="N31" s="7" t="s">
        <v>9</v>
      </c>
      <c r="O31" s="15">
        <f>SUM(Q21:Q26)</f>
        <v>6.7460505939465065E-3</v>
      </c>
      <c r="P31" s="1"/>
      <c r="Q31" s="1"/>
      <c r="R31" s="1"/>
      <c r="S31" s="1"/>
      <c r="T31" s="16">
        <v>47437</v>
      </c>
      <c r="U31" s="1">
        <f>109/24</f>
        <v>4.541666666666667</v>
      </c>
      <c r="V31" s="1">
        <f t="shared" si="2"/>
        <v>1.75</v>
      </c>
      <c r="W31" s="24">
        <f>V31/(1+$U$36)^U31</f>
        <v>1.5464553449332963</v>
      </c>
    </row>
    <row r="32" spans="2:23" ht="18.75">
      <c r="B32" s="16">
        <v>46522</v>
      </c>
      <c r="C32" s="1">
        <f>49/24</f>
        <v>2.0416666666666665</v>
      </c>
      <c r="D32" s="1">
        <f>(2-2*0.125)*C11</f>
        <v>6746.25</v>
      </c>
      <c r="E32" s="24">
        <f t="shared" si="0"/>
        <v>6433.9853012613712</v>
      </c>
      <c r="F32" s="1"/>
      <c r="G32" s="1"/>
      <c r="T32" s="16">
        <v>47618</v>
      </c>
      <c r="U32" s="1">
        <f>121/24</f>
        <v>5.041666666666667</v>
      </c>
      <c r="V32" s="1">
        <f t="shared" si="2"/>
        <v>1.75</v>
      </c>
      <c r="W32" s="24">
        <f>V32/(1+$U$36)^U32</f>
        <v>1.5255462691874038</v>
      </c>
    </row>
    <row r="33" spans="2:23" ht="18.75">
      <c r="B33" s="16">
        <v>46692</v>
      </c>
      <c r="C33" s="1">
        <v>2.5</v>
      </c>
      <c r="D33" s="1">
        <f>(100+100*0.0325*(1-0.125)-(0.125)*(O17+O16))*C10</f>
        <v>420528.09375</v>
      </c>
      <c r="E33" s="24">
        <f t="shared" si="0"/>
        <v>396818.68771975295</v>
      </c>
      <c r="F33" s="1"/>
      <c r="G33" s="1"/>
      <c r="T33" s="18">
        <v>47802</v>
      </c>
      <c r="U33" s="19">
        <f>133/24</f>
        <v>5.541666666666667</v>
      </c>
      <c r="V33" s="19">
        <f>100+2-2*0.125-(0.125)*(U17+U16)</f>
        <v>101.625</v>
      </c>
      <c r="W33" s="25">
        <f>V33/(1+$U$36)^U33</f>
        <v>87.392848342640377</v>
      </c>
    </row>
    <row r="34" spans="2:23" ht="18.75">
      <c r="B34" s="16">
        <v>46706</v>
      </c>
      <c r="C34" s="1">
        <f>61/24</f>
        <v>2.5416666666666665</v>
      </c>
      <c r="D34" s="1">
        <f>(2-2*0.125)*$C$11</f>
        <v>6746.25</v>
      </c>
      <c r="E34" s="24">
        <f t="shared" si="0"/>
        <v>6359.7418114347765</v>
      </c>
      <c r="F34" s="1"/>
      <c r="G34" s="1"/>
      <c r="T34" s="1"/>
      <c r="U34" s="1"/>
    </row>
    <row r="35" spans="2:23" ht="18.75">
      <c r="B35" s="16">
        <v>46888</v>
      </c>
      <c r="C35" s="1">
        <f>73/24</f>
        <v>3.0416666666666665</v>
      </c>
      <c r="D35" s="1">
        <f t="shared" ref="D35:D39" si="3">(2-2*0.125)*$C$11</f>
        <v>6746.25</v>
      </c>
      <c r="E35" s="24">
        <f t="shared" si="0"/>
        <v>6286.3550372398695</v>
      </c>
      <c r="F35" s="1"/>
      <c r="G35" s="1"/>
    </row>
    <row r="36" spans="2:23" ht="18.75">
      <c r="B36" s="16">
        <v>47072</v>
      </c>
      <c r="C36" s="1">
        <f>85/24</f>
        <v>3.5416666666666665</v>
      </c>
      <c r="D36" s="1">
        <f t="shared" si="3"/>
        <v>6746.25</v>
      </c>
      <c r="E36" s="24">
        <f t="shared" si="0"/>
        <v>6213.8150928041587</v>
      </c>
      <c r="F36" s="1"/>
      <c r="G36" s="1"/>
      <c r="T36" s="7" t="s">
        <v>8</v>
      </c>
      <c r="U36" s="15">
        <f>XIRR(V21:V33,T21:T33)</f>
        <v>2.7599772810935976E-2</v>
      </c>
    </row>
    <row r="37" spans="2:23" ht="18.75">
      <c r="B37" s="16">
        <v>47253</v>
      </c>
      <c r="C37" s="1">
        <f>97/24</f>
        <v>4.041666666666667</v>
      </c>
      <c r="D37" s="1">
        <f t="shared" si="3"/>
        <v>6746.25</v>
      </c>
      <c r="E37" s="24">
        <f t="shared" si="0"/>
        <v>6142.1122063309031</v>
      </c>
      <c r="F37" s="1"/>
      <c r="G37" s="1"/>
      <c r="T37" s="2"/>
      <c r="U37" s="2"/>
    </row>
    <row r="38" spans="2:23" ht="18.75">
      <c r="B38" s="16">
        <v>47437</v>
      </c>
      <c r="C38" s="1">
        <f>109/24</f>
        <v>4.541666666666667</v>
      </c>
      <c r="D38" s="1">
        <f t="shared" si="3"/>
        <v>6746.25</v>
      </c>
      <c r="E38" s="24">
        <f t="shared" si="0"/>
        <v>6071.236718782754</v>
      </c>
      <c r="F38" s="1"/>
      <c r="G38" s="1"/>
      <c r="T38" s="7" t="s">
        <v>9</v>
      </c>
      <c r="U38" s="15">
        <f>SUM(W21:W33)</f>
        <v>8.296732854986999E-3</v>
      </c>
    </row>
    <row r="39" spans="2:23" ht="18.75">
      <c r="B39" s="16">
        <v>47618</v>
      </c>
      <c r="C39" s="1">
        <f>121/24</f>
        <v>5.041666666666667</v>
      </c>
      <c r="D39" s="1">
        <f t="shared" si="3"/>
        <v>6746.25</v>
      </c>
      <c r="E39" s="24">
        <f t="shared" si="0"/>
        <v>6001.1790825805974</v>
      </c>
      <c r="F39" s="1"/>
      <c r="G39" s="1"/>
      <c r="L39" s="1"/>
      <c r="M39" s="1"/>
    </row>
    <row r="40" spans="2:23" ht="18.75">
      <c r="B40" s="18">
        <v>47802</v>
      </c>
      <c r="C40" s="19">
        <f>133/24</f>
        <v>5.541666666666667</v>
      </c>
      <c r="D40" s="19">
        <f>(100+2-2*0.125-(0.125)*(U17+U16))*C11</f>
        <v>391764.375</v>
      </c>
      <c r="E40" s="25">
        <f>D40/(1+$C$43)^C40</f>
        <v>344475.64117414661</v>
      </c>
      <c r="F40" s="1"/>
      <c r="G40" s="1"/>
    </row>
    <row r="41" spans="2:23" ht="18.75">
      <c r="B41" s="1"/>
      <c r="C41" s="1"/>
      <c r="D41" s="1"/>
      <c r="E41" s="1"/>
      <c r="F41" s="1"/>
      <c r="G41" s="1"/>
    </row>
    <row r="42" spans="2:23" ht="18.75">
      <c r="B42" s="1"/>
      <c r="C42" s="1"/>
      <c r="D42" s="1"/>
      <c r="E42" s="1"/>
      <c r="F42" s="1"/>
      <c r="G42" s="1"/>
    </row>
    <row r="43" spans="2:23" ht="18.75">
      <c r="B43" s="7" t="s">
        <v>8</v>
      </c>
      <c r="C43" s="38">
        <f>XIRR(D21:D40,B21:B40)</f>
        <v>2.3484238982200624E-2</v>
      </c>
      <c r="D43" s="39">
        <f>C43</f>
        <v>2.3484238982200624E-2</v>
      </c>
      <c r="E43" s="1"/>
      <c r="F43" s="1"/>
      <c r="G43" s="1"/>
    </row>
    <row r="44" spans="2:23" ht="18.75">
      <c r="B44" s="2"/>
      <c r="C44" s="2"/>
      <c r="D44" s="1"/>
      <c r="E44" s="1"/>
      <c r="F44" s="1"/>
      <c r="G44" s="1"/>
    </row>
    <row r="45" spans="2:23" ht="18.75">
      <c r="B45" s="7" t="s">
        <v>9</v>
      </c>
      <c r="C45" s="15">
        <f>SUM(E21:E40)</f>
        <v>78.267802001617383</v>
      </c>
      <c r="D45" s="1"/>
      <c r="E45" s="1"/>
      <c r="F45" s="1"/>
      <c r="G45" s="1"/>
    </row>
    <row r="46" spans="2:23" ht="18.75">
      <c r="B46" s="2"/>
      <c r="C46" s="2"/>
      <c r="D46" s="1"/>
      <c r="E46" s="1"/>
      <c r="F46" s="1"/>
      <c r="G46" s="1"/>
    </row>
    <row r="47" spans="2:23" ht="18.75">
      <c r="B47" s="1"/>
      <c r="C47" s="1"/>
      <c r="D47" s="1"/>
      <c r="E47" s="1"/>
      <c r="F47" s="1"/>
      <c r="G47" s="1"/>
    </row>
    <row r="48" spans="2:23" ht="18.75">
      <c r="B48" s="1"/>
      <c r="C48" s="1"/>
      <c r="D48" s="1"/>
      <c r="E48" s="1"/>
      <c r="F48" s="1"/>
      <c r="G48" s="1"/>
    </row>
  </sheetData>
  <mergeCells count="6">
    <mergeCell ref="D11:E11"/>
    <mergeCell ref="A1:G2"/>
    <mergeCell ref="A3:G3"/>
    <mergeCell ref="A4:G4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25FC-4CF2-426D-84D8-4FE8A0061B12}">
  <dimension ref="A1:M47"/>
  <sheetViews>
    <sheetView workbookViewId="0">
      <selection activeCell="K16" sqref="K16"/>
    </sheetView>
  </sheetViews>
  <sheetFormatPr defaultRowHeight="18.75"/>
  <cols>
    <col min="1" max="1" width="9.140625" style="1"/>
    <col min="2" max="2" width="26" style="1" customWidth="1"/>
    <col min="3" max="3" width="14.85546875" style="1" customWidth="1"/>
    <col min="4" max="4" width="20.85546875" style="1" customWidth="1"/>
    <col min="5" max="7" width="15.7109375" style="1" customWidth="1"/>
    <col min="8" max="8" width="27.85546875" style="1" customWidth="1"/>
    <col min="9" max="13" width="14.7109375" style="1" customWidth="1"/>
    <col min="14" max="14" width="9.140625" style="1" bestFit="1" customWidth="1"/>
    <col min="15" max="15" width="23.140625" style="1" customWidth="1"/>
    <col min="16" max="17" width="9.140625" style="1" bestFit="1" customWidth="1"/>
    <col min="18" max="18" width="27.85546875" style="1" customWidth="1"/>
    <col min="19" max="19" width="14.28515625" style="1" customWidth="1"/>
    <col min="20" max="20" width="9.140625" style="1" bestFit="1" customWidth="1"/>
    <col min="21" max="21" width="26.140625" style="1" customWidth="1"/>
    <col min="22" max="16384" width="9.140625" style="1"/>
  </cols>
  <sheetData>
    <row r="1" spans="1:13">
      <c r="A1" s="69" t="s">
        <v>10</v>
      </c>
      <c r="B1" s="69"/>
      <c r="C1" s="69"/>
      <c r="D1" s="69"/>
      <c r="E1" s="69"/>
      <c r="F1" s="69"/>
      <c r="G1" s="69"/>
    </row>
    <row r="2" spans="1:13">
      <c r="A2" s="69"/>
      <c r="B2" s="69"/>
      <c r="C2" s="69"/>
      <c r="D2" s="69"/>
      <c r="E2" s="69"/>
      <c r="F2" s="69"/>
      <c r="G2" s="69"/>
    </row>
    <row r="3" spans="1:13">
      <c r="A3" s="76" t="s">
        <v>13</v>
      </c>
      <c r="B3" s="76"/>
      <c r="C3" s="76"/>
      <c r="D3" s="76"/>
      <c r="E3" s="76"/>
      <c r="F3" s="76"/>
      <c r="G3" s="76"/>
    </row>
    <row r="4" spans="1:13">
      <c r="A4" s="76" t="s">
        <v>34</v>
      </c>
      <c r="B4" s="76"/>
      <c r="C4" s="76"/>
      <c r="D4" s="76"/>
      <c r="E4" s="76"/>
      <c r="F4" s="76"/>
      <c r="G4" s="76"/>
    </row>
    <row r="7" spans="1:13">
      <c r="B7" s="29" t="s">
        <v>35</v>
      </c>
      <c r="C7" s="2"/>
      <c r="D7" s="2"/>
      <c r="E7" s="2"/>
      <c r="I7" s="2"/>
      <c r="K7" s="2"/>
      <c r="M7" s="2"/>
    </row>
    <row r="8" spans="1:13">
      <c r="B8" s="2"/>
      <c r="C8" s="2"/>
      <c r="D8" s="2"/>
      <c r="E8" s="2"/>
      <c r="H8" s="2"/>
      <c r="I8" s="29" t="s">
        <v>20</v>
      </c>
      <c r="J8" s="37" t="s">
        <v>21</v>
      </c>
      <c r="K8" s="21" t="s">
        <v>22</v>
      </c>
      <c r="L8" s="37" t="s">
        <v>42</v>
      </c>
      <c r="M8" s="2"/>
    </row>
    <row r="9" spans="1:13">
      <c r="B9" s="21" t="s">
        <v>36</v>
      </c>
      <c r="C9" s="32">
        <f>INT(I10/I11)</f>
        <v>1502</v>
      </c>
      <c r="D9" s="74" t="s">
        <v>37</v>
      </c>
      <c r="E9" s="75"/>
      <c r="H9" s="21" t="s">
        <v>23</v>
      </c>
      <c r="I9" s="11">
        <v>0.15</v>
      </c>
      <c r="J9" s="41">
        <v>0.45</v>
      </c>
      <c r="K9" s="41">
        <v>0.4</v>
      </c>
      <c r="L9" s="36"/>
    </row>
    <row r="10" spans="1:13">
      <c r="B10" s="21" t="s">
        <v>38</v>
      </c>
      <c r="C10" s="32">
        <f>INT(J10/J11)</f>
        <v>4089</v>
      </c>
      <c r="D10" s="74" t="s">
        <v>37</v>
      </c>
      <c r="E10" s="75"/>
      <c r="H10" s="7" t="s">
        <v>43</v>
      </c>
      <c r="I10" s="46">
        <f>I9*$L10</f>
        <v>150000</v>
      </c>
      <c r="J10" s="42">
        <f>J9*$L10</f>
        <v>450000</v>
      </c>
      <c r="K10" s="42">
        <f>K9*$L10</f>
        <v>400000</v>
      </c>
      <c r="L10" s="41">
        <v>1000000</v>
      </c>
    </row>
    <row r="11" spans="1:13">
      <c r="B11" s="21" t="s">
        <v>39</v>
      </c>
      <c r="C11" s="32">
        <f>INT(K10/K11)</f>
        <v>3855</v>
      </c>
      <c r="D11" s="72" t="s">
        <v>37</v>
      </c>
      <c r="E11" s="73"/>
      <c r="H11" s="28" t="s">
        <v>25</v>
      </c>
      <c r="I11" s="47">
        <f>99.854</f>
        <v>99.853999999999999</v>
      </c>
      <c r="J11" s="43">
        <f>110.03</f>
        <v>110.03</v>
      </c>
      <c r="K11" s="43">
        <f>103.76</f>
        <v>103.76</v>
      </c>
      <c r="L11" s="36"/>
    </row>
    <row r="12" spans="1:13">
      <c r="B12" s="7" t="s">
        <v>44</v>
      </c>
      <c r="C12" s="15" cm="1">
        <f t="array" ref="C12">MMULT(I11:K11,C9:C11)</f>
        <v>999888.17800000007</v>
      </c>
      <c r="D12" s="2"/>
      <c r="E12" s="2"/>
      <c r="H12" s="21" t="s">
        <v>18</v>
      </c>
      <c r="I12" s="49">
        <f>(1-0.125)*5/6</f>
        <v>0.72916666666666663</v>
      </c>
      <c r="J12" s="44">
        <v>0</v>
      </c>
      <c r="K12" s="43">
        <f>(2*(1-0.125))*11/12</f>
        <v>1.6041666666666667</v>
      </c>
      <c r="L12" s="43" cm="1">
        <f t="array" ref="L12">MMULT(I12:K12,C9:C11)</f>
        <v>7279.270833333333</v>
      </c>
      <c r="M12" s="2"/>
    </row>
    <row r="13" spans="1:13">
      <c r="B13" s="2"/>
      <c r="C13" s="2"/>
      <c r="D13" s="2"/>
      <c r="E13" s="2"/>
      <c r="H13" s="7" t="s">
        <v>2</v>
      </c>
      <c r="I13" s="65">
        <f>'TIR A tax, TIR B tax, TIR C tax'!C10</f>
        <v>8.7500000000000008E-3</v>
      </c>
      <c r="J13" s="51">
        <f>'TIR A tax, TIR B tax, TIR C tax'!I10</f>
        <v>2.8437500000000001E-2</v>
      </c>
      <c r="K13" s="66">
        <f>'TIR A tax, TIR B tax, TIR C tax'!O10</f>
        <v>1.7500000000000002E-2</v>
      </c>
      <c r="L13" s="45"/>
      <c r="M13" s="2"/>
    </row>
    <row r="14" spans="1:13">
      <c r="B14" s="2"/>
      <c r="C14" s="2"/>
      <c r="D14" s="2"/>
      <c r="E14" s="2"/>
      <c r="H14" s="28" t="s">
        <v>27</v>
      </c>
      <c r="I14" s="48">
        <v>100.51</v>
      </c>
      <c r="J14" s="41">
        <v>100.15</v>
      </c>
      <c r="K14" s="41">
        <v>99</v>
      </c>
      <c r="L14" s="36"/>
    </row>
    <row r="15" spans="1:13">
      <c r="B15" s="2"/>
      <c r="C15" s="2"/>
      <c r="D15" s="2"/>
      <c r="E15" s="2"/>
      <c r="H15" s="21" t="s">
        <v>14</v>
      </c>
      <c r="I15" s="27">
        <v>100</v>
      </c>
      <c r="J15" s="41">
        <v>100</v>
      </c>
      <c r="K15" s="41">
        <v>100</v>
      </c>
      <c r="L15" s="36"/>
    </row>
    <row r="16" spans="1:13">
      <c r="B16" s="2"/>
      <c r="C16" s="2"/>
      <c r="D16" s="2"/>
      <c r="E16" s="2"/>
      <c r="H16" s="21" t="s">
        <v>16</v>
      </c>
      <c r="I16" s="32">
        <f>MAX(0,(I15-I11))</f>
        <v>0.1460000000000008</v>
      </c>
      <c r="J16" s="44">
        <f>MAX(0,(J15-J11))</f>
        <v>0</v>
      </c>
      <c r="K16" s="44">
        <f>MAX(0,(K15-K11))</f>
        <v>0</v>
      </c>
      <c r="L16" s="36"/>
    </row>
    <row r="17" spans="2:12">
      <c r="B17" s="2"/>
      <c r="C17" s="2"/>
      <c r="D17" s="2"/>
      <c r="E17" s="2"/>
      <c r="H17" s="7" t="s">
        <v>17</v>
      </c>
      <c r="I17" s="38">
        <f>MAX(0,(I15-I14))</f>
        <v>0</v>
      </c>
      <c r="J17" s="44">
        <f>MAX(0,(J15-J14))</f>
        <v>0</v>
      </c>
      <c r="K17" s="44">
        <f>MAX(0,(K15-K14))</f>
        <v>1</v>
      </c>
      <c r="L17" s="36"/>
    </row>
    <row r="18" spans="2:12">
      <c r="B18" s="2"/>
      <c r="C18" s="2"/>
      <c r="D18" s="2"/>
      <c r="E18" s="2"/>
    </row>
    <row r="19" spans="2:12">
      <c r="B19" s="2"/>
      <c r="C19" s="2"/>
      <c r="D19" s="2"/>
      <c r="E19" s="2"/>
    </row>
    <row r="20" spans="2:12">
      <c r="B20" s="2"/>
      <c r="C20" s="2"/>
      <c r="D20" s="2"/>
      <c r="E20" s="2"/>
    </row>
    <row r="21" spans="2:12">
      <c r="B21" s="10" t="s">
        <v>4</v>
      </c>
      <c r="C21" s="11" t="s">
        <v>5</v>
      </c>
      <c r="D21" s="11" t="s">
        <v>45</v>
      </c>
      <c r="E21" s="11" t="s">
        <v>46</v>
      </c>
      <c r="F21" s="11" t="s">
        <v>47</v>
      </c>
      <c r="G21" s="11" t="s">
        <v>48</v>
      </c>
      <c r="H21" s="12" t="s">
        <v>7</v>
      </c>
    </row>
    <row r="22" spans="2:12">
      <c r="B22" s="16">
        <v>45778</v>
      </c>
      <c r="C22" s="1">
        <v>0</v>
      </c>
      <c r="D22" s="1">
        <f>-I11*C9</f>
        <v>-149980.70800000001</v>
      </c>
      <c r="E22" s="1">
        <f>-J11*C10</f>
        <v>-449912.67</v>
      </c>
      <c r="F22" s="1">
        <f>-K11*C11</f>
        <v>-399994.80000000005</v>
      </c>
      <c r="G22" s="1">
        <f>SUM(D22:F22)-L12</f>
        <v>-1007167.4488333334</v>
      </c>
      <c r="H22" s="24">
        <f>G22/(1+$C$44)^C22</f>
        <v>-1007167.4488333334</v>
      </c>
    </row>
    <row r="23" spans="2:12">
      <c r="B23" s="16">
        <v>45792</v>
      </c>
      <c r="C23" s="1">
        <f>1/24</f>
        <v>4.1666666666666664E-2</v>
      </c>
      <c r="D23" s="1">
        <v>0</v>
      </c>
      <c r="E23" s="1">
        <v>0</v>
      </c>
      <c r="F23" s="1">
        <f>'TIR A tax, TIR B tax, TIR C tax'!P22*C$11</f>
        <v>6746.25</v>
      </c>
      <c r="G23" s="1">
        <f>SUM(D23:F23)</f>
        <v>6746.25</v>
      </c>
      <c r="H23" s="24">
        <f>G23/(1+$C$44)^C23</f>
        <v>6739.7282019984586</v>
      </c>
    </row>
    <row r="24" spans="2:12">
      <c r="B24" s="16">
        <v>45809</v>
      </c>
      <c r="C24" s="1">
        <f>1/12</f>
        <v>8.3333333333333329E-2</v>
      </c>
      <c r="D24" s="1">
        <f>'TIR A tax, TIR B tax, TIR C tax'!D22*C9</f>
        <v>1314.25</v>
      </c>
      <c r="E24" s="1">
        <v>0</v>
      </c>
      <c r="F24" s="1">
        <v>0</v>
      </c>
      <c r="G24" s="1">
        <f>SUM(D24:F24)</f>
        <v>1314.25</v>
      </c>
      <c r="H24" s="24">
        <f>G24/(1+$C$44)^C24</f>
        <v>1311.7101801081055</v>
      </c>
    </row>
    <row r="25" spans="2:12">
      <c r="B25" s="16">
        <v>45962</v>
      </c>
      <c r="C25" s="1">
        <v>0.5</v>
      </c>
      <c r="D25" s="1">
        <v>0</v>
      </c>
      <c r="E25" s="1">
        <f>'TIR A tax, TIR B tax, TIR C tax'!J22*C$10</f>
        <v>11628.09375</v>
      </c>
      <c r="F25" s="1">
        <v>0</v>
      </c>
      <c r="G25" s="1">
        <f>SUM(D25:F25)</f>
        <v>11628.09375</v>
      </c>
      <c r="H25" s="24">
        <f>G25/(1+$C$44)^C25</f>
        <v>11493.914043393963</v>
      </c>
    </row>
    <row r="26" spans="2:12">
      <c r="B26" s="16">
        <v>45976</v>
      </c>
      <c r="C26" s="1">
        <f>13/24</f>
        <v>0.54166666666666663</v>
      </c>
      <c r="D26" s="1">
        <v>0</v>
      </c>
      <c r="E26" s="1">
        <v>0</v>
      </c>
      <c r="F26" s="1">
        <f>'TIR A tax, TIR B tax, TIR C tax'!P23*C$11</f>
        <v>6746.25</v>
      </c>
      <c r="G26" s="1">
        <f>SUM(D26:F26)</f>
        <v>6746.25</v>
      </c>
      <c r="H26" s="24">
        <f>G26/(1+$C$44)^C26</f>
        <v>6661.9566624674344</v>
      </c>
    </row>
    <row r="27" spans="2:12">
      <c r="B27" s="16">
        <v>45992</v>
      </c>
      <c r="C27" s="1">
        <f>7/12</f>
        <v>0.58333333333333337</v>
      </c>
      <c r="D27" s="1">
        <f>'TIR A tax, TIR B tax, TIR C tax'!D23*'TIR ABC tax 2'!C9</f>
        <v>151486.83850000001</v>
      </c>
      <c r="E27" s="1">
        <v>0</v>
      </c>
      <c r="F27" s="1">
        <v>0</v>
      </c>
      <c r="G27" s="1">
        <f>SUM(D27:F27)</f>
        <v>151486.83850000001</v>
      </c>
      <c r="H27" s="24">
        <f>G27/(1+$C$44)^C27</f>
        <v>149449.41722410364</v>
      </c>
    </row>
    <row r="28" spans="2:12">
      <c r="B28" s="16">
        <v>46143</v>
      </c>
      <c r="C28" s="1">
        <v>1</v>
      </c>
      <c r="D28" s="1">
        <v>0</v>
      </c>
      <c r="E28" s="1">
        <f>'TIR A tax, TIR B tax, TIR C tax'!J23*C$10</f>
        <v>11628.09375</v>
      </c>
      <c r="F28" s="1">
        <v>0</v>
      </c>
      <c r="G28" s="1">
        <f>SUM(D28:F28)</f>
        <v>11628.09375</v>
      </c>
      <c r="H28" s="24">
        <f>G28/(1+$C$44)^C28</f>
        <v>11361.282672572963</v>
      </c>
    </row>
    <row r="29" spans="2:12">
      <c r="B29" s="16">
        <v>46157</v>
      </c>
      <c r="C29" s="1">
        <f>25/24</f>
        <v>1.0416666666666667</v>
      </c>
      <c r="D29" s="1">
        <v>0</v>
      </c>
      <c r="E29" s="1">
        <v>0</v>
      </c>
      <c r="F29" s="1">
        <f>'TIR A tax, TIR B tax, TIR C tax'!P24*C$11</f>
        <v>6746.25</v>
      </c>
      <c r="G29" s="1">
        <f>SUM(D29:F29)</f>
        <v>6746.25</v>
      </c>
      <c r="H29" s="24">
        <f>G29/(1+$C$44)^C29</f>
        <v>6585.082549684158</v>
      </c>
    </row>
    <row r="30" spans="2:12">
      <c r="B30" s="16">
        <v>46327</v>
      </c>
      <c r="C30" s="1">
        <v>1.5</v>
      </c>
      <c r="D30" s="1">
        <v>0</v>
      </c>
      <c r="E30" s="1">
        <f>'TIR A tax, TIR B tax, TIR C tax'!J24*C$10</f>
        <v>11628.09375</v>
      </c>
      <c r="F30" s="1">
        <v>0</v>
      </c>
      <c r="G30" s="1">
        <f>SUM(D30:F30)</f>
        <v>11628.09375</v>
      </c>
      <c r="H30" s="24">
        <f>G30/(1+$C$44)^C30</f>
        <v>11230.181770873225</v>
      </c>
    </row>
    <row r="31" spans="2:12">
      <c r="B31" s="16">
        <v>46341</v>
      </c>
      <c r="C31" s="1">
        <f>37/24</f>
        <v>1.5416666666666667</v>
      </c>
      <c r="D31" s="1">
        <v>0</v>
      </c>
      <c r="E31" s="1">
        <v>0</v>
      </c>
      <c r="F31" s="1">
        <f>'TIR A tax, TIR B tax, TIR C tax'!P25*C$11</f>
        <v>6746.25</v>
      </c>
      <c r="G31" s="1">
        <f>SUM(D31:F31)</f>
        <v>6746.25</v>
      </c>
      <c r="H31" s="24">
        <f>G31/(1+$C$44)^C31</f>
        <v>6509.0955079996038</v>
      </c>
    </row>
    <row r="32" spans="2:12">
      <c r="B32" s="16">
        <v>46508</v>
      </c>
      <c r="C32" s="1">
        <v>2</v>
      </c>
      <c r="D32" s="1">
        <v>0</v>
      </c>
      <c r="E32" s="1">
        <f>'TIR A tax, TIR B tax, TIR C tax'!J25*C$10</f>
        <v>11628.09375</v>
      </c>
      <c r="F32" s="1">
        <v>0</v>
      </c>
      <c r="G32" s="1">
        <f>SUM(D32:F32)</f>
        <v>11628.09375</v>
      </c>
      <c r="H32" s="24">
        <f>G32/(1+$C$44)^C32</f>
        <v>11100.593677799223</v>
      </c>
    </row>
    <row r="33" spans="2:8">
      <c r="B33" s="16">
        <v>46522</v>
      </c>
      <c r="C33" s="1">
        <f>49/24</f>
        <v>2.0416666666666665</v>
      </c>
      <c r="D33" s="1">
        <v>0</v>
      </c>
      <c r="E33" s="1">
        <v>0</v>
      </c>
      <c r="F33" s="1">
        <f>'TIR A tax, TIR B tax, TIR C tax'!P26*C$11</f>
        <v>6746.25</v>
      </c>
      <c r="G33" s="1">
        <f>SUM(D33:F33)</f>
        <v>6746.25</v>
      </c>
      <c r="H33" s="24">
        <f>G33/(1+$C$44)^C33</f>
        <v>6433.9853012613712</v>
      </c>
    </row>
    <row r="34" spans="2:8">
      <c r="B34" s="16">
        <v>46692</v>
      </c>
      <c r="C34" s="1">
        <v>2.5</v>
      </c>
      <c r="D34" s="1">
        <v>0</v>
      </c>
      <c r="E34" s="1">
        <f>'TIR A tax, TIR B tax, TIR C tax'!J26*C$10</f>
        <v>420528.09375</v>
      </c>
      <c r="F34" s="1">
        <v>0</v>
      </c>
      <c r="G34" s="1">
        <f>SUM(D34:F34)</f>
        <v>420528.09375</v>
      </c>
      <c r="H34" s="24">
        <f>G34/(1+$C$44)^C34</f>
        <v>396818.68771975295</v>
      </c>
    </row>
    <row r="35" spans="2:8">
      <c r="B35" s="16">
        <v>46706</v>
      </c>
      <c r="C35" s="1">
        <f>61/24</f>
        <v>2.5416666666666665</v>
      </c>
      <c r="D35" s="1">
        <v>0</v>
      </c>
      <c r="E35" s="1">
        <v>0</v>
      </c>
      <c r="F35" s="1">
        <f>'TIR A tax, TIR B tax, TIR C tax'!P27*C$11</f>
        <v>6746.25</v>
      </c>
      <c r="G35" s="1">
        <f>SUM(D35:F35)</f>
        <v>6746.25</v>
      </c>
      <c r="H35" s="24">
        <f>G35/(1+$C$44)^C35</f>
        <v>6359.7418114347765</v>
      </c>
    </row>
    <row r="36" spans="2:8">
      <c r="B36" s="16">
        <v>46888</v>
      </c>
      <c r="C36" s="1">
        <f>73/24</f>
        <v>3.0416666666666665</v>
      </c>
      <c r="D36" s="1">
        <v>0</v>
      </c>
      <c r="E36" s="1">
        <v>0</v>
      </c>
      <c r="F36" s="1">
        <f>'TIR A tax, TIR B tax, TIR C tax'!P28*C$11</f>
        <v>6746.25</v>
      </c>
      <c r="G36" s="1">
        <f>SUM(D36:F36)</f>
        <v>6746.25</v>
      </c>
      <c r="H36" s="24">
        <f>G36/(1+$C$44)^C36</f>
        <v>6286.3550372398695</v>
      </c>
    </row>
    <row r="37" spans="2:8">
      <c r="B37" s="16">
        <v>47072</v>
      </c>
      <c r="C37" s="1">
        <f>85/24</f>
        <v>3.5416666666666665</v>
      </c>
      <c r="D37" s="1">
        <v>0</v>
      </c>
      <c r="E37" s="1">
        <v>0</v>
      </c>
      <c r="F37" s="1">
        <f>'TIR A tax, TIR B tax, TIR C tax'!P29*C$11</f>
        <v>6746.25</v>
      </c>
      <c r="G37" s="1">
        <f>SUM(D37:F37)</f>
        <v>6746.25</v>
      </c>
      <c r="H37" s="24">
        <f>G37/(1+$C$44)^C37</f>
        <v>6213.8150928041587</v>
      </c>
    </row>
    <row r="38" spans="2:8">
      <c r="B38" s="16">
        <v>47253</v>
      </c>
      <c r="C38" s="1">
        <f>97/24</f>
        <v>4.041666666666667</v>
      </c>
      <c r="D38" s="1">
        <v>0</v>
      </c>
      <c r="E38" s="1">
        <v>0</v>
      </c>
      <c r="F38" s="1">
        <f>'TIR A tax, TIR B tax, TIR C tax'!P30*C$11</f>
        <v>6746.25</v>
      </c>
      <c r="G38" s="1">
        <f>SUM(D38:F38)</f>
        <v>6746.25</v>
      </c>
      <c r="H38" s="24">
        <f>G38/(1+$C$44)^C38</f>
        <v>6142.1122063309031</v>
      </c>
    </row>
    <row r="39" spans="2:8">
      <c r="B39" s="16">
        <v>47437</v>
      </c>
      <c r="C39" s="1">
        <f>109/24</f>
        <v>4.541666666666667</v>
      </c>
      <c r="D39" s="1">
        <v>0</v>
      </c>
      <c r="E39" s="1">
        <v>0</v>
      </c>
      <c r="F39" s="1">
        <f>'TIR A tax, TIR B tax, TIR C tax'!P31*C$11</f>
        <v>6746.25</v>
      </c>
      <c r="G39" s="1">
        <f>SUM(D39:F39)</f>
        <v>6746.25</v>
      </c>
      <c r="H39" s="24">
        <f>G39/(1+$C$44)^C39</f>
        <v>6071.236718782754</v>
      </c>
    </row>
    <row r="40" spans="2:8">
      <c r="B40" s="16">
        <v>47618</v>
      </c>
      <c r="C40" s="1">
        <f>121/24</f>
        <v>5.041666666666667</v>
      </c>
      <c r="D40" s="1">
        <v>0</v>
      </c>
      <c r="E40" s="1">
        <v>0</v>
      </c>
      <c r="F40" s="1">
        <f>'TIR A tax, TIR B tax, TIR C tax'!P32*C$11</f>
        <v>6746.25</v>
      </c>
      <c r="G40" s="1">
        <f>SUM(D40:F40)</f>
        <v>6746.25</v>
      </c>
      <c r="H40" s="24">
        <f>G40/(1+$C$44)^C40</f>
        <v>6001.1790825805974</v>
      </c>
    </row>
    <row r="41" spans="2:8">
      <c r="B41" s="18">
        <v>47802</v>
      </c>
      <c r="C41" s="19">
        <f>133/24</f>
        <v>5.541666666666667</v>
      </c>
      <c r="D41" s="19">
        <v>0</v>
      </c>
      <c r="E41" s="19">
        <v>0</v>
      </c>
      <c r="F41" s="19">
        <f>'TIR A tax, TIR B tax, TIR C tax'!P33*C$11</f>
        <v>391764.375</v>
      </c>
      <c r="G41" s="19">
        <f>SUM(D41:F41)</f>
        <v>391764.375</v>
      </c>
      <c r="H41" s="25">
        <f>G41/(1+$C$44)^C41</f>
        <v>344475.64117414661</v>
      </c>
    </row>
    <row r="44" spans="2:8">
      <c r="B44" s="7" t="s">
        <v>8</v>
      </c>
      <c r="C44" s="38">
        <f>XIRR(G22:G41,B22:B41)</f>
        <v>2.3484238982200624E-2</v>
      </c>
      <c r="D44" s="39">
        <f>C44</f>
        <v>2.3484238982200624E-2</v>
      </c>
    </row>
    <row r="45" spans="2:8">
      <c r="B45" s="2"/>
      <c r="C45" s="2"/>
    </row>
    <row r="46" spans="2:8">
      <c r="B46" s="7" t="s">
        <v>9</v>
      </c>
      <c r="C46" s="15">
        <f>SUM(H22:H41)</f>
        <v>78.267802001617383</v>
      </c>
    </row>
    <row r="47" spans="2:8">
      <c r="B47" s="2"/>
      <c r="C47" s="2"/>
    </row>
  </sheetData>
  <mergeCells count="6">
    <mergeCell ref="D11:E11"/>
    <mergeCell ref="A1:G2"/>
    <mergeCell ref="A3:G3"/>
    <mergeCell ref="A4:G4"/>
    <mergeCell ref="D9:E9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Giorgio Mantoan</cp:lastModifiedBy>
  <cp:revision/>
  <dcterms:created xsi:type="dcterms:W3CDTF">2025-03-18T15:45:48Z</dcterms:created>
  <dcterms:modified xsi:type="dcterms:W3CDTF">2025-03-23T20:56:27Z</dcterms:modified>
  <cp:category/>
  <cp:contentStatus/>
</cp:coreProperties>
</file>