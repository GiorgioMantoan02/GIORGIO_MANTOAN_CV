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\Desktop\uni\3^ anno\secondo semestre\finanza matematica I\didattica innovativa\lab5\"/>
    </mc:Choice>
  </mc:AlternateContent>
  <xr:revisionPtr revIDLastSave="0" documentId="13_ncr:1_{8FFD301C-96E4-4AE1-96BB-7442519B938B}" xr6:coauthVersionLast="47" xr6:coauthVersionMax="47" xr10:uidLastSave="{00000000-0000-0000-0000-000000000000}"/>
  <bookViews>
    <workbookView minimized="1" xWindow="15348" yWindow="7740" windowWidth="13836" windowHeight="7260" xr2:uid="{09FCF9DC-F357-476B-8295-3F35BA19339D}"/>
  </bookViews>
  <sheets>
    <sheet name="Historical_Simulation" sheetId="1" r:id="rId1"/>
    <sheet name="Calcolo portafogli" sheetId="2" r:id="rId2"/>
  </sheets>
  <definedNames>
    <definedName name="TRNR_7053e89926db463285ce007995b46c9f_5_20" hidden="1">Historical_Simulation!#REF!</definedName>
    <definedName name="TRNR_8ad8f1e39652446a9e1f6f3e505d97ba_1309_3" hidden="1">Historical_Simulation!$A$1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3" i="1" l="1"/>
  <c r="AO10" i="2"/>
  <c r="AQ10" i="2" s="1"/>
  <c r="AO9" i="2"/>
  <c r="AQ9" i="2" s="1"/>
  <c r="AO8" i="2"/>
  <c r="AP8" i="2" s="1"/>
  <c r="AO7" i="2"/>
  <c r="AP7" i="2" s="1"/>
  <c r="J6" i="2" a="1"/>
  <c r="J6" i="2"/>
  <c r="AE6" i="2" a="1"/>
  <c r="AE6" i="2"/>
  <c r="X6" i="2" a="1"/>
  <c r="X6" i="2"/>
  <c r="Q6" i="2" a="1"/>
  <c r="Q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G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E4" i="2"/>
  <c r="C4" i="2"/>
  <c r="K6" i="2" s="1"/>
  <c r="A4" i="2" a="1"/>
  <c r="A4" i="2"/>
  <c r="N17" i="1"/>
  <c r="N16" i="1"/>
  <c r="G67" i="1"/>
  <c r="G110" i="1"/>
  <c r="G131" i="1"/>
  <c r="G203" i="1"/>
  <c r="G235" i="1"/>
  <c r="G267" i="1"/>
  <c r="G278" i="1"/>
  <c r="G363" i="1"/>
  <c r="G406" i="1"/>
  <c r="G491" i="1"/>
  <c r="G534" i="1"/>
  <c r="G558" i="1"/>
  <c r="G579" i="1"/>
  <c r="E6" i="1"/>
  <c r="F6" i="1" s="1"/>
  <c r="E7" i="1"/>
  <c r="F7" i="1" s="1"/>
  <c r="G7" i="1" s="1"/>
  <c r="E8" i="1"/>
  <c r="E9" i="1"/>
  <c r="E10" i="1"/>
  <c r="F10" i="1" s="1"/>
  <c r="G10" i="1" s="1"/>
  <c r="E11" i="1"/>
  <c r="F11" i="1" s="1"/>
  <c r="G11" i="1" s="1"/>
  <c r="E12" i="1"/>
  <c r="E13" i="1"/>
  <c r="E14" i="1"/>
  <c r="F14" i="1" s="1"/>
  <c r="G14" i="1" s="1"/>
  <c r="E15" i="1"/>
  <c r="F15" i="1" s="1"/>
  <c r="G15" i="1" s="1"/>
  <c r="E16" i="1"/>
  <c r="E17" i="1"/>
  <c r="E18" i="1"/>
  <c r="F18" i="1" s="1"/>
  <c r="G18" i="1" s="1"/>
  <c r="E19" i="1"/>
  <c r="F19" i="1" s="1"/>
  <c r="G19" i="1" s="1"/>
  <c r="E20" i="1"/>
  <c r="E21" i="1"/>
  <c r="E22" i="1"/>
  <c r="F22" i="1" s="1"/>
  <c r="G22" i="1" s="1"/>
  <c r="E23" i="1"/>
  <c r="F23" i="1" s="1"/>
  <c r="G23" i="1" s="1"/>
  <c r="E24" i="1"/>
  <c r="E25" i="1"/>
  <c r="E26" i="1"/>
  <c r="F26" i="1" s="1"/>
  <c r="G26" i="1" s="1"/>
  <c r="E27" i="1"/>
  <c r="F27" i="1" s="1"/>
  <c r="G27" i="1" s="1"/>
  <c r="E28" i="1"/>
  <c r="E29" i="1"/>
  <c r="E30" i="1"/>
  <c r="F30" i="1" s="1"/>
  <c r="G30" i="1" s="1"/>
  <c r="E31" i="1"/>
  <c r="F31" i="1" s="1"/>
  <c r="G31" i="1" s="1"/>
  <c r="E32" i="1"/>
  <c r="E33" i="1"/>
  <c r="E34" i="1"/>
  <c r="F34" i="1" s="1"/>
  <c r="G34" i="1" s="1"/>
  <c r="E35" i="1"/>
  <c r="F35" i="1" s="1"/>
  <c r="G35" i="1" s="1"/>
  <c r="E36" i="1"/>
  <c r="E37" i="1"/>
  <c r="E38" i="1"/>
  <c r="F38" i="1" s="1"/>
  <c r="G38" i="1" s="1"/>
  <c r="E39" i="1"/>
  <c r="F39" i="1" s="1"/>
  <c r="G39" i="1" s="1"/>
  <c r="E40" i="1"/>
  <c r="E41" i="1"/>
  <c r="E42" i="1"/>
  <c r="F42" i="1" s="1"/>
  <c r="G42" i="1" s="1"/>
  <c r="E43" i="1"/>
  <c r="F43" i="1" s="1"/>
  <c r="G43" i="1" s="1"/>
  <c r="E44" i="1"/>
  <c r="E45" i="1"/>
  <c r="E46" i="1"/>
  <c r="F46" i="1" s="1"/>
  <c r="G46" i="1" s="1"/>
  <c r="E47" i="1"/>
  <c r="F47" i="1" s="1"/>
  <c r="G47" i="1" s="1"/>
  <c r="E48" i="1"/>
  <c r="E49" i="1"/>
  <c r="E50" i="1"/>
  <c r="F50" i="1" s="1"/>
  <c r="G50" i="1" s="1"/>
  <c r="E51" i="1"/>
  <c r="F51" i="1" s="1"/>
  <c r="G51" i="1" s="1"/>
  <c r="E52" i="1"/>
  <c r="E53" i="1"/>
  <c r="E54" i="1"/>
  <c r="F54" i="1" s="1"/>
  <c r="G54" i="1" s="1"/>
  <c r="E55" i="1"/>
  <c r="F55" i="1" s="1"/>
  <c r="G55" i="1" s="1"/>
  <c r="E56" i="1"/>
  <c r="E57" i="1"/>
  <c r="E58" i="1"/>
  <c r="F58" i="1" s="1"/>
  <c r="G58" i="1" s="1"/>
  <c r="E59" i="1"/>
  <c r="F59" i="1" s="1"/>
  <c r="G59" i="1" s="1"/>
  <c r="E60" i="1"/>
  <c r="E61" i="1"/>
  <c r="E62" i="1"/>
  <c r="F62" i="1" s="1"/>
  <c r="G62" i="1" s="1"/>
  <c r="E63" i="1"/>
  <c r="F63" i="1" s="1"/>
  <c r="G63" i="1" s="1"/>
  <c r="E64" i="1"/>
  <c r="E65" i="1"/>
  <c r="E66" i="1"/>
  <c r="F66" i="1" s="1"/>
  <c r="G66" i="1" s="1"/>
  <c r="E67" i="1"/>
  <c r="F67" i="1" s="1"/>
  <c r="E68" i="1"/>
  <c r="E69" i="1"/>
  <c r="E70" i="1"/>
  <c r="F70" i="1" s="1"/>
  <c r="G70" i="1" s="1"/>
  <c r="E71" i="1"/>
  <c r="F71" i="1" s="1"/>
  <c r="G71" i="1" s="1"/>
  <c r="E72" i="1"/>
  <c r="E73" i="1"/>
  <c r="E74" i="1"/>
  <c r="F74" i="1" s="1"/>
  <c r="G74" i="1" s="1"/>
  <c r="E75" i="1"/>
  <c r="F75" i="1" s="1"/>
  <c r="G75" i="1" s="1"/>
  <c r="E76" i="1"/>
  <c r="E77" i="1"/>
  <c r="E78" i="1"/>
  <c r="F78" i="1" s="1"/>
  <c r="G78" i="1" s="1"/>
  <c r="E79" i="1"/>
  <c r="F79" i="1" s="1"/>
  <c r="G79" i="1" s="1"/>
  <c r="E80" i="1"/>
  <c r="E81" i="1"/>
  <c r="E82" i="1"/>
  <c r="F82" i="1" s="1"/>
  <c r="G82" i="1" s="1"/>
  <c r="E83" i="1"/>
  <c r="F83" i="1" s="1"/>
  <c r="G83" i="1" s="1"/>
  <c r="E84" i="1"/>
  <c r="E85" i="1"/>
  <c r="E86" i="1"/>
  <c r="F86" i="1" s="1"/>
  <c r="G86" i="1" s="1"/>
  <c r="E87" i="1"/>
  <c r="F87" i="1" s="1"/>
  <c r="G87" i="1" s="1"/>
  <c r="E88" i="1"/>
  <c r="E89" i="1"/>
  <c r="E90" i="1"/>
  <c r="F90" i="1" s="1"/>
  <c r="G90" i="1" s="1"/>
  <c r="E91" i="1"/>
  <c r="F91" i="1" s="1"/>
  <c r="G91" i="1" s="1"/>
  <c r="E92" i="1"/>
  <c r="E93" i="1"/>
  <c r="E94" i="1"/>
  <c r="F94" i="1" s="1"/>
  <c r="G94" i="1" s="1"/>
  <c r="E95" i="1"/>
  <c r="F95" i="1" s="1"/>
  <c r="G95" i="1" s="1"/>
  <c r="E96" i="1"/>
  <c r="E97" i="1"/>
  <c r="F97" i="1" s="1"/>
  <c r="G97" i="1" s="1"/>
  <c r="E98" i="1"/>
  <c r="F98" i="1" s="1"/>
  <c r="G98" i="1" s="1"/>
  <c r="E99" i="1"/>
  <c r="F99" i="1" s="1"/>
  <c r="G99" i="1" s="1"/>
  <c r="E100" i="1"/>
  <c r="E101" i="1"/>
  <c r="E102" i="1"/>
  <c r="F102" i="1" s="1"/>
  <c r="G102" i="1" s="1"/>
  <c r="E103" i="1"/>
  <c r="F103" i="1" s="1"/>
  <c r="G103" i="1" s="1"/>
  <c r="E104" i="1"/>
  <c r="E105" i="1"/>
  <c r="E106" i="1"/>
  <c r="F106" i="1" s="1"/>
  <c r="G106" i="1" s="1"/>
  <c r="E107" i="1"/>
  <c r="F107" i="1" s="1"/>
  <c r="G107" i="1" s="1"/>
  <c r="E108" i="1"/>
  <c r="E109" i="1"/>
  <c r="E110" i="1"/>
  <c r="F110" i="1" s="1"/>
  <c r="E111" i="1"/>
  <c r="F111" i="1" s="1"/>
  <c r="G111" i="1" s="1"/>
  <c r="E112" i="1"/>
  <c r="E113" i="1"/>
  <c r="E114" i="1"/>
  <c r="F114" i="1" s="1"/>
  <c r="G114" i="1" s="1"/>
  <c r="E115" i="1"/>
  <c r="F115" i="1" s="1"/>
  <c r="G115" i="1" s="1"/>
  <c r="E116" i="1"/>
  <c r="E117" i="1"/>
  <c r="E118" i="1"/>
  <c r="F118" i="1" s="1"/>
  <c r="G118" i="1" s="1"/>
  <c r="E119" i="1"/>
  <c r="F119" i="1" s="1"/>
  <c r="G119" i="1" s="1"/>
  <c r="E120" i="1"/>
  <c r="E121" i="1"/>
  <c r="E122" i="1"/>
  <c r="F122" i="1" s="1"/>
  <c r="G122" i="1" s="1"/>
  <c r="E123" i="1"/>
  <c r="F123" i="1" s="1"/>
  <c r="G123" i="1" s="1"/>
  <c r="E124" i="1"/>
  <c r="E125" i="1"/>
  <c r="E126" i="1"/>
  <c r="F126" i="1" s="1"/>
  <c r="G126" i="1" s="1"/>
  <c r="E127" i="1"/>
  <c r="F127" i="1" s="1"/>
  <c r="G127" i="1" s="1"/>
  <c r="E128" i="1"/>
  <c r="E129" i="1"/>
  <c r="E130" i="1"/>
  <c r="F130" i="1" s="1"/>
  <c r="G130" i="1" s="1"/>
  <c r="E131" i="1"/>
  <c r="F131" i="1" s="1"/>
  <c r="E132" i="1"/>
  <c r="E133" i="1"/>
  <c r="E134" i="1"/>
  <c r="F134" i="1" s="1"/>
  <c r="G134" i="1" s="1"/>
  <c r="E135" i="1"/>
  <c r="F135" i="1" s="1"/>
  <c r="G135" i="1" s="1"/>
  <c r="E136" i="1"/>
  <c r="E137" i="1"/>
  <c r="E138" i="1"/>
  <c r="F138" i="1" s="1"/>
  <c r="G138" i="1" s="1"/>
  <c r="E139" i="1"/>
  <c r="F139" i="1" s="1"/>
  <c r="G139" i="1" s="1"/>
  <c r="E140" i="1"/>
  <c r="E141" i="1"/>
  <c r="E142" i="1"/>
  <c r="F142" i="1" s="1"/>
  <c r="G142" i="1" s="1"/>
  <c r="E143" i="1"/>
  <c r="F143" i="1" s="1"/>
  <c r="G143" i="1" s="1"/>
  <c r="E144" i="1"/>
  <c r="E145" i="1"/>
  <c r="E146" i="1"/>
  <c r="F146" i="1" s="1"/>
  <c r="G146" i="1" s="1"/>
  <c r="E147" i="1"/>
  <c r="F147" i="1" s="1"/>
  <c r="G147" i="1" s="1"/>
  <c r="E148" i="1"/>
  <c r="E149" i="1"/>
  <c r="E150" i="1"/>
  <c r="F150" i="1" s="1"/>
  <c r="G150" i="1" s="1"/>
  <c r="E151" i="1"/>
  <c r="F151" i="1" s="1"/>
  <c r="G151" i="1" s="1"/>
  <c r="E152" i="1"/>
  <c r="E153" i="1"/>
  <c r="E154" i="1"/>
  <c r="F154" i="1" s="1"/>
  <c r="G154" i="1" s="1"/>
  <c r="E155" i="1"/>
  <c r="F155" i="1" s="1"/>
  <c r="G155" i="1" s="1"/>
  <c r="E156" i="1"/>
  <c r="E157" i="1"/>
  <c r="E158" i="1"/>
  <c r="F158" i="1" s="1"/>
  <c r="G158" i="1" s="1"/>
  <c r="E159" i="1"/>
  <c r="F159" i="1" s="1"/>
  <c r="G159" i="1" s="1"/>
  <c r="E160" i="1"/>
  <c r="E161" i="1"/>
  <c r="E162" i="1"/>
  <c r="F162" i="1" s="1"/>
  <c r="G162" i="1" s="1"/>
  <c r="E163" i="1"/>
  <c r="F163" i="1" s="1"/>
  <c r="G163" i="1" s="1"/>
  <c r="E164" i="1"/>
  <c r="E165" i="1"/>
  <c r="E166" i="1"/>
  <c r="F166" i="1" s="1"/>
  <c r="G166" i="1" s="1"/>
  <c r="E167" i="1"/>
  <c r="F167" i="1" s="1"/>
  <c r="G167" i="1" s="1"/>
  <c r="E168" i="1"/>
  <c r="E169" i="1"/>
  <c r="E170" i="1"/>
  <c r="F170" i="1" s="1"/>
  <c r="G170" i="1" s="1"/>
  <c r="E171" i="1"/>
  <c r="F171" i="1" s="1"/>
  <c r="G171" i="1" s="1"/>
  <c r="E172" i="1"/>
  <c r="E173" i="1"/>
  <c r="E174" i="1"/>
  <c r="F174" i="1" s="1"/>
  <c r="G174" i="1" s="1"/>
  <c r="E175" i="1"/>
  <c r="F175" i="1" s="1"/>
  <c r="G175" i="1" s="1"/>
  <c r="E176" i="1"/>
  <c r="E177" i="1"/>
  <c r="E178" i="1"/>
  <c r="F178" i="1" s="1"/>
  <c r="G178" i="1" s="1"/>
  <c r="E179" i="1"/>
  <c r="F179" i="1" s="1"/>
  <c r="G179" i="1" s="1"/>
  <c r="E180" i="1"/>
  <c r="E181" i="1"/>
  <c r="E182" i="1"/>
  <c r="F182" i="1" s="1"/>
  <c r="G182" i="1" s="1"/>
  <c r="E183" i="1"/>
  <c r="F183" i="1" s="1"/>
  <c r="G183" i="1" s="1"/>
  <c r="E184" i="1"/>
  <c r="E185" i="1"/>
  <c r="E186" i="1"/>
  <c r="F186" i="1" s="1"/>
  <c r="G186" i="1" s="1"/>
  <c r="E187" i="1"/>
  <c r="F187" i="1" s="1"/>
  <c r="G187" i="1" s="1"/>
  <c r="E188" i="1"/>
  <c r="E189" i="1"/>
  <c r="E190" i="1"/>
  <c r="F190" i="1" s="1"/>
  <c r="G190" i="1" s="1"/>
  <c r="E191" i="1"/>
  <c r="F191" i="1" s="1"/>
  <c r="G191" i="1" s="1"/>
  <c r="E192" i="1"/>
  <c r="E193" i="1"/>
  <c r="E194" i="1"/>
  <c r="F194" i="1" s="1"/>
  <c r="G194" i="1" s="1"/>
  <c r="E195" i="1"/>
  <c r="F195" i="1" s="1"/>
  <c r="G195" i="1" s="1"/>
  <c r="E196" i="1"/>
  <c r="E197" i="1"/>
  <c r="E198" i="1"/>
  <c r="F198" i="1" s="1"/>
  <c r="G198" i="1" s="1"/>
  <c r="E199" i="1"/>
  <c r="F199" i="1" s="1"/>
  <c r="G199" i="1" s="1"/>
  <c r="E200" i="1"/>
  <c r="E201" i="1"/>
  <c r="E202" i="1"/>
  <c r="F202" i="1" s="1"/>
  <c r="G202" i="1" s="1"/>
  <c r="E203" i="1"/>
  <c r="F203" i="1" s="1"/>
  <c r="E204" i="1"/>
  <c r="E205" i="1"/>
  <c r="E206" i="1"/>
  <c r="F206" i="1" s="1"/>
  <c r="G206" i="1" s="1"/>
  <c r="E207" i="1"/>
  <c r="F207" i="1" s="1"/>
  <c r="G207" i="1" s="1"/>
  <c r="E208" i="1"/>
  <c r="E209" i="1"/>
  <c r="E210" i="1"/>
  <c r="F210" i="1" s="1"/>
  <c r="G210" i="1" s="1"/>
  <c r="E211" i="1"/>
  <c r="F211" i="1" s="1"/>
  <c r="G211" i="1" s="1"/>
  <c r="E212" i="1"/>
  <c r="E213" i="1"/>
  <c r="E214" i="1"/>
  <c r="F214" i="1" s="1"/>
  <c r="G214" i="1" s="1"/>
  <c r="E215" i="1"/>
  <c r="F215" i="1" s="1"/>
  <c r="G215" i="1" s="1"/>
  <c r="E216" i="1"/>
  <c r="E217" i="1"/>
  <c r="E218" i="1"/>
  <c r="F218" i="1" s="1"/>
  <c r="G218" i="1" s="1"/>
  <c r="E219" i="1"/>
  <c r="F219" i="1" s="1"/>
  <c r="G219" i="1" s="1"/>
  <c r="E220" i="1"/>
  <c r="E221" i="1"/>
  <c r="E222" i="1"/>
  <c r="F222" i="1" s="1"/>
  <c r="G222" i="1" s="1"/>
  <c r="E223" i="1"/>
  <c r="F223" i="1" s="1"/>
  <c r="G223" i="1" s="1"/>
  <c r="E224" i="1"/>
  <c r="E225" i="1"/>
  <c r="F225" i="1" s="1"/>
  <c r="G225" i="1" s="1"/>
  <c r="E226" i="1"/>
  <c r="F226" i="1" s="1"/>
  <c r="G226" i="1" s="1"/>
  <c r="E227" i="1"/>
  <c r="F227" i="1" s="1"/>
  <c r="G227" i="1" s="1"/>
  <c r="E228" i="1"/>
  <c r="E229" i="1"/>
  <c r="E230" i="1"/>
  <c r="F230" i="1" s="1"/>
  <c r="G230" i="1" s="1"/>
  <c r="E231" i="1"/>
  <c r="F231" i="1" s="1"/>
  <c r="G231" i="1" s="1"/>
  <c r="E232" i="1"/>
  <c r="E233" i="1"/>
  <c r="E234" i="1"/>
  <c r="F234" i="1" s="1"/>
  <c r="G234" i="1" s="1"/>
  <c r="E235" i="1"/>
  <c r="F235" i="1" s="1"/>
  <c r="E236" i="1"/>
  <c r="E237" i="1"/>
  <c r="E238" i="1"/>
  <c r="F238" i="1" s="1"/>
  <c r="G238" i="1" s="1"/>
  <c r="E239" i="1"/>
  <c r="F239" i="1" s="1"/>
  <c r="G239" i="1" s="1"/>
  <c r="E240" i="1"/>
  <c r="E241" i="1"/>
  <c r="E242" i="1"/>
  <c r="F242" i="1" s="1"/>
  <c r="G242" i="1" s="1"/>
  <c r="E243" i="1"/>
  <c r="F243" i="1" s="1"/>
  <c r="G243" i="1" s="1"/>
  <c r="E244" i="1"/>
  <c r="E245" i="1"/>
  <c r="E246" i="1"/>
  <c r="F246" i="1" s="1"/>
  <c r="G246" i="1" s="1"/>
  <c r="E247" i="1"/>
  <c r="F247" i="1" s="1"/>
  <c r="G247" i="1" s="1"/>
  <c r="E248" i="1"/>
  <c r="E249" i="1"/>
  <c r="E250" i="1"/>
  <c r="F250" i="1" s="1"/>
  <c r="G250" i="1" s="1"/>
  <c r="E251" i="1"/>
  <c r="F251" i="1" s="1"/>
  <c r="G251" i="1" s="1"/>
  <c r="E252" i="1"/>
  <c r="E253" i="1"/>
  <c r="E254" i="1"/>
  <c r="F254" i="1" s="1"/>
  <c r="G254" i="1" s="1"/>
  <c r="E255" i="1"/>
  <c r="F255" i="1" s="1"/>
  <c r="G255" i="1" s="1"/>
  <c r="E256" i="1"/>
  <c r="E257" i="1"/>
  <c r="E258" i="1"/>
  <c r="F258" i="1" s="1"/>
  <c r="G258" i="1" s="1"/>
  <c r="E259" i="1"/>
  <c r="F259" i="1" s="1"/>
  <c r="G259" i="1" s="1"/>
  <c r="E260" i="1"/>
  <c r="E261" i="1"/>
  <c r="E262" i="1"/>
  <c r="F262" i="1" s="1"/>
  <c r="G262" i="1" s="1"/>
  <c r="E263" i="1"/>
  <c r="F263" i="1" s="1"/>
  <c r="G263" i="1" s="1"/>
  <c r="E264" i="1"/>
  <c r="E265" i="1"/>
  <c r="E266" i="1"/>
  <c r="F266" i="1" s="1"/>
  <c r="G266" i="1" s="1"/>
  <c r="E267" i="1"/>
  <c r="F267" i="1" s="1"/>
  <c r="E268" i="1"/>
  <c r="E269" i="1"/>
  <c r="E270" i="1"/>
  <c r="F270" i="1" s="1"/>
  <c r="G270" i="1" s="1"/>
  <c r="E271" i="1"/>
  <c r="F271" i="1" s="1"/>
  <c r="G271" i="1" s="1"/>
  <c r="E272" i="1"/>
  <c r="E273" i="1"/>
  <c r="E274" i="1"/>
  <c r="F274" i="1" s="1"/>
  <c r="G274" i="1" s="1"/>
  <c r="E275" i="1"/>
  <c r="F275" i="1" s="1"/>
  <c r="G275" i="1" s="1"/>
  <c r="E276" i="1"/>
  <c r="E277" i="1"/>
  <c r="E278" i="1"/>
  <c r="F278" i="1" s="1"/>
  <c r="E279" i="1"/>
  <c r="F279" i="1" s="1"/>
  <c r="G279" i="1" s="1"/>
  <c r="E280" i="1"/>
  <c r="E281" i="1"/>
  <c r="E282" i="1"/>
  <c r="F282" i="1" s="1"/>
  <c r="G282" i="1" s="1"/>
  <c r="E283" i="1"/>
  <c r="F283" i="1" s="1"/>
  <c r="G283" i="1" s="1"/>
  <c r="E284" i="1"/>
  <c r="E285" i="1"/>
  <c r="E286" i="1"/>
  <c r="F286" i="1" s="1"/>
  <c r="G286" i="1" s="1"/>
  <c r="E287" i="1"/>
  <c r="F287" i="1" s="1"/>
  <c r="G287" i="1" s="1"/>
  <c r="E288" i="1"/>
  <c r="E289" i="1"/>
  <c r="E290" i="1"/>
  <c r="F290" i="1" s="1"/>
  <c r="G290" i="1" s="1"/>
  <c r="E291" i="1"/>
  <c r="F291" i="1" s="1"/>
  <c r="G291" i="1" s="1"/>
  <c r="E292" i="1"/>
  <c r="E293" i="1"/>
  <c r="E294" i="1"/>
  <c r="F294" i="1" s="1"/>
  <c r="G294" i="1" s="1"/>
  <c r="E295" i="1"/>
  <c r="F295" i="1" s="1"/>
  <c r="G295" i="1" s="1"/>
  <c r="E296" i="1"/>
  <c r="E297" i="1"/>
  <c r="E298" i="1"/>
  <c r="F298" i="1" s="1"/>
  <c r="G298" i="1" s="1"/>
  <c r="E299" i="1"/>
  <c r="F299" i="1" s="1"/>
  <c r="G299" i="1" s="1"/>
  <c r="E300" i="1"/>
  <c r="E301" i="1"/>
  <c r="E302" i="1"/>
  <c r="F302" i="1" s="1"/>
  <c r="G302" i="1" s="1"/>
  <c r="E303" i="1"/>
  <c r="F303" i="1" s="1"/>
  <c r="G303" i="1" s="1"/>
  <c r="E304" i="1"/>
  <c r="E305" i="1"/>
  <c r="E306" i="1"/>
  <c r="F306" i="1" s="1"/>
  <c r="G306" i="1" s="1"/>
  <c r="E307" i="1"/>
  <c r="F307" i="1" s="1"/>
  <c r="G307" i="1" s="1"/>
  <c r="E308" i="1"/>
  <c r="E309" i="1"/>
  <c r="F309" i="1" s="1"/>
  <c r="G309" i="1" s="1"/>
  <c r="E310" i="1"/>
  <c r="F310" i="1" s="1"/>
  <c r="G310" i="1" s="1"/>
  <c r="E311" i="1"/>
  <c r="F311" i="1" s="1"/>
  <c r="G311" i="1" s="1"/>
  <c r="E312" i="1"/>
  <c r="E313" i="1"/>
  <c r="F313" i="1" s="1"/>
  <c r="G313" i="1" s="1"/>
  <c r="E314" i="1"/>
  <c r="F314" i="1" s="1"/>
  <c r="G314" i="1" s="1"/>
  <c r="E315" i="1"/>
  <c r="F315" i="1" s="1"/>
  <c r="G315" i="1" s="1"/>
  <c r="E316" i="1"/>
  <c r="E317" i="1"/>
  <c r="F317" i="1" s="1"/>
  <c r="G317" i="1" s="1"/>
  <c r="E318" i="1"/>
  <c r="F318" i="1" s="1"/>
  <c r="G318" i="1" s="1"/>
  <c r="E319" i="1"/>
  <c r="F319" i="1" s="1"/>
  <c r="G319" i="1" s="1"/>
  <c r="E320" i="1"/>
  <c r="E321" i="1"/>
  <c r="F321" i="1" s="1"/>
  <c r="G321" i="1" s="1"/>
  <c r="E322" i="1"/>
  <c r="F322" i="1" s="1"/>
  <c r="G322" i="1" s="1"/>
  <c r="E323" i="1"/>
  <c r="F323" i="1" s="1"/>
  <c r="G323" i="1" s="1"/>
  <c r="E324" i="1"/>
  <c r="E325" i="1"/>
  <c r="F325" i="1" s="1"/>
  <c r="G325" i="1" s="1"/>
  <c r="E326" i="1"/>
  <c r="F326" i="1" s="1"/>
  <c r="G326" i="1" s="1"/>
  <c r="E327" i="1"/>
  <c r="F327" i="1" s="1"/>
  <c r="G327" i="1" s="1"/>
  <c r="E328" i="1"/>
  <c r="E329" i="1"/>
  <c r="F329" i="1" s="1"/>
  <c r="G329" i="1" s="1"/>
  <c r="E330" i="1"/>
  <c r="F330" i="1" s="1"/>
  <c r="G330" i="1" s="1"/>
  <c r="E331" i="1"/>
  <c r="F331" i="1" s="1"/>
  <c r="G331" i="1" s="1"/>
  <c r="E332" i="1"/>
  <c r="E333" i="1"/>
  <c r="F333" i="1" s="1"/>
  <c r="G333" i="1" s="1"/>
  <c r="E334" i="1"/>
  <c r="F334" i="1" s="1"/>
  <c r="G334" i="1" s="1"/>
  <c r="E335" i="1"/>
  <c r="F335" i="1" s="1"/>
  <c r="G335" i="1" s="1"/>
  <c r="E336" i="1"/>
  <c r="E337" i="1"/>
  <c r="F337" i="1" s="1"/>
  <c r="G337" i="1" s="1"/>
  <c r="E338" i="1"/>
  <c r="F338" i="1" s="1"/>
  <c r="G338" i="1" s="1"/>
  <c r="E339" i="1"/>
  <c r="F339" i="1" s="1"/>
  <c r="G339" i="1" s="1"/>
  <c r="E340" i="1"/>
  <c r="E341" i="1"/>
  <c r="F341" i="1" s="1"/>
  <c r="G341" i="1" s="1"/>
  <c r="E342" i="1"/>
  <c r="F342" i="1" s="1"/>
  <c r="G342" i="1" s="1"/>
  <c r="E343" i="1"/>
  <c r="F343" i="1" s="1"/>
  <c r="G343" i="1" s="1"/>
  <c r="E344" i="1"/>
  <c r="E345" i="1"/>
  <c r="F345" i="1" s="1"/>
  <c r="G345" i="1" s="1"/>
  <c r="E346" i="1"/>
  <c r="F346" i="1" s="1"/>
  <c r="G346" i="1" s="1"/>
  <c r="E347" i="1"/>
  <c r="F347" i="1" s="1"/>
  <c r="G347" i="1" s="1"/>
  <c r="E348" i="1"/>
  <c r="E349" i="1"/>
  <c r="F349" i="1" s="1"/>
  <c r="G349" i="1" s="1"/>
  <c r="E350" i="1"/>
  <c r="F350" i="1" s="1"/>
  <c r="G350" i="1" s="1"/>
  <c r="E351" i="1"/>
  <c r="F351" i="1" s="1"/>
  <c r="G351" i="1" s="1"/>
  <c r="E352" i="1"/>
  <c r="E353" i="1"/>
  <c r="F353" i="1" s="1"/>
  <c r="G353" i="1" s="1"/>
  <c r="E354" i="1"/>
  <c r="F354" i="1" s="1"/>
  <c r="G354" i="1" s="1"/>
  <c r="E355" i="1"/>
  <c r="F355" i="1" s="1"/>
  <c r="G355" i="1" s="1"/>
  <c r="E356" i="1"/>
  <c r="E357" i="1"/>
  <c r="F357" i="1" s="1"/>
  <c r="G357" i="1" s="1"/>
  <c r="E358" i="1"/>
  <c r="F358" i="1" s="1"/>
  <c r="G358" i="1" s="1"/>
  <c r="E359" i="1"/>
  <c r="F359" i="1" s="1"/>
  <c r="G359" i="1" s="1"/>
  <c r="E360" i="1"/>
  <c r="E361" i="1"/>
  <c r="F361" i="1" s="1"/>
  <c r="G361" i="1" s="1"/>
  <c r="E362" i="1"/>
  <c r="F362" i="1" s="1"/>
  <c r="G362" i="1" s="1"/>
  <c r="E363" i="1"/>
  <c r="F363" i="1" s="1"/>
  <c r="E364" i="1"/>
  <c r="E365" i="1"/>
  <c r="F365" i="1" s="1"/>
  <c r="G365" i="1" s="1"/>
  <c r="E366" i="1"/>
  <c r="F366" i="1" s="1"/>
  <c r="G366" i="1" s="1"/>
  <c r="E367" i="1"/>
  <c r="F367" i="1" s="1"/>
  <c r="G367" i="1" s="1"/>
  <c r="E368" i="1"/>
  <c r="E369" i="1"/>
  <c r="F369" i="1" s="1"/>
  <c r="G369" i="1" s="1"/>
  <c r="E370" i="1"/>
  <c r="F370" i="1" s="1"/>
  <c r="G370" i="1" s="1"/>
  <c r="E371" i="1"/>
  <c r="F371" i="1" s="1"/>
  <c r="G371" i="1" s="1"/>
  <c r="E372" i="1"/>
  <c r="E373" i="1"/>
  <c r="F373" i="1" s="1"/>
  <c r="G373" i="1" s="1"/>
  <c r="E374" i="1"/>
  <c r="F374" i="1" s="1"/>
  <c r="G374" i="1" s="1"/>
  <c r="E375" i="1"/>
  <c r="F375" i="1" s="1"/>
  <c r="G375" i="1" s="1"/>
  <c r="E376" i="1"/>
  <c r="E377" i="1"/>
  <c r="F377" i="1" s="1"/>
  <c r="G377" i="1" s="1"/>
  <c r="E378" i="1"/>
  <c r="F378" i="1" s="1"/>
  <c r="G378" i="1" s="1"/>
  <c r="E379" i="1"/>
  <c r="F379" i="1" s="1"/>
  <c r="G379" i="1" s="1"/>
  <c r="E380" i="1"/>
  <c r="E381" i="1"/>
  <c r="F381" i="1" s="1"/>
  <c r="G381" i="1" s="1"/>
  <c r="E382" i="1"/>
  <c r="F382" i="1" s="1"/>
  <c r="G382" i="1" s="1"/>
  <c r="E383" i="1"/>
  <c r="F383" i="1" s="1"/>
  <c r="G383" i="1" s="1"/>
  <c r="E384" i="1"/>
  <c r="E385" i="1"/>
  <c r="F385" i="1" s="1"/>
  <c r="G385" i="1" s="1"/>
  <c r="E386" i="1"/>
  <c r="F386" i="1" s="1"/>
  <c r="G386" i="1" s="1"/>
  <c r="E387" i="1"/>
  <c r="F387" i="1" s="1"/>
  <c r="G387" i="1" s="1"/>
  <c r="E388" i="1"/>
  <c r="E389" i="1"/>
  <c r="F389" i="1" s="1"/>
  <c r="G389" i="1" s="1"/>
  <c r="E390" i="1"/>
  <c r="F390" i="1" s="1"/>
  <c r="G390" i="1" s="1"/>
  <c r="E391" i="1"/>
  <c r="F391" i="1" s="1"/>
  <c r="G391" i="1" s="1"/>
  <c r="E392" i="1"/>
  <c r="E393" i="1"/>
  <c r="F393" i="1" s="1"/>
  <c r="G393" i="1" s="1"/>
  <c r="E394" i="1"/>
  <c r="F394" i="1" s="1"/>
  <c r="G394" i="1" s="1"/>
  <c r="E395" i="1"/>
  <c r="F395" i="1" s="1"/>
  <c r="G395" i="1" s="1"/>
  <c r="E396" i="1"/>
  <c r="E397" i="1"/>
  <c r="F397" i="1" s="1"/>
  <c r="G397" i="1" s="1"/>
  <c r="E398" i="1"/>
  <c r="F398" i="1" s="1"/>
  <c r="G398" i="1" s="1"/>
  <c r="E399" i="1"/>
  <c r="F399" i="1" s="1"/>
  <c r="G399" i="1" s="1"/>
  <c r="E400" i="1"/>
  <c r="E401" i="1"/>
  <c r="F401" i="1" s="1"/>
  <c r="G401" i="1" s="1"/>
  <c r="E402" i="1"/>
  <c r="F402" i="1" s="1"/>
  <c r="G402" i="1" s="1"/>
  <c r="E403" i="1"/>
  <c r="F403" i="1" s="1"/>
  <c r="G403" i="1" s="1"/>
  <c r="E404" i="1"/>
  <c r="E405" i="1"/>
  <c r="F405" i="1" s="1"/>
  <c r="G405" i="1" s="1"/>
  <c r="E406" i="1"/>
  <c r="F406" i="1" s="1"/>
  <c r="E407" i="1"/>
  <c r="F407" i="1" s="1"/>
  <c r="G407" i="1" s="1"/>
  <c r="E408" i="1"/>
  <c r="E409" i="1"/>
  <c r="F409" i="1" s="1"/>
  <c r="G409" i="1" s="1"/>
  <c r="E410" i="1"/>
  <c r="F410" i="1" s="1"/>
  <c r="G410" i="1" s="1"/>
  <c r="E411" i="1"/>
  <c r="F411" i="1" s="1"/>
  <c r="G411" i="1" s="1"/>
  <c r="E412" i="1"/>
  <c r="E413" i="1"/>
  <c r="F413" i="1" s="1"/>
  <c r="G413" i="1" s="1"/>
  <c r="E414" i="1"/>
  <c r="F414" i="1" s="1"/>
  <c r="G414" i="1" s="1"/>
  <c r="E415" i="1"/>
  <c r="F415" i="1" s="1"/>
  <c r="G415" i="1" s="1"/>
  <c r="E416" i="1"/>
  <c r="E417" i="1"/>
  <c r="F417" i="1" s="1"/>
  <c r="G417" i="1" s="1"/>
  <c r="E418" i="1"/>
  <c r="F418" i="1" s="1"/>
  <c r="G418" i="1" s="1"/>
  <c r="E419" i="1"/>
  <c r="F419" i="1" s="1"/>
  <c r="G419" i="1" s="1"/>
  <c r="E420" i="1"/>
  <c r="E421" i="1"/>
  <c r="F421" i="1" s="1"/>
  <c r="G421" i="1" s="1"/>
  <c r="E422" i="1"/>
  <c r="F422" i="1" s="1"/>
  <c r="G422" i="1" s="1"/>
  <c r="E423" i="1"/>
  <c r="F423" i="1" s="1"/>
  <c r="G423" i="1" s="1"/>
  <c r="E424" i="1"/>
  <c r="E425" i="1"/>
  <c r="F425" i="1" s="1"/>
  <c r="G425" i="1" s="1"/>
  <c r="E426" i="1"/>
  <c r="F426" i="1" s="1"/>
  <c r="G426" i="1" s="1"/>
  <c r="E427" i="1"/>
  <c r="F427" i="1" s="1"/>
  <c r="G427" i="1" s="1"/>
  <c r="E428" i="1"/>
  <c r="E429" i="1"/>
  <c r="F429" i="1" s="1"/>
  <c r="G429" i="1" s="1"/>
  <c r="E430" i="1"/>
  <c r="F430" i="1" s="1"/>
  <c r="G430" i="1" s="1"/>
  <c r="E431" i="1"/>
  <c r="F431" i="1" s="1"/>
  <c r="G431" i="1" s="1"/>
  <c r="E432" i="1"/>
  <c r="E433" i="1"/>
  <c r="F433" i="1" s="1"/>
  <c r="G433" i="1" s="1"/>
  <c r="E434" i="1"/>
  <c r="F434" i="1" s="1"/>
  <c r="G434" i="1" s="1"/>
  <c r="E435" i="1"/>
  <c r="F435" i="1" s="1"/>
  <c r="G435" i="1" s="1"/>
  <c r="E436" i="1"/>
  <c r="E437" i="1"/>
  <c r="F437" i="1" s="1"/>
  <c r="G437" i="1" s="1"/>
  <c r="E438" i="1"/>
  <c r="F438" i="1" s="1"/>
  <c r="G438" i="1" s="1"/>
  <c r="E439" i="1"/>
  <c r="F439" i="1" s="1"/>
  <c r="G439" i="1" s="1"/>
  <c r="E440" i="1"/>
  <c r="E441" i="1"/>
  <c r="F441" i="1" s="1"/>
  <c r="G441" i="1" s="1"/>
  <c r="E442" i="1"/>
  <c r="F442" i="1" s="1"/>
  <c r="G442" i="1" s="1"/>
  <c r="E443" i="1"/>
  <c r="F443" i="1" s="1"/>
  <c r="G443" i="1" s="1"/>
  <c r="E444" i="1"/>
  <c r="E445" i="1"/>
  <c r="F445" i="1" s="1"/>
  <c r="G445" i="1" s="1"/>
  <c r="E446" i="1"/>
  <c r="F446" i="1" s="1"/>
  <c r="G446" i="1" s="1"/>
  <c r="E447" i="1"/>
  <c r="F447" i="1" s="1"/>
  <c r="G447" i="1" s="1"/>
  <c r="E448" i="1"/>
  <c r="E449" i="1"/>
  <c r="F449" i="1" s="1"/>
  <c r="G449" i="1" s="1"/>
  <c r="E450" i="1"/>
  <c r="F450" i="1" s="1"/>
  <c r="G450" i="1" s="1"/>
  <c r="E451" i="1"/>
  <c r="F451" i="1" s="1"/>
  <c r="G451" i="1" s="1"/>
  <c r="E452" i="1"/>
  <c r="E453" i="1"/>
  <c r="F453" i="1" s="1"/>
  <c r="G453" i="1" s="1"/>
  <c r="E454" i="1"/>
  <c r="F454" i="1" s="1"/>
  <c r="G454" i="1" s="1"/>
  <c r="E455" i="1"/>
  <c r="F455" i="1" s="1"/>
  <c r="G455" i="1" s="1"/>
  <c r="E456" i="1"/>
  <c r="E457" i="1"/>
  <c r="F457" i="1" s="1"/>
  <c r="G457" i="1" s="1"/>
  <c r="E458" i="1"/>
  <c r="F458" i="1" s="1"/>
  <c r="G458" i="1" s="1"/>
  <c r="E459" i="1"/>
  <c r="F459" i="1" s="1"/>
  <c r="G459" i="1" s="1"/>
  <c r="E460" i="1"/>
  <c r="E461" i="1"/>
  <c r="F461" i="1" s="1"/>
  <c r="G461" i="1" s="1"/>
  <c r="E462" i="1"/>
  <c r="F462" i="1" s="1"/>
  <c r="G462" i="1" s="1"/>
  <c r="E463" i="1"/>
  <c r="F463" i="1" s="1"/>
  <c r="G463" i="1" s="1"/>
  <c r="E464" i="1"/>
  <c r="E465" i="1"/>
  <c r="F465" i="1" s="1"/>
  <c r="G465" i="1" s="1"/>
  <c r="E466" i="1"/>
  <c r="F466" i="1" s="1"/>
  <c r="G466" i="1" s="1"/>
  <c r="E467" i="1"/>
  <c r="F467" i="1" s="1"/>
  <c r="G467" i="1" s="1"/>
  <c r="E468" i="1"/>
  <c r="E469" i="1"/>
  <c r="F469" i="1" s="1"/>
  <c r="G469" i="1" s="1"/>
  <c r="E470" i="1"/>
  <c r="F470" i="1" s="1"/>
  <c r="G470" i="1" s="1"/>
  <c r="E471" i="1"/>
  <c r="F471" i="1" s="1"/>
  <c r="G471" i="1" s="1"/>
  <c r="E472" i="1"/>
  <c r="F472" i="1" s="1"/>
  <c r="G472" i="1" s="1"/>
  <c r="E473" i="1"/>
  <c r="F473" i="1" s="1"/>
  <c r="G473" i="1" s="1"/>
  <c r="E474" i="1"/>
  <c r="F474" i="1" s="1"/>
  <c r="G474" i="1" s="1"/>
  <c r="E475" i="1"/>
  <c r="F475" i="1" s="1"/>
  <c r="G475" i="1" s="1"/>
  <c r="E476" i="1"/>
  <c r="E477" i="1"/>
  <c r="F477" i="1" s="1"/>
  <c r="G477" i="1" s="1"/>
  <c r="E478" i="1"/>
  <c r="F478" i="1" s="1"/>
  <c r="G478" i="1" s="1"/>
  <c r="E479" i="1"/>
  <c r="F479" i="1" s="1"/>
  <c r="G479" i="1" s="1"/>
  <c r="E480" i="1"/>
  <c r="E481" i="1"/>
  <c r="F481" i="1" s="1"/>
  <c r="G481" i="1" s="1"/>
  <c r="E482" i="1"/>
  <c r="F482" i="1" s="1"/>
  <c r="G482" i="1" s="1"/>
  <c r="E483" i="1"/>
  <c r="F483" i="1" s="1"/>
  <c r="G483" i="1" s="1"/>
  <c r="E484" i="1"/>
  <c r="E485" i="1"/>
  <c r="F485" i="1" s="1"/>
  <c r="G485" i="1" s="1"/>
  <c r="E486" i="1"/>
  <c r="F486" i="1" s="1"/>
  <c r="G486" i="1" s="1"/>
  <c r="E487" i="1"/>
  <c r="F487" i="1" s="1"/>
  <c r="G487" i="1" s="1"/>
  <c r="E488" i="1"/>
  <c r="E489" i="1"/>
  <c r="F489" i="1" s="1"/>
  <c r="G489" i="1" s="1"/>
  <c r="E490" i="1"/>
  <c r="F490" i="1" s="1"/>
  <c r="G490" i="1" s="1"/>
  <c r="E491" i="1"/>
  <c r="F491" i="1" s="1"/>
  <c r="E492" i="1"/>
  <c r="E493" i="1"/>
  <c r="F493" i="1" s="1"/>
  <c r="G493" i="1" s="1"/>
  <c r="E494" i="1"/>
  <c r="F494" i="1" s="1"/>
  <c r="G494" i="1" s="1"/>
  <c r="E495" i="1"/>
  <c r="F495" i="1" s="1"/>
  <c r="G495" i="1" s="1"/>
  <c r="E496" i="1"/>
  <c r="E497" i="1"/>
  <c r="F497" i="1" s="1"/>
  <c r="G497" i="1" s="1"/>
  <c r="E498" i="1"/>
  <c r="F498" i="1" s="1"/>
  <c r="G498" i="1" s="1"/>
  <c r="E499" i="1"/>
  <c r="F499" i="1" s="1"/>
  <c r="G499" i="1" s="1"/>
  <c r="E500" i="1"/>
  <c r="E501" i="1"/>
  <c r="F501" i="1" s="1"/>
  <c r="G501" i="1" s="1"/>
  <c r="E502" i="1"/>
  <c r="F502" i="1" s="1"/>
  <c r="G502" i="1" s="1"/>
  <c r="E503" i="1"/>
  <c r="F503" i="1" s="1"/>
  <c r="G503" i="1" s="1"/>
  <c r="E504" i="1"/>
  <c r="E505" i="1"/>
  <c r="F505" i="1" s="1"/>
  <c r="G505" i="1" s="1"/>
  <c r="E506" i="1"/>
  <c r="F506" i="1" s="1"/>
  <c r="G506" i="1" s="1"/>
  <c r="E507" i="1"/>
  <c r="F507" i="1" s="1"/>
  <c r="G507" i="1" s="1"/>
  <c r="E508" i="1"/>
  <c r="E509" i="1"/>
  <c r="F509" i="1" s="1"/>
  <c r="G509" i="1" s="1"/>
  <c r="E510" i="1"/>
  <c r="F510" i="1" s="1"/>
  <c r="G510" i="1" s="1"/>
  <c r="E511" i="1"/>
  <c r="F511" i="1" s="1"/>
  <c r="G511" i="1" s="1"/>
  <c r="E512" i="1"/>
  <c r="E513" i="1"/>
  <c r="F513" i="1" s="1"/>
  <c r="G513" i="1" s="1"/>
  <c r="E514" i="1"/>
  <c r="F514" i="1" s="1"/>
  <c r="G514" i="1" s="1"/>
  <c r="E515" i="1"/>
  <c r="F515" i="1" s="1"/>
  <c r="G515" i="1" s="1"/>
  <c r="E516" i="1"/>
  <c r="E517" i="1"/>
  <c r="F517" i="1" s="1"/>
  <c r="G517" i="1" s="1"/>
  <c r="E518" i="1"/>
  <c r="F518" i="1" s="1"/>
  <c r="G518" i="1" s="1"/>
  <c r="E519" i="1"/>
  <c r="F519" i="1" s="1"/>
  <c r="G519" i="1" s="1"/>
  <c r="E520" i="1"/>
  <c r="E521" i="1"/>
  <c r="F521" i="1" s="1"/>
  <c r="G521" i="1" s="1"/>
  <c r="E522" i="1"/>
  <c r="F522" i="1" s="1"/>
  <c r="G522" i="1" s="1"/>
  <c r="E523" i="1"/>
  <c r="F523" i="1" s="1"/>
  <c r="G523" i="1" s="1"/>
  <c r="E524" i="1"/>
  <c r="E525" i="1"/>
  <c r="F525" i="1" s="1"/>
  <c r="G525" i="1" s="1"/>
  <c r="E526" i="1"/>
  <c r="F526" i="1" s="1"/>
  <c r="G526" i="1" s="1"/>
  <c r="E527" i="1"/>
  <c r="F527" i="1" s="1"/>
  <c r="G527" i="1" s="1"/>
  <c r="E528" i="1"/>
  <c r="E529" i="1"/>
  <c r="F529" i="1" s="1"/>
  <c r="G529" i="1" s="1"/>
  <c r="E530" i="1"/>
  <c r="F530" i="1" s="1"/>
  <c r="G530" i="1" s="1"/>
  <c r="E531" i="1"/>
  <c r="F531" i="1" s="1"/>
  <c r="G531" i="1" s="1"/>
  <c r="E532" i="1"/>
  <c r="E533" i="1"/>
  <c r="F533" i="1" s="1"/>
  <c r="G533" i="1" s="1"/>
  <c r="E534" i="1"/>
  <c r="F534" i="1" s="1"/>
  <c r="E535" i="1"/>
  <c r="F535" i="1" s="1"/>
  <c r="G535" i="1" s="1"/>
  <c r="E536" i="1"/>
  <c r="E537" i="1"/>
  <c r="F537" i="1" s="1"/>
  <c r="G537" i="1" s="1"/>
  <c r="E538" i="1"/>
  <c r="F538" i="1" s="1"/>
  <c r="G538" i="1" s="1"/>
  <c r="E539" i="1"/>
  <c r="F539" i="1" s="1"/>
  <c r="G539" i="1" s="1"/>
  <c r="E540" i="1"/>
  <c r="E541" i="1"/>
  <c r="F541" i="1" s="1"/>
  <c r="G541" i="1" s="1"/>
  <c r="E542" i="1"/>
  <c r="F542" i="1" s="1"/>
  <c r="G542" i="1" s="1"/>
  <c r="E543" i="1"/>
  <c r="F543" i="1" s="1"/>
  <c r="G543" i="1" s="1"/>
  <c r="E544" i="1"/>
  <c r="E545" i="1"/>
  <c r="F545" i="1" s="1"/>
  <c r="G545" i="1" s="1"/>
  <c r="E546" i="1"/>
  <c r="F546" i="1" s="1"/>
  <c r="G546" i="1" s="1"/>
  <c r="E547" i="1"/>
  <c r="F547" i="1" s="1"/>
  <c r="G547" i="1" s="1"/>
  <c r="E548" i="1"/>
  <c r="E549" i="1"/>
  <c r="F549" i="1" s="1"/>
  <c r="G549" i="1" s="1"/>
  <c r="E550" i="1"/>
  <c r="F550" i="1" s="1"/>
  <c r="G550" i="1" s="1"/>
  <c r="E551" i="1"/>
  <c r="F551" i="1" s="1"/>
  <c r="G551" i="1" s="1"/>
  <c r="E552" i="1"/>
  <c r="E553" i="1"/>
  <c r="F553" i="1" s="1"/>
  <c r="G553" i="1" s="1"/>
  <c r="E554" i="1"/>
  <c r="F554" i="1" s="1"/>
  <c r="G554" i="1" s="1"/>
  <c r="E555" i="1"/>
  <c r="F555" i="1" s="1"/>
  <c r="G555" i="1" s="1"/>
  <c r="E556" i="1"/>
  <c r="E557" i="1"/>
  <c r="F557" i="1" s="1"/>
  <c r="G557" i="1" s="1"/>
  <c r="E558" i="1"/>
  <c r="F558" i="1" s="1"/>
  <c r="E559" i="1"/>
  <c r="F559" i="1" s="1"/>
  <c r="G559" i="1" s="1"/>
  <c r="E560" i="1"/>
  <c r="E561" i="1"/>
  <c r="F561" i="1" s="1"/>
  <c r="G561" i="1" s="1"/>
  <c r="E562" i="1"/>
  <c r="F562" i="1" s="1"/>
  <c r="G562" i="1" s="1"/>
  <c r="E563" i="1"/>
  <c r="F563" i="1" s="1"/>
  <c r="G563" i="1" s="1"/>
  <c r="E564" i="1"/>
  <c r="E565" i="1"/>
  <c r="F565" i="1" s="1"/>
  <c r="G565" i="1" s="1"/>
  <c r="E566" i="1"/>
  <c r="F566" i="1" s="1"/>
  <c r="G566" i="1" s="1"/>
  <c r="E567" i="1"/>
  <c r="F567" i="1" s="1"/>
  <c r="G567" i="1" s="1"/>
  <c r="E568" i="1"/>
  <c r="E569" i="1"/>
  <c r="F569" i="1" s="1"/>
  <c r="G569" i="1" s="1"/>
  <c r="E570" i="1"/>
  <c r="F570" i="1" s="1"/>
  <c r="G570" i="1" s="1"/>
  <c r="E571" i="1"/>
  <c r="F571" i="1" s="1"/>
  <c r="G571" i="1" s="1"/>
  <c r="E572" i="1"/>
  <c r="E573" i="1"/>
  <c r="F573" i="1" s="1"/>
  <c r="G573" i="1" s="1"/>
  <c r="E574" i="1"/>
  <c r="F574" i="1" s="1"/>
  <c r="G574" i="1" s="1"/>
  <c r="E575" i="1"/>
  <c r="F575" i="1" s="1"/>
  <c r="G575" i="1" s="1"/>
  <c r="E576" i="1"/>
  <c r="E577" i="1"/>
  <c r="F577" i="1" s="1"/>
  <c r="G577" i="1" s="1"/>
  <c r="E578" i="1"/>
  <c r="F578" i="1" s="1"/>
  <c r="G578" i="1" s="1"/>
  <c r="E579" i="1"/>
  <c r="F579" i="1" s="1"/>
  <c r="E580" i="1"/>
  <c r="E581" i="1"/>
  <c r="F581" i="1" s="1"/>
  <c r="G581" i="1" s="1"/>
  <c r="E582" i="1"/>
  <c r="F582" i="1" s="1"/>
  <c r="G582" i="1" s="1"/>
  <c r="E583" i="1"/>
  <c r="F583" i="1" s="1"/>
  <c r="G583" i="1" s="1"/>
  <c r="E584" i="1"/>
  <c r="E585" i="1"/>
  <c r="F585" i="1" s="1"/>
  <c r="G585" i="1" s="1"/>
  <c r="E586" i="1"/>
  <c r="F586" i="1" s="1"/>
  <c r="G586" i="1" s="1"/>
  <c r="E587" i="1"/>
  <c r="F587" i="1" s="1"/>
  <c r="G587" i="1" s="1"/>
  <c r="E588" i="1"/>
  <c r="E589" i="1"/>
  <c r="F589" i="1" s="1"/>
  <c r="G589" i="1" s="1"/>
  <c r="E590" i="1"/>
  <c r="F590" i="1" s="1"/>
  <c r="G590" i="1" s="1"/>
  <c r="E591" i="1"/>
  <c r="F591" i="1" s="1"/>
  <c r="G591" i="1" s="1"/>
  <c r="E592" i="1"/>
  <c r="E593" i="1"/>
  <c r="F593" i="1" s="1"/>
  <c r="G593" i="1" s="1"/>
  <c r="E594" i="1"/>
  <c r="F594" i="1" s="1"/>
  <c r="G594" i="1" s="1"/>
  <c r="E595" i="1"/>
  <c r="F595" i="1" s="1"/>
  <c r="G595" i="1" s="1"/>
  <c r="E596" i="1"/>
  <c r="E597" i="1"/>
  <c r="F597" i="1" s="1"/>
  <c r="G597" i="1" s="1"/>
  <c r="E598" i="1"/>
  <c r="F598" i="1" s="1"/>
  <c r="G598" i="1" s="1"/>
  <c r="E599" i="1"/>
  <c r="F599" i="1" s="1"/>
  <c r="G599" i="1" s="1"/>
  <c r="E600" i="1"/>
  <c r="E601" i="1"/>
  <c r="F601" i="1" s="1"/>
  <c r="G601" i="1" s="1"/>
  <c r="E602" i="1"/>
  <c r="F602" i="1" s="1"/>
  <c r="G602" i="1" s="1"/>
  <c r="E603" i="1"/>
  <c r="F603" i="1" s="1"/>
  <c r="G603" i="1" s="1"/>
  <c r="E604" i="1"/>
  <c r="E605" i="1"/>
  <c r="F605" i="1" s="1"/>
  <c r="G605" i="1" s="1"/>
  <c r="E606" i="1"/>
  <c r="F606" i="1" s="1"/>
  <c r="G606" i="1" s="1"/>
  <c r="E607" i="1"/>
  <c r="F607" i="1" s="1"/>
  <c r="G607" i="1" s="1"/>
  <c r="E608" i="1"/>
  <c r="E609" i="1"/>
  <c r="F609" i="1" s="1"/>
  <c r="G609" i="1" s="1"/>
  <c r="E610" i="1"/>
  <c r="F610" i="1" s="1"/>
  <c r="G610" i="1" s="1"/>
  <c r="E611" i="1"/>
  <c r="F611" i="1" s="1"/>
  <c r="G611" i="1" s="1"/>
  <c r="E612" i="1"/>
  <c r="E613" i="1"/>
  <c r="F613" i="1" s="1"/>
  <c r="G613" i="1" s="1"/>
  <c r="E614" i="1"/>
  <c r="F614" i="1" s="1"/>
  <c r="G614" i="1" s="1"/>
  <c r="E615" i="1"/>
  <c r="F615" i="1" s="1"/>
  <c r="G615" i="1" s="1"/>
  <c r="E616" i="1"/>
  <c r="E617" i="1"/>
  <c r="F617" i="1" s="1"/>
  <c r="G617" i="1" s="1"/>
  <c r="E618" i="1"/>
  <c r="F618" i="1" s="1"/>
  <c r="G618" i="1" s="1"/>
  <c r="E619" i="1"/>
  <c r="F619" i="1" s="1"/>
  <c r="G619" i="1" s="1"/>
  <c r="E620" i="1"/>
  <c r="E621" i="1"/>
  <c r="F621" i="1" s="1"/>
  <c r="G621" i="1" s="1"/>
  <c r="E622" i="1"/>
  <c r="F622" i="1" s="1"/>
  <c r="G622" i="1" s="1"/>
  <c r="E623" i="1"/>
  <c r="F623" i="1" s="1"/>
  <c r="G623" i="1" s="1"/>
  <c r="E624" i="1"/>
  <c r="E625" i="1"/>
  <c r="F625" i="1" s="1"/>
  <c r="G625" i="1" s="1"/>
  <c r="E626" i="1"/>
  <c r="F626" i="1" s="1"/>
  <c r="G626" i="1" s="1"/>
  <c r="E627" i="1"/>
  <c r="F627" i="1" s="1"/>
  <c r="G627" i="1" s="1"/>
  <c r="E628" i="1"/>
  <c r="E629" i="1"/>
  <c r="F629" i="1" s="1"/>
  <c r="G629" i="1" s="1"/>
  <c r="E630" i="1"/>
  <c r="F630" i="1" s="1"/>
  <c r="G630" i="1" s="1"/>
  <c r="E631" i="1"/>
  <c r="F631" i="1" s="1"/>
  <c r="G631" i="1" s="1"/>
  <c r="E632" i="1"/>
  <c r="E633" i="1"/>
  <c r="F633" i="1" s="1"/>
  <c r="G633" i="1" s="1"/>
  <c r="E634" i="1"/>
  <c r="F634" i="1" s="1"/>
  <c r="G634" i="1" s="1"/>
  <c r="E635" i="1"/>
  <c r="F635" i="1" s="1"/>
  <c r="G635" i="1" s="1"/>
  <c r="E636" i="1"/>
  <c r="E637" i="1"/>
  <c r="F637" i="1" s="1"/>
  <c r="G637" i="1" s="1"/>
  <c r="E638" i="1"/>
  <c r="F638" i="1" s="1"/>
  <c r="G638" i="1" s="1"/>
  <c r="E639" i="1"/>
  <c r="F639" i="1" s="1"/>
  <c r="G639" i="1" s="1"/>
  <c r="E640" i="1"/>
  <c r="E641" i="1"/>
  <c r="F641" i="1" s="1"/>
  <c r="G641" i="1" s="1"/>
  <c r="E642" i="1"/>
  <c r="F642" i="1" s="1"/>
  <c r="G642" i="1" s="1"/>
  <c r="E643" i="1"/>
  <c r="F643" i="1" s="1"/>
  <c r="G643" i="1" s="1"/>
  <c r="E644" i="1"/>
  <c r="E645" i="1"/>
  <c r="F645" i="1" s="1"/>
  <c r="G645" i="1" s="1"/>
  <c r="E646" i="1"/>
  <c r="F646" i="1" s="1"/>
  <c r="G646" i="1" s="1"/>
  <c r="E647" i="1"/>
  <c r="F647" i="1" s="1"/>
  <c r="G647" i="1" s="1"/>
  <c r="E648" i="1"/>
  <c r="E649" i="1"/>
  <c r="F649" i="1" s="1"/>
  <c r="G649" i="1" s="1"/>
  <c r="E650" i="1"/>
  <c r="F650" i="1" s="1"/>
  <c r="G650" i="1" s="1"/>
  <c r="E651" i="1"/>
  <c r="F651" i="1" s="1"/>
  <c r="G651" i="1" s="1"/>
  <c r="E652" i="1"/>
  <c r="E653" i="1"/>
  <c r="F653" i="1" s="1"/>
  <c r="G653" i="1" s="1"/>
  <c r="E654" i="1"/>
  <c r="F654" i="1" s="1"/>
  <c r="G654" i="1" s="1"/>
  <c r="E655" i="1"/>
  <c r="F655" i="1" s="1"/>
  <c r="G655" i="1" s="1"/>
  <c r="E656" i="1"/>
  <c r="E657" i="1"/>
  <c r="F657" i="1" s="1"/>
  <c r="G657" i="1" s="1"/>
  <c r="E658" i="1"/>
  <c r="F658" i="1" s="1"/>
  <c r="G658" i="1" s="1"/>
  <c r="E659" i="1"/>
  <c r="F659" i="1" s="1"/>
  <c r="G659" i="1" s="1"/>
  <c r="E660" i="1"/>
  <c r="E661" i="1"/>
  <c r="F661" i="1" s="1"/>
  <c r="G661" i="1" s="1"/>
  <c r="E662" i="1"/>
  <c r="F662" i="1" s="1"/>
  <c r="G662" i="1" s="1"/>
  <c r="E663" i="1"/>
  <c r="F663" i="1" s="1"/>
  <c r="G663" i="1" s="1"/>
  <c r="E664" i="1"/>
  <c r="E665" i="1"/>
  <c r="F665" i="1" s="1"/>
  <c r="G665" i="1" s="1"/>
  <c r="E666" i="1"/>
  <c r="F666" i="1" s="1"/>
  <c r="G666" i="1" s="1"/>
  <c r="E667" i="1"/>
  <c r="F667" i="1" s="1"/>
  <c r="G667" i="1" s="1"/>
  <c r="E668" i="1"/>
  <c r="E669" i="1"/>
  <c r="F669" i="1" s="1"/>
  <c r="G669" i="1" s="1"/>
  <c r="E670" i="1"/>
  <c r="F670" i="1" s="1"/>
  <c r="G670" i="1" s="1"/>
  <c r="E671" i="1"/>
  <c r="F671" i="1" s="1"/>
  <c r="G671" i="1" s="1"/>
  <c r="E672" i="1"/>
  <c r="E673" i="1"/>
  <c r="F673" i="1" s="1"/>
  <c r="G673" i="1" s="1"/>
  <c r="E674" i="1"/>
  <c r="F674" i="1" s="1"/>
  <c r="G674" i="1" s="1"/>
  <c r="E675" i="1"/>
  <c r="F675" i="1" s="1"/>
  <c r="G675" i="1" s="1"/>
  <c r="E676" i="1"/>
  <c r="E677" i="1"/>
  <c r="F677" i="1" s="1"/>
  <c r="G677" i="1" s="1"/>
  <c r="E678" i="1"/>
  <c r="F678" i="1" s="1"/>
  <c r="G678" i="1" s="1"/>
  <c r="E679" i="1"/>
  <c r="F679" i="1" s="1"/>
  <c r="G679" i="1" s="1"/>
  <c r="E680" i="1"/>
  <c r="E681" i="1"/>
  <c r="F681" i="1" s="1"/>
  <c r="G681" i="1" s="1"/>
  <c r="E682" i="1"/>
  <c r="F682" i="1" s="1"/>
  <c r="G682" i="1" s="1"/>
  <c r="E683" i="1"/>
  <c r="F683" i="1" s="1"/>
  <c r="G683" i="1" s="1"/>
  <c r="E684" i="1"/>
  <c r="E685" i="1"/>
  <c r="F685" i="1" s="1"/>
  <c r="G685" i="1" s="1"/>
  <c r="E686" i="1"/>
  <c r="F686" i="1" s="1"/>
  <c r="G686" i="1" s="1"/>
  <c r="E687" i="1"/>
  <c r="F687" i="1" s="1"/>
  <c r="G687" i="1" s="1"/>
  <c r="E688" i="1"/>
  <c r="E689" i="1"/>
  <c r="F689" i="1" s="1"/>
  <c r="G689" i="1" s="1"/>
  <c r="E690" i="1"/>
  <c r="F690" i="1" s="1"/>
  <c r="G690" i="1" s="1"/>
  <c r="E691" i="1"/>
  <c r="F691" i="1" s="1"/>
  <c r="G691" i="1" s="1"/>
  <c r="E692" i="1"/>
  <c r="E693" i="1"/>
  <c r="F693" i="1" s="1"/>
  <c r="G693" i="1" s="1"/>
  <c r="E694" i="1"/>
  <c r="F694" i="1" s="1"/>
  <c r="G694" i="1" s="1"/>
  <c r="E695" i="1"/>
  <c r="F695" i="1" s="1"/>
  <c r="G695" i="1" s="1"/>
  <c r="E696" i="1"/>
  <c r="E697" i="1"/>
  <c r="F697" i="1" s="1"/>
  <c r="G697" i="1" s="1"/>
  <c r="E698" i="1"/>
  <c r="F698" i="1" s="1"/>
  <c r="G698" i="1" s="1"/>
  <c r="E699" i="1"/>
  <c r="F699" i="1" s="1"/>
  <c r="G699" i="1" s="1"/>
  <c r="E700" i="1"/>
  <c r="E701" i="1"/>
  <c r="F701" i="1" s="1"/>
  <c r="G701" i="1" s="1"/>
  <c r="E702" i="1"/>
  <c r="F702" i="1" s="1"/>
  <c r="G702" i="1" s="1"/>
  <c r="E703" i="1"/>
  <c r="F703" i="1" s="1"/>
  <c r="G703" i="1" s="1"/>
  <c r="E704" i="1"/>
  <c r="E705" i="1"/>
  <c r="F705" i="1" s="1"/>
  <c r="G705" i="1" s="1"/>
  <c r="E706" i="1"/>
  <c r="F706" i="1" s="1"/>
  <c r="G706" i="1" s="1"/>
  <c r="E707" i="1"/>
  <c r="F707" i="1" s="1"/>
  <c r="G707" i="1" s="1"/>
  <c r="E708" i="1"/>
  <c r="E709" i="1"/>
  <c r="F709" i="1" s="1"/>
  <c r="G709" i="1" s="1"/>
  <c r="E710" i="1"/>
  <c r="F710" i="1" s="1"/>
  <c r="G710" i="1" s="1"/>
  <c r="E711" i="1"/>
  <c r="F711" i="1" s="1"/>
  <c r="G711" i="1" s="1"/>
  <c r="E712" i="1"/>
  <c r="E713" i="1"/>
  <c r="F713" i="1" s="1"/>
  <c r="G713" i="1" s="1"/>
  <c r="E714" i="1"/>
  <c r="F714" i="1" s="1"/>
  <c r="G714" i="1" s="1"/>
  <c r="E715" i="1"/>
  <c r="F715" i="1" s="1"/>
  <c r="G715" i="1" s="1"/>
  <c r="E716" i="1"/>
  <c r="E717" i="1"/>
  <c r="F717" i="1" s="1"/>
  <c r="G717" i="1" s="1"/>
  <c r="E718" i="1"/>
  <c r="F718" i="1" s="1"/>
  <c r="G718" i="1" s="1"/>
  <c r="E719" i="1"/>
  <c r="F719" i="1" s="1"/>
  <c r="G719" i="1" s="1"/>
  <c r="E720" i="1"/>
  <c r="E721" i="1"/>
  <c r="F721" i="1" s="1"/>
  <c r="G721" i="1" s="1"/>
  <c r="E722" i="1"/>
  <c r="F722" i="1" s="1"/>
  <c r="G722" i="1" s="1"/>
  <c r="E723" i="1"/>
  <c r="F723" i="1" s="1"/>
  <c r="G723" i="1" s="1"/>
  <c r="E724" i="1"/>
  <c r="E725" i="1"/>
  <c r="F725" i="1" s="1"/>
  <c r="G725" i="1" s="1"/>
  <c r="E726" i="1"/>
  <c r="F726" i="1" s="1"/>
  <c r="G726" i="1" s="1"/>
  <c r="E727" i="1"/>
  <c r="F727" i="1" s="1"/>
  <c r="G727" i="1" s="1"/>
  <c r="E728" i="1"/>
  <c r="F728" i="1" s="1"/>
  <c r="G728" i="1" s="1"/>
  <c r="E729" i="1"/>
  <c r="F729" i="1" s="1"/>
  <c r="G729" i="1" s="1"/>
  <c r="E730" i="1"/>
  <c r="F730" i="1" s="1"/>
  <c r="G730" i="1" s="1"/>
  <c r="E731" i="1"/>
  <c r="F731" i="1" s="1"/>
  <c r="G731" i="1" s="1"/>
  <c r="E732" i="1"/>
  <c r="E733" i="1"/>
  <c r="F733" i="1" s="1"/>
  <c r="G733" i="1" s="1"/>
  <c r="E734" i="1"/>
  <c r="F734" i="1" s="1"/>
  <c r="G734" i="1" s="1"/>
  <c r="E735" i="1"/>
  <c r="F735" i="1" s="1"/>
  <c r="G735" i="1" s="1"/>
  <c r="E736" i="1"/>
  <c r="E737" i="1"/>
  <c r="F737" i="1" s="1"/>
  <c r="G737" i="1" s="1"/>
  <c r="E738" i="1"/>
  <c r="F738" i="1" s="1"/>
  <c r="G738" i="1" s="1"/>
  <c r="E739" i="1"/>
  <c r="F739" i="1" s="1"/>
  <c r="G739" i="1" s="1"/>
  <c r="E740" i="1"/>
  <c r="E741" i="1"/>
  <c r="F741" i="1" s="1"/>
  <c r="G741" i="1" s="1"/>
  <c r="E742" i="1"/>
  <c r="F742" i="1" s="1"/>
  <c r="G742" i="1" s="1"/>
  <c r="E743" i="1"/>
  <c r="F743" i="1" s="1"/>
  <c r="G743" i="1" s="1"/>
  <c r="E744" i="1"/>
  <c r="E745" i="1"/>
  <c r="F745" i="1" s="1"/>
  <c r="G745" i="1" s="1"/>
  <c r="E746" i="1"/>
  <c r="F746" i="1" s="1"/>
  <c r="G746" i="1" s="1"/>
  <c r="E747" i="1"/>
  <c r="F747" i="1" s="1"/>
  <c r="G747" i="1" s="1"/>
  <c r="E748" i="1"/>
  <c r="E749" i="1"/>
  <c r="F749" i="1" s="1"/>
  <c r="G749" i="1" s="1"/>
  <c r="E750" i="1"/>
  <c r="F750" i="1" s="1"/>
  <c r="G750" i="1" s="1"/>
  <c r="E751" i="1"/>
  <c r="F751" i="1" s="1"/>
  <c r="G751" i="1" s="1"/>
  <c r="E752" i="1"/>
  <c r="E753" i="1"/>
  <c r="F753" i="1" s="1"/>
  <c r="G753" i="1" s="1"/>
  <c r="E754" i="1"/>
  <c r="F754" i="1" s="1"/>
  <c r="G754" i="1" s="1"/>
  <c r="E755" i="1"/>
  <c r="F755" i="1" s="1"/>
  <c r="G755" i="1" s="1"/>
  <c r="E756" i="1"/>
  <c r="E757" i="1"/>
  <c r="F757" i="1" s="1"/>
  <c r="G757" i="1" s="1"/>
  <c r="E758" i="1"/>
  <c r="F758" i="1" s="1"/>
  <c r="G758" i="1" s="1"/>
  <c r="E759" i="1"/>
  <c r="F759" i="1" s="1"/>
  <c r="G759" i="1" s="1"/>
  <c r="E760" i="1"/>
  <c r="E761" i="1"/>
  <c r="F761" i="1" s="1"/>
  <c r="G761" i="1" s="1"/>
  <c r="E762" i="1"/>
  <c r="F762" i="1" s="1"/>
  <c r="G762" i="1" s="1"/>
  <c r="E763" i="1"/>
  <c r="F763" i="1" s="1"/>
  <c r="G763" i="1" s="1"/>
  <c r="E764" i="1"/>
  <c r="E765" i="1"/>
  <c r="F765" i="1" s="1"/>
  <c r="G765" i="1" s="1"/>
  <c r="E766" i="1"/>
  <c r="F766" i="1" s="1"/>
  <c r="G766" i="1" s="1"/>
  <c r="E767" i="1"/>
  <c r="F767" i="1" s="1"/>
  <c r="G767" i="1" s="1"/>
  <c r="E768" i="1"/>
  <c r="E769" i="1"/>
  <c r="F769" i="1" s="1"/>
  <c r="G769" i="1" s="1"/>
  <c r="E770" i="1"/>
  <c r="F770" i="1" s="1"/>
  <c r="G770" i="1" s="1"/>
  <c r="E771" i="1"/>
  <c r="F771" i="1" s="1"/>
  <c r="G771" i="1" s="1"/>
  <c r="E772" i="1"/>
  <c r="E773" i="1"/>
  <c r="F773" i="1" s="1"/>
  <c r="G773" i="1" s="1"/>
  <c r="E774" i="1"/>
  <c r="F774" i="1" s="1"/>
  <c r="G774" i="1" s="1"/>
  <c r="E775" i="1"/>
  <c r="F775" i="1" s="1"/>
  <c r="G775" i="1" s="1"/>
  <c r="E776" i="1"/>
  <c r="E777" i="1"/>
  <c r="F777" i="1" s="1"/>
  <c r="G777" i="1" s="1"/>
  <c r="E778" i="1"/>
  <c r="F778" i="1" s="1"/>
  <c r="G778" i="1" s="1"/>
  <c r="E779" i="1"/>
  <c r="F779" i="1" s="1"/>
  <c r="G779" i="1" s="1"/>
  <c r="E780" i="1"/>
  <c r="E781" i="1"/>
  <c r="F781" i="1" s="1"/>
  <c r="G781" i="1" s="1"/>
  <c r="E782" i="1"/>
  <c r="F782" i="1" s="1"/>
  <c r="G782" i="1" s="1"/>
  <c r="E783" i="1"/>
  <c r="F783" i="1" s="1"/>
  <c r="G783" i="1" s="1"/>
  <c r="E784" i="1"/>
  <c r="E785" i="1"/>
  <c r="F785" i="1" s="1"/>
  <c r="G785" i="1" s="1"/>
  <c r="E786" i="1"/>
  <c r="F786" i="1" s="1"/>
  <c r="G786" i="1" s="1"/>
  <c r="E787" i="1"/>
  <c r="F787" i="1" s="1"/>
  <c r="G787" i="1" s="1"/>
  <c r="E788" i="1"/>
  <c r="E789" i="1"/>
  <c r="F789" i="1" s="1"/>
  <c r="G789" i="1" s="1"/>
  <c r="E790" i="1"/>
  <c r="F790" i="1" s="1"/>
  <c r="G790" i="1" s="1"/>
  <c r="E791" i="1"/>
  <c r="F791" i="1" s="1"/>
  <c r="G791" i="1" s="1"/>
  <c r="E792" i="1"/>
  <c r="E793" i="1"/>
  <c r="F793" i="1" s="1"/>
  <c r="G793" i="1" s="1"/>
  <c r="E794" i="1"/>
  <c r="F794" i="1" s="1"/>
  <c r="G794" i="1" s="1"/>
  <c r="E795" i="1"/>
  <c r="F795" i="1" s="1"/>
  <c r="G795" i="1" s="1"/>
  <c r="E796" i="1"/>
  <c r="E797" i="1"/>
  <c r="F797" i="1" s="1"/>
  <c r="G797" i="1" s="1"/>
  <c r="E798" i="1"/>
  <c r="F798" i="1" s="1"/>
  <c r="G798" i="1" s="1"/>
  <c r="E799" i="1"/>
  <c r="F799" i="1" s="1"/>
  <c r="G799" i="1" s="1"/>
  <c r="E800" i="1"/>
  <c r="E801" i="1"/>
  <c r="F801" i="1" s="1"/>
  <c r="G801" i="1" s="1"/>
  <c r="E802" i="1"/>
  <c r="F802" i="1" s="1"/>
  <c r="G802" i="1" s="1"/>
  <c r="E803" i="1"/>
  <c r="F803" i="1" s="1"/>
  <c r="G803" i="1" s="1"/>
  <c r="E804" i="1"/>
  <c r="E805" i="1"/>
  <c r="F805" i="1" s="1"/>
  <c r="G805" i="1" s="1"/>
  <c r="E806" i="1"/>
  <c r="F806" i="1" s="1"/>
  <c r="G806" i="1" s="1"/>
  <c r="E807" i="1"/>
  <c r="F807" i="1" s="1"/>
  <c r="G807" i="1" s="1"/>
  <c r="E808" i="1"/>
  <c r="E809" i="1"/>
  <c r="F809" i="1" s="1"/>
  <c r="G809" i="1" s="1"/>
  <c r="E810" i="1"/>
  <c r="F810" i="1" s="1"/>
  <c r="G810" i="1" s="1"/>
  <c r="E811" i="1"/>
  <c r="F811" i="1" s="1"/>
  <c r="G811" i="1" s="1"/>
  <c r="E812" i="1"/>
  <c r="E813" i="1"/>
  <c r="F813" i="1" s="1"/>
  <c r="G813" i="1" s="1"/>
  <c r="E814" i="1"/>
  <c r="F814" i="1" s="1"/>
  <c r="G814" i="1" s="1"/>
  <c r="E815" i="1"/>
  <c r="F815" i="1" s="1"/>
  <c r="G815" i="1" s="1"/>
  <c r="E816" i="1"/>
  <c r="E817" i="1"/>
  <c r="F817" i="1" s="1"/>
  <c r="G817" i="1" s="1"/>
  <c r="E818" i="1"/>
  <c r="F818" i="1" s="1"/>
  <c r="G818" i="1" s="1"/>
  <c r="E819" i="1"/>
  <c r="F819" i="1" s="1"/>
  <c r="G819" i="1" s="1"/>
  <c r="E820" i="1"/>
  <c r="E821" i="1"/>
  <c r="F821" i="1" s="1"/>
  <c r="G821" i="1" s="1"/>
  <c r="E822" i="1"/>
  <c r="F822" i="1" s="1"/>
  <c r="G822" i="1" s="1"/>
  <c r="E823" i="1"/>
  <c r="F823" i="1" s="1"/>
  <c r="G823" i="1" s="1"/>
  <c r="E824" i="1"/>
  <c r="E825" i="1"/>
  <c r="F825" i="1" s="1"/>
  <c r="G825" i="1" s="1"/>
  <c r="E826" i="1"/>
  <c r="F826" i="1" s="1"/>
  <c r="G826" i="1" s="1"/>
  <c r="E827" i="1"/>
  <c r="F827" i="1" s="1"/>
  <c r="G827" i="1" s="1"/>
  <c r="E828" i="1"/>
  <c r="E829" i="1"/>
  <c r="F829" i="1" s="1"/>
  <c r="G829" i="1" s="1"/>
  <c r="E830" i="1"/>
  <c r="F830" i="1" s="1"/>
  <c r="G830" i="1" s="1"/>
  <c r="E831" i="1"/>
  <c r="F831" i="1" s="1"/>
  <c r="G831" i="1" s="1"/>
  <c r="E832" i="1"/>
  <c r="E833" i="1"/>
  <c r="F833" i="1" s="1"/>
  <c r="G833" i="1" s="1"/>
  <c r="E834" i="1"/>
  <c r="F834" i="1" s="1"/>
  <c r="G834" i="1" s="1"/>
  <c r="E835" i="1"/>
  <c r="F835" i="1" s="1"/>
  <c r="G835" i="1" s="1"/>
  <c r="E836" i="1"/>
  <c r="E837" i="1"/>
  <c r="F837" i="1" s="1"/>
  <c r="G837" i="1" s="1"/>
  <c r="E838" i="1"/>
  <c r="F838" i="1" s="1"/>
  <c r="G838" i="1" s="1"/>
  <c r="E839" i="1"/>
  <c r="F839" i="1" s="1"/>
  <c r="G839" i="1" s="1"/>
  <c r="E840" i="1"/>
  <c r="E841" i="1"/>
  <c r="F841" i="1" s="1"/>
  <c r="G841" i="1" s="1"/>
  <c r="E842" i="1"/>
  <c r="F842" i="1" s="1"/>
  <c r="G842" i="1" s="1"/>
  <c r="E843" i="1"/>
  <c r="F843" i="1" s="1"/>
  <c r="G843" i="1" s="1"/>
  <c r="E844" i="1"/>
  <c r="E845" i="1"/>
  <c r="F845" i="1" s="1"/>
  <c r="G845" i="1" s="1"/>
  <c r="E846" i="1"/>
  <c r="F846" i="1" s="1"/>
  <c r="G846" i="1" s="1"/>
  <c r="E847" i="1"/>
  <c r="F847" i="1" s="1"/>
  <c r="G847" i="1" s="1"/>
  <c r="E848" i="1"/>
  <c r="E849" i="1"/>
  <c r="F849" i="1" s="1"/>
  <c r="G849" i="1" s="1"/>
  <c r="E850" i="1"/>
  <c r="F850" i="1" s="1"/>
  <c r="G850" i="1" s="1"/>
  <c r="E851" i="1"/>
  <c r="F851" i="1" s="1"/>
  <c r="G851" i="1" s="1"/>
  <c r="E852" i="1"/>
  <c r="E853" i="1"/>
  <c r="F853" i="1" s="1"/>
  <c r="G853" i="1" s="1"/>
  <c r="E854" i="1"/>
  <c r="F854" i="1" s="1"/>
  <c r="G854" i="1" s="1"/>
  <c r="E855" i="1"/>
  <c r="F855" i="1" s="1"/>
  <c r="G855" i="1" s="1"/>
  <c r="E856" i="1"/>
  <c r="F856" i="1" s="1"/>
  <c r="G856" i="1" s="1"/>
  <c r="E857" i="1"/>
  <c r="F857" i="1" s="1"/>
  <c r="G857" i="1" s="1"/>
  <c r="E858" i="1"/>
  <c r="F858" i="1" s="1"/>
  <c r="G858" i="1" s="1"/>
  <c r="E859" i="1"/>
  <c r="F859" i="1" s="1"/>
  <c r="G859" i="1" s="1"/>
  <c r="E860" i="1"/>
  <c r="E861" i="1"/>
  <c r="F861" i="1" s="1"/>
  <c r="G861" i="1" s="1"/>
  <c r="E862" i="1"/>
  <c r="F862" i="1" s="1"/>
  <c r="G862" i="1" s="1"/>
  <c r="E863" i="1"/>
  <c r="F863" i="1" s="1"/>
  <c r="G863" i="1" s="1"/>
  <c r="E864" i="1"/>
  <c r="E865" i="1"/>
  <c r="F865" i="1" s="1"/>
  <c r="G865" i="1" s="1"/>
  <c r="E866" i="1"/>
  <c r="F866" i="1" s="1"/>
  <c r="G866" i="1" s="1"/>
  <c r="E867" i="1"/>
  <c r="F867" i="1" s="1"/>
  <c r="G867" i="1" s="1"/>
  <c r="E868" i="1"/>
  <c r="E869" i="1"/>
  <c r="F869" i="1" s="1"/>
  <c r="G869" i="1" s="1"/>
  <c r="E870" i="1"/>
  <c r="F870" i="1" s="1"/>
  <c r="G870" i="1" s="1"/>
  <c r="E871" i="1"/>
  <c r="F871" i="1" s="1"/>
  <c r="G871" i="1" s="1"/>
  <c r="E872" i="1"/>
  <c r="E873" i="1"/>
  <c r="F873" i="1" s="1"/>
  <c r="G873" i="1" s="1"/>
  <c r="E874" i="1"/>
  <c r="F874" i="1" s="1"/>
  <c r="G874" i="1" s="1"/>
  <c r="E875" i="1"/>
  <c r="F875" i="1" s="1"/>
  <c r="G875" i="1" s="1"/>
  <c r="E876" i="1"/>
  <c r="E877" i="1"/>
  <c r="F877" i="1" s="1"/>
  <c r="G877" i="1" s="1"/>
  <c r="E878" i="1"/>
  <c r="F878" i="1" s="1"/>
  <c r="G878" i="1" s="1"/>
  <c r="E879" i="1"/>
  <c r="F879" i="1" s="1"/>
  <c r="G879" i="1" s="1"/>
  <c r="E880" i="1"/>
  <c r="E881" i="1"/>
  <c r="F881" i="1" s="1"/>
  <c r="G881" i="1" s="1"/>
  <c r="E882" i="1"/>
  <c r="F882" i="1" s="1"/>
  <c r="G882" i="1" s="1"/>
  <c r="E883" i="1"/>
  <c r="F883" i="1" s="1"/>
  <c r="G883" i="1" s="1"/>
  <c r="E884" i="1"/>
  <c r="E885" i="1"/>
  <c r="F885" i="1" s="1"/>
  <c r="G885" i="1" s="1"/>
  <c r="E886" i="1"/>
  <c r="F886" i="1" s="1"/>
  <c r="G886" i="1" s="1"/>
  <c r="E887" i="1"/>
  <c r="F887" i="1" s="1"/>
  <c r="G887" i="1" s="1"/>
  <c r="E888" i="1"/>
  <c r="E889" i="1"/>
  <c r="F889" i="1" s="1"/>
  <c r="G889" i="1" s="1"/>
  <c r="E890" i="1"/>
  <c r="F890" i="1" s="1"/>
  <c r="G890" i="1" s="1"/>
  <c r="E891" i="1"/>
  <c r="F891" i="1" s="1"/>
  <c r="G891" i="1" s="1"/>
  <c r="E892" i="1"/>
  <c r="E893" i="1"/>
  <c r="F893" i="1" s="1"/>
  <c r="G893" i="1" s="1"/>
  <c r="E894" i="1"/>
  <c r="F894" i="1" s="1"/>
  <c r="G894" i="1" s="1"/>
  <c r="E895" i="1"/>
  <c r="F895" i="1" s="1"/>
  <c r="G895" i="1" s="1"/>
  <c r="E896" i="1"/>
  <c r="E897" i="1"/>
  <c r="F897" i="1" s="1"/>
  <c r="G897" i="1" s="1"/>
  <c r="E898" i="1"/>
  <c r="F898" i="1" s="1"/>
  <c r="G898" i="1" s="1"/>
  <c r="E899" i="1"/>
  <c r="F899" i="1" s="1"/>
  <c r="G899" i="1" s="1"/>
  <c r="E900" i="1"/>
  <c r="E901" i="1"/>
  <c r="F901" i="1" s="1"/>
  <c r="G901" i="1" s="1"/>
  <c r="E902" i="1"/>
  <c r="F902" i="1" s="1"/>
  <c r="G902" i="1" s="1"/>
  <c r="E903" i="1"/>
  <c r="F903" i="1" s="1"/>
  <c r="G903" i="1" s="1"/>
  <c r="E904" i="1"/>
  <c r="E905" i="1"/>
  <c r="F905" i="1" s="1"/>
  <c r="G905" i="1" s="1"/>
  <c r="E906" i="1"/>
  <c r="F906" i="1" s="1"/>
  <c r="G906" i="1" s="1"/>
  <c r="E907" i="1"/>
  <c r="F907" i="1" s="1"/>
  <c r="G907" i="1" s="1"/>
  <c r="E908" i="1"/>
  <c r="E909" i="1"/>
  <c r="F909" i="1" s="1"/>
  <c r="G909" i="1" s="1"/>
  <c r="E910" i="1"/>
  <c r="F910" i="1" s="1"/>
  <c r="G910" i="1" s="1"/>
  <c r="E911" i="1"/>
  <c r="F911" i="1" s="1"/>
  <c r="G911" i="1" s="1"/>
  <c r="E912" i="1"/>
  <c r="E913" i="1"/>
  <c r="F913" i="1" s="1"/>
  <c r="G913" i="1" s="1"/>
  <c r="E914" i="1"/>
  <c r="F914" i="1" s="1"/>
  <c r="G914" i="1" s="1"/>
  <c r="E915" i="1"/>
  <c r="F915" i="1" s="1"/>
  <c r="G915" i="1" s="1"/>
  <c r="E916" i="1"/>
  <c r="E917" i="1"/>
  <c r="F917" i="1" s="1"/>
  <c r="G917" i="1" s="1"/>
  <c r="E918" i="1"/>
  <c r="F918" i="1" s="1"/>
  <c r="G918" i="1" s="1"/>
  <c r="E919" i="1"/>
  <c r="F919" i="1" s="1"/>
  <c r="G919" i="1" s="1"/>
  <c r="E920" i="1"/>
  <c r="E921" i="1"/>
  <c r="F921" i="1" s="1"/>
  <c r="G921" i="1" s="1"/>
  <c r="E922" i="1"/>
  <c r="F922" i="1" s="1"/>
  <c r="G922" i="1" s="1"/>
  <c r="E923" i="1"/>
  <c r="F923" i="1" s="1"/>
  <c r="G923" i="1" s="1"/>
  <c r="E924" i="1"/>
  <c r="E925" i="1"/>
  <c r="F925" i="1" s="1"/>
  <c r="G925" i="1" s="1"/>
  <c r="E926" i="1"/>
  <c r="F926" i="1" s="1"/>
  <c r="G926" i="1" s="1"/>
  <c r="E927" i="1"/>
  <c r="F927" i="1" s="1"/>
  <c r="G927" i="1" s="1"/>
  <c r="E928" i="1"/>
  <c r="E929" i="1"/>
  <c r="F929" i="1" s="1"/>
  <c r="G929" i="1" s="1"/>
  <c r="E930" i="1"/>
  <c r="F930" i="1" s="1"/>
  <c r="G930" i="1" s="1"/>
  <c r="E931" i="1"/>
  <c r="F931" i="1" s="1"/>
  <c r="G931" i="1" s="1"/>
  <c r="E932" i="1"/>
  <c r="E933" i="1"/>
  <c r="F933" i="1" s="1"/>
  <c r="G933" i="1" s="1"/>
  <c r="E934" i="1"/>
  <c r="F934" i="1" s="1"/>
  <c r="G934" i="1" s="1"/>
  <c r="E935" i="1"/>
  <c r="F935" i="1" s="1"/>
  <c r="G935" i="1" s="1"/>
  <c r="E936" i="1"/>
  <c r="E937" i="1"/>
  <c r="F937" i="1" s="1"/>
  <c r="G937" i="1" s="1"/>
  <c r="E938" i="1"/>
  <c r="F938" i="1" s="1"/>
  <c r="G938" i="1" s="1"/>
  <c r="E939" i="1"/>
  <c r="F939" i="1" s="1"/>
  <c r="G939" i="1" s="1"/>
  <c r="E940" i="1"/>
  <c r="E941" i="1"/>
  <c r="F941" i="1" s="1"/>
  <c r="G941" i="1" s="1"/>
  <c r="E942" i="1"/>
  <c r="F942" i="1" s="1"/>
  <c r="G942" i="1" s="1"/>
  <c r="E943" i="1"/>
  <c r="F943" i="1" s="1"/>
  <c r="G943" i="1" s="1"/>
  <c r="E944" i="1"/>
  <c r="E945" i="1"/>
  <c r="F945" i="1" s="1"/>
  <c r="G945" i="1" s="1"/>
  <c r="E946" i="1"/>
  <c r="F946" i="1" s="1"/>
  <c r="G946" i="1" s="1"/>
  <c r="E947" i="1"/>
  <c r="F947" i="1" s="1"/>
  <c r="G947" i="1" s="1"/>
  <c r="E948" i="1"/>
  <c r="E949" i="1"/>
  <c r="F949" i="1" s="1"/>
  <c r="G949" i="1" s="1"/>
  <c r="E950" i="1"/>
  <c r="F950" i="1" s="1"/>
  <c r="G950" i="1" s="1"/>
  <c r="E951" i="1"/>
  <c r="F951" i="1" s="1"/>
  <c r="G951" i="1" s="1"/>
  <c r="E952" i="1"/>
  <c r="E953" i="1"/>
  <c r="F953" i="1" s="1"/>
  <c r="G953" i="1" s="1"/>
  <c r="E954" i="1"/>
  <c r="F954" i="1" s="1"/>
  <c r="G954" i="1" s="1"/>
  <c r="E955" i="1"/>
  <c r="F955" i="1" s="1"/>
  <c r="G955" i="1" s="1"/>
  <c r="E956" i="1"/>
  <c r="E957" i="1"/>
  <c r="F957" i="1" s="1"/>
  <c r="G957" i="1" s="1"/>
  <c r="E958" i="1"/>
  <c r="F958" i="1" s="1"/>
  <c r="G958" i="1" s="1"/>
  <c r="E959" i="1"/>
  <c r="F959" i="1" s="1"/>
  <c r="G959" i="1" s="1"/>
  <c r="E960" i="1"/>
  <c r="E961" i="1"/>
  <c r="F961" i="1" s="1"/>
  <c r="G961" i="1" s="1"/>
  <c r="E962" i="1"/>
  <c r="F962" i="1" s="1"/>
  <c r="G962" i="1" s="1"/>
  <c r="E963" i="1"/>
  <c r="F963" i="1" s="1"/>
  <c r="G963" i="1" s="1"/>
  <c r="E964" i="1"/>
  <c r="E965" i="1"/>
  <c r="F965" i="1" s="1"/>
  <c r="G965" i="1" s="1"/>
  <c r="E966" i="1"/>
  <c r="F966" i="1" s="1"/>
  <c r="G966" i="1" s="1"/>
  <c r="E967" i="1"/>
  <c r="F967" i="1" s="1"/>
  <c r="G967" i="1" s="1"/>
  <c r="E968" i="1"/>
  <c r="E969" i="1"/>
  <c r="F969" i="1" s="1"/>
  <c r="G969" i="1" s="1"/>
  <c r="E970" i="1"/>
  <c r="F970" i="1" s="1"/>
  <c r="G970" i="1" s="1"/>
  <c r="E971" i="1"/>
  <c r="F971" i="1" s="1"/>
  <c r="G971" i="1" s="1"/>
  <c r="E972" i="1"/>
  <c r="E973" i="1"/>
  <c r="F973" i="1" s="1"/>
  <c r="G973" i="1" s="1"/>
  <c r="E974" i="1"/>
  <c r="F974" i="1" s="1"/>
  <c r="G974" i="1" s="1"/>
  <c r="E975" i="1"/>
  <c r="F975" i="1" s="1"/>
  <c r="G975" i="1" s="1"/>
  <c r="E976" i="1"/>
  <c r="E977" i="1"/>
  <c r="F977" i="1" s="1"/>
  <c r="G977" i="1" s="1"/>
  <c r="E978" i="1"/>
  <c r="F978" i="1" s="1"/>
  <c r="G978" i="1" s="1"/>
  <c r="E979" i="1"/>
  <c r="F979" i="1" s="1"/>
  <c r="G979" i="1" s="1"/>
  <c r="E980" i="1"/>
  <c r="E981" i="1"/>
  <c r="F981" i="1" s="1"/>
  <c r="G981" i="1" s="1"/>
  <c r="E982" i="1"/>
  <c r="F982" i="1" s="1"/>
  <c r="G982" i="1" s="1"/>
  <c r="E983" i="1"/>
  <c r="F983" i="1" s="1"/>
  <c r="G983" i="1" s="1"/>
  <c r="E984" i="1"/>
  <c r="E985" i="1"/>
  <c r="F985" i="1" s="1"/>
  <c r="G985" i="1" s="1"/>
  <c r="E986" i="1"/>
  <c r="F986" i="1" s="1"/>
  <c r="G986" i="1" s="1"/>
  <c r="E987" i="1"/>
  <c r="F987" i="1" s="1"/>
  <c r="G987" i="1" s="1"/>
  <c r="E988" i="1"/>
  <c r="E989" i="1"/>
  <c r="F989" i="1" s="1"/>
  <c r="G989" i="1" s="1"/>
  <c r="E990" i="1"/>
  <c r="F990" i="1" s="1"/>
  <c r="G990" i="1" s="1"/>
  <c r="E991" i="1"/>
  <c r="F991" i="1" s="1"/>
  <c r="G991" i="1" s="1"/>
  <c r="E992" i="1"/>
  <c r="E993" i="1"/>
  <c r="F993" i="1" s="1"/>
  <c r="G993" i="1" s="1"/>
  <c r="E994" i="1"/>
  <c r="F994" i="1" s="1"/>
  <c r="G994" i="1" s="1"/>
  <c r="E995" i="1"/>
  <c r="F995" i="1" s="1"/>
  <c r="G995" i="1" s="1"/>
  <c r="E996" i="1"/>
  <c r="E997" i="1"/>
  <c r="F997" i="1" s="1"/>
  <c r="G997" i="1" s="1"/>
  <c r="E998" i="1"/>
  <c r="F998" i="1" s="1"/>
  <c r="G998" i="1" s="1"/>
  <c r="E999" i="1"/>
  <c r="F999" i="1" s="1"/>
  <c r="G999" i="1" s="1"/>
  <c r="E1000" i="1"/>
  <c r="E1001" i="1"/>
  <c r="F1001" i="1" s="1"/>
  <c r="G1001" i="1" s="1"/>
  <c r="E1002" i="1"/>
  <c r="F1002" i="1" s="1"/>
  <c r="G1002" i="1" s="1"/>
  <c r="E1003" i="1"/>
  <c r="F1003" i="1" s="1"/>
  <c r="G1003" i="1" s="1"/>
  <c r="E1004" i="1"/>
  <c r="E1005" i="1"/>
  <c r="F1005" i="1" s="1"/>
  <c r="G1005" i="1" s="1"/>
  <c r="E1006" i="1"/>
  <c r="F1006" i="1" s="1"/>
  <c r="G1006" i="1" s="1"/>
  <c r="E1007" i="1"/>
  <c r="F1007" i="1" s="1"/>
  <c r="G1007" i="1" s="1"/>
  <c r="E1008" i="1"/>
  <c r="E1009" i="1"/>
  <c r="F1009" i="1" s="1"/>
  <c r="G1009" i="1" s="1"/>
  <c r="E1010" i="1"/>
  <c r="F1010" i="1" s="1"/>
  <c r="G1010" i="1" s="1"/>
  <c r="E1011" i="1"/>
  <c r="F1011" i="1" s="1"/>
  <c r="G1011" i="1" s="1"/>
  <c r="E1012" i="1"/>
  <c r="E1013" i="1"/>
  <c r="F1013" i="1" s="1"/>
  <c r="G1013" i="1" s="1"/>
  <c r="E1014" i="1"/>
  <c r="F1014" i="1" s="1"/>
  <c r="G1014" i="1" s="1"/>
  <c r="E1015" i="1"/>
  <c r="F1015" i="1" s="1"/>
  <c r="G1015" i="1" s="1"/>
  <c r="E1016" i="1"/>
  <c r="E1017" i="1"/>
  <c r="F1017" i="1" s="1"/>
  <c r="G1017" i="1" s="1"/>
  <c r="E1018" i="1"/>
  <c r="F1018" i="1" s="1"/>
  <c r="G1018" i="1" s="1"/>
  <c r="E1019" i="1"/>
  <c r="F1019" i="1" s="1"/>
  <c r="G1019" i="1" s="1"/>
  <c r="E1020" i="1"/>
  <c r="E1021" i="1"/>
  <c r="F1021" i="1" s="1"/>
  <c r="G1021" i="1" s="1"/>
  <c r="E1022" i="1"/>
  <c r="F1022" i="1" s="1"/>
  <c r="G1022" i="1" s="1"/>
  <c r="E1023" i="1"/>
  <c r="F1023" i="1" s="1"/>
  <c r="G1023" i="1" s="1"/>
  <c r="E1024" i="1"/>
  <c r="E1025" i="1"/>
  <c r="F1025" i="1" s="1"/>
  <c r="G1025" i="1" s="1"/>
  <c r="E1026" i="1"/>
  <c r="F1026" i="1" s="1"/>
  <c r="G1026" i="1" s="1"/>
  <c r="E1027" i="1"/>
  <c r="F1027" i="1" s="1"/>
  <c r="G1027" i="1" s="1"/>
  <c r="E1028" i="1"/>
  <c r="E1029" i="1"/>
  <c r="F1029" i="1" s="1"/>
  <c r="G1029" i="1" s="1"/>
  <c r="E1030" i="1"/>
  <c r="F1030" i="1" s="1"/>
  <c r="G1030" i="1" s="1"/>
  <c r="E1031" i="1"/>
  <c r="F1031" i="1" s="1"/>
  <c r="G1031" i="1" s="1"/>
  <c r="E1032" i="1"/>
  <c r="E1033" i="1"/>
  <c r="F1033" i="1" s="1"/>
  <c r="G1033" i="1" s="1"/>
  <c r="E1034" i="1"/>
  <c r="F1034" i="1" s="1"/>
  <c r="G1034" i="1" s="1"/>
  <c r="E1035" i="1"/>
  <c r="F1035" i="1" s="1"/>
  <c r="G1035" i="1" s="1"/>
  <c r="E1036" i="1"/>
  <c r="E1037" i="1"/>
  <c r="F1037" i="1" s="1"/>
  <c r="G1037" i="1" s="1"/>
  <c r="E1038" i="1"/>
  <c r="F1038" i="1" s="1"/>
  <c r="G1038" i="1" s="1"/>
  <c r="E1039" i="1"/>
  <c r="F1039" i="1" s="1"/>
  <c r="G1039" i="1" s="1"/>
  <c r="E1040" i="1"/>
  <c r="E1041" i="1"/>
  <c r="F1041" i="1" s="1"/>
  <c r="G1041" i="1" s="1"/>
  <c r="E1042" i="1"/>
  <c r="F1042" i="1" s="1"/>
  <c r="G1042" i="1" s="1"/>
  <c r="E1043" i="1"/>
  <c r="F1043" i="1" s="1"/>
  <c r="G1043" i="1" s="1"/>
  <c r="E1044" i="1"/>
  <c r="E1045" i="1"/>
  <c r="F1045" i="1" s="1"/>
  <c r="G1045" i="1" s="1"/>
  <c r="E1046" i="1"/>
  <c r="F1046" i="1" s="1"/>
  <c r="G1046" i="1" s="1"/>
  <c r="E1047" i="1"/>
  <c r="F1047" i="1" s="1"/>
  <c r="G1047" i="1" s="1"/>
  <c r="E1048" i="1"/>
  <c r="E1049" i="1"/>
  <c r="F1049" i="1" s="1"/>
  <c r="G1049" i="1" s="1"/>
  <c r="E1050" i="1"/>
  <c r="F1050" i="1" s="1"/>
  <c r="G1050" i="1" s="1"/>
  <c r="E1051" i="1"/>
  <c r="F1051" i="1" s="1"/>
  <c r="G1051" i="1" s="1"/>
  <c r="E1052" i="1"/>
  <c r="E1053" i="1"/>
  <c r="F1053" i="1" s="1"/>
  <c r="G1053" i="1" s="1"/>
  <c r="E1054" i="1"/>
  <c r="F1054" i="1" s="1"/>
  <c r="G1054" i="1" s="1"/>
  <c r="E1055" i="1"/>
  <c r="F1055" i="1" s="1"/>
  <c r="G1055" i="1" s="1"/>
  <c r="E1056" i="1"/>
  <c r="E1057" i="1"/>
  <c r="F1057" i="1" s="1"/>
  <c r="G1057" i="1" s="1"/>
  <c r="E1058" i="1"/>
  <c r="F1058" i="1" s="1"/>
  <c r="G1058" i="1" s="1"/>
  <c r="E1059" i="1"/>
  <c r="F1059" i="1" s="1"/>
  <c r="G1059" i="1" s="1"/>
  <c r="E1060" i="1"/>
  <c r="E1061" i="1"/>
  <c r="F1061" i="1" s="1"/>
  <c r="G1061" i="1" s="1"/>
  <c r="E1062" i="1"/>
  <c r="F1062" i="1" s="1"/>
  <c r="G1062" i="1" s="1"/>
  <c r="E1063" i="1"/>
  <c r="F1063" i="1" s="1"/>
  <c r="G1063" i="1" s="1"/>
  <c r="E1064" i="1"/>
  <c r="E1065" i="1"/>
  <c r="F1065" i="1" s="1"/>
  <c r="G1065" i="1" s="1"/>
  <c r="E1066" i="1"/>
  <c r="F1066" i="1" s="1"/>
  <c r="G1066" i="1" s="1"/>
  <c r="E1067" i="1"/>
  <c r="F1067" i="1" s="1"/>
  <c r="G1067" i="1" s="1"/>
  <c r="E1068" i="1"/>
  <c r="E1069" i="1"/>
  <c r="F1069" i="1" s="1"/>
  <c r="G1069" i="1" s="1"/>
  <c r="E1070" i="1"/>
  <c r="F1070" i="1" s="1"/>
  <c r="G1070" i="1" s="1"/>
  <c r="E1071" i="1"/>
  <c r="F1071" i="1" s="1"/>
  <c r="G1071" i="1" s="1"/>
  <c r="E1072" i="1"/>
  <c r="E1073" i="1"/>
  <c r="F1073" i="1" s="1"/>
  <c r="G1073" i="1" s="1"/>
  <c r="E1074" i="1"/>
  <c r="F1074" i="1" s="1"/>
  <c r="G1074" i="1" s="1"/>
  <c r="E1075" i="1"/>
  <c r="F1075" i="1" s="1"/>
  <c r="G1075" i="1" s="1"/>
  <c r="E1076" i="1"/>
  <c r="E1077" i="1"/>
  <c r="F1077" i="1" s="1"/>
  <c r="G1077" i="1" s="1"/>
  <c r="E1078" i="1"/>
  <c r="F1078" i="1" s="1"/>
  <c r="G1078" i="1" s="1"/>
  <c r="E1079" i="1"/>
  <c r="F1079" i="1" s="1"/>
  <c r="G1079" i="1" s="1"/>
  <c r="E1080" i="1"/>
  <c r="E1081" i="1"/>
  <c r="F1081" i="1" s="1"/>
  <c r="G1081" i="1" s="1"/>
  <c r="E1082" i="1"/>
  <c r="F1082" i="1" s="1"/>
  <c r="G1082" i="1" s="1"/>
  <c r="E1083" i="1"/>
  <c r="F1083" i="1" s="1"/>
  <c r="G1083" i="1" s="1"/>
  <c r="E1084" i="1"/>
  <c r="E1085" i="1"/>
  <c r="F1085" i="1" s="1"/>
  <c r="G1085" i="1" s="1"/>
  <c r="E1086" i="1"/>
  <c r="F1086" i="1" s="1"/>
  <c r="G1086" i="1" s="1"/>
  <c r="E1087" i="1"/>
  <c r="F1087" i="1" s="1"/>
  <c r="G1087" i="1" s="1"/>
  <c r="E1088" i="1"/>
  <c r="E1089" i="1"/>
  <c r="F1089" i="1" s="1"/>
  <c r="G1089" i="1" s="1"/>
  <c r="E1090" i="1"/>
  <c r="F1090" i="1" s="1"/>
  <c r="G1090" i="1" s="1"/>
  <c r="E1091" i="1"/>
  <c r="F1091" i="1" s="1"/>
  <c r="G1091" i="1" s="1"/>
  <c r="E1092" i="1"/>
  <c r="E1093" i="1"/>
  <c r="F1093" i="1" s="1"/>
  <c r="G1093" i="1" s="1"/>
  <c r="E1094" i="1"/>
  <c r="F1094" i="1" s="1"/>
  <c r="G1094" i="1" s="1"/>
  <c r="E1095" i="1"/>
  <c r="F1095" i="1" s="1"/>
  <c r="G1095" i="1" s="1"/>
  <c r="E1096" i="1"/>
  <c r="E1097" i="1"/>
  <c r="F1097" i="1" s="1"/>
  <c r="G1097" i="1" s="1"/>
  <c r="E1098" i="1"/>
  <c r="F1098" i="1" s="1"/>
  <c r="G1098" i="1" s="1"/>
  <c r="E1099" i="1"/>
  <c r="F1099" i="1" s="1"/>
  <c r="G1099" i="1" s="1"/>
  <c r="E1100" i="1"/>
  <c r="E1101" i="1"/>
  <c r="F1101" i="1" s="1"/>
  <c r="G1101" i="1" s="1"/>
  <c r="E1102" i="1"/>
  <c r="F1102" i="1" s="1"/>
  <c r="G1102" i="1" s="1"/>
  <c r="E1103" i="1"/>
  <c r="F1103" i="1" s="1"/>
  <c r="G1103" i="1" s="1"/>
  <c r="E1104" i="1"/>
  <c r="E1105" i="1"/>
  <c r="F1105" i="1" s="1"/>
  <c r="G1105" i="1" s="1"/>
  <c r="E1106" i="1"/>
  <c r="F1106" i="1" s="1"/>
  <c r="G1106" i="1" s="1"/>
  <c r="E1107" i="1"/>
  <c r="F1107" i="1" s="1"/>
  <c r="G1107" i="1" s="1"/>
  <c r="E1108" i="1"/>
  <c r="E1109" i="1"/>
  <c r="F1109" i="1" s="1"/>
  <c r="G1109" i="1" s="1"/>
  <c r="E1110" i="1"/>
  <c r="F1110" i="1" s="1"/>
  <c r="G1110" i="1" s="1"/>
  <c r="E1111" i="1"/>
  <c r="F1111" i="1" s="1"/>
  <c r="G1111" i="1" s="1"/>
  <c r="E1112" i="1"/>
  <c r="E1113" i="1"/>
  <c r="F1113" i="1" s="1"/>
  <c r="G1113" i="1" s="1"/>
  <c r="E1114" i="1"/>
  <c r="F1114" i="1" s="1"/>
  <c r="G1114" i="1" s="1"/>
  <c r="E1115" i="1"/>
  <c r="F1115" i="1" s="1"/>
  <c r="G1115" i="1" s="1"/>
  <c r="E1116" i="1"/>
  <c r="E1117" i="1"/>
  <c r="F1117" i="1" s="1"/>
  <c r="G1117" i="1" s="1"/>
  <c r="E1118" i="1"/>
  <c r="F1118" i="1" s="1"/>
  <c r="G1118" i="1" s="1"/>
  <c r="E1119" i="1"/>
  <c r="F1119" i="1" s="1"/>
  <c r="G1119" i="1" s="1"/>
  <c r="E1120" i="1"/>
  <c r="E1121" i="1"/>
  <c r="F1121" i="1" s="1"/>
  <c r="G1121" i="1" s="1"/>
  <c r="E1122" i="1"/>
  <c r="F1122" i="1" s="1"/>
  <c r="G1122" i="1" s="1"/>
  <c r="E1123" i="1"/>
  <c r="F1123" i="1" s="1"/>
  <c r="G1123" i="1" s="1"/>
  <c r="E1124" i="1"/>
  <c r="E1125" i="1"/>
  <c r="F1125" i="1" s="1"/>
  <c r="G1125" i="1" s="1"/>
  <c r="E1126" i="1"/>
  <c r="F1126" i="1" s="1"/>
  <c r="G1126" i="1" s="1"/>
  <c r="E1127" i="1"/>
  <c r="F1127" i="1" s="1"/>
  <c r="G1127" i="1" s="1"/>
  <c r="E1128" i="1"/>
  <c r="E1129" i="1"/>
  <c r="F1129" i="1" s="1"/>
  <c r="G1129" i="1" s="1"/>
  <c r="E1130" i="1"/>
  <c r="F1130" i="1" s="1"/>
  <c r="G1130" i="1" s="1"/>
  <c r="E1131" i="1"/>
  <c r="F1131" i="1" s="1"/>
  <c r="G1131" i="1" s="1"/>
  <c r="E1132" i="1"/>
  <c r="E1133" i="1"/>
  <c r="F1133" i="1" s="1"/>
  <c r="G1133" i="1" s="1"/>
  <c r="E1134" i="1"/>
  <c r="F1134" i="1" s="1"/>
  <c r="G1134" i="1" s="1"/>
  <c r="E1135" i="1"/>
  <c r="F1135" i="1" s="1"/>
  <c r="G1135" i="1" s="1"/>
  <c r="E1136" i="1"/>
  <c r="E1137" i="1"/>
  <c r="F1137" i="1" s="1"/>
  <c r="G1137" i="1" s="1"/>
  <c r="E1138" i="1"/>
  <c r="F1138" i="1" s="1"/>
  <c r="G1138" i="1" s="1"/>
  <c r="E1139" i="1"/>
  <c r="F1139" i="1" s="1"/>
  <c r="G1139" i="1" s="1"/>
  <c r="E1140" i="1"/>
  <c r="E1141" i="1"/>
  <c r="F1141" i="1" s="1"/>
  <c r="G1141" i="1" s="1"/>
  <c r="E1142" i="1"/>
  <c r="F1142" i="1" s="1"/>
  <c r="G1142" i="1" s="1"/>
  <c r="E1143" i="1"/>
  <c r="F1143" i="1" s="1"/>
  <c r="G1143" i="1" s="1"/>
  <c r="E1144" i="1"/>
  <c r="E1145" i="1"/>
  <c r="F1145" i="1" s="1"/>
  <c r="G1145" i="1" s="1"/>
  <c r="E1146" i="1"/>
  <c r="F1146" i="1" s="1"/>
  <c r="G1146" i="1" s="1"/>
  <c r="E1147" i="1"/>
  <c r="F1147" i="1" s="1"/>
  <c r="G1147" i="1" s="1"/>
  <c r="E1148" i="1"/>
  <c r="E1149" i="1"/>
  <c r="F1149" i="1" s="1"/>
  <c r="G1149" i="1" s="1"/>
  <c r="E1150" i="1"/>
  <c r="F1150" i="1" s="1"/>
  <c r="G1150" i="1" s="1"/>
  <c r="E1151" i="1"/>
  <c r="F1151" i="1" s="1"/>
  <c r="G1151" i="1" s="1"/>
  <c r="E1152" i="1"/>
  <c r="E1153" i="1"/>
  <c r="F1153" i="1" s="1"/>
  <c r="G1153" i="1" s="1"/>
  <c r="E1154" i="1"/>
  <c r="F1154" i="1" s="1"/>
  <c r="G1154" i="1" s="1"/>
  <c r="E1155" i="1"/>
  <c r="F1155" i="1" s="1"/>
  <c r="G1155" i="1" s="1"/>
  <c r="E1156" i="1"/>
  <c r="E1157" i="1"/>
  <c r="F1157" i="1" s="1"/>
  <c r="G1157" i="1" s="1"/>
  <c r="E1158" i="1"/>
  <c r="F1158" i="1" s="1"/>
  <c r="G1158" i="1" s="1"/>
  <c r="E1159" i="1"/>
  <c r="F1159" i="1" s="1"/>
  <c r="G1159" i="1" s="1"/>
  <c r="E1160" i="1"/>
  <c r="E1161" i="1"/>
  <c r="F1161" i="1" s="1"/>
  <c r="G1161" i="1" s="1"/>
  <c r="E1162" i="1"/>
  <c r="F1162" i="1" s="1"/>
  <c r="G1162" i="1" s="1"/>
  <c r="E1163" i="1"/>
  <c r="F1163" i="1" s="1"/>
  <c r="G1163" i="1" s="1"/>
  <c r="E1164" i="1"/>
  <c r="E1165" i="1"/>
  <c r="F1165" i="1" s="1"/>
  <c r="G1165" i="1" s="1"/>
  <c r="E1166" i="1"/>
  <c r="F1166" i="1" s="1"/>
  <c r="G1166" i="1" s="1"/>
  <c r="E1167" i="1"/>
  <c r="F1167" i="1" s="1"/>
  <c r="G1167" i="1" s="1"/>
  <c r="E1168" i="1"/>
  <c r="E1169" i="1"/>
  <c r="F1169" i="1" s="1"/>
  <c r="G1169" i="1" s="1"/>
  <c r="E1170" i="1"/>
  <c r="F1170" i="1" s="1"/>
  <c r="G1170" i="1" s="1"/>
  <c r="E1171" i="1"/>
  <c r="F1171" i="1" s="1"/>
  <c r="G1171" i="1" s="1"/>
  <c r="E1172" i="1"/>
  <c r="E1173" i="1"/>
  <c r="F1173" i="1" s="1"/>
  <c r="G1173" i="1" s="1"/>
  <c r="E1174" i="1"/>
  <c r="F1174" i="1" s="1"/>
  <c r="G1174" i="1" s="1"/>
  <c r="E1175" i="1"/>
  <c r="F1175" i="1" s="1"/>
  <c r="G1175" i="1" s="1"/>
  <c r="E1176" i="1"/>
  <c r="E1177" i="1"/>
  <c r="F1177" i="1" s="1"/>
  <c r="G1177" i="1" s="1"/>
  <c r="E1178" i="1"/>
  <c r="F1178" i="1" s="1"/>
  <c r="G1178" i="1" s="1"/>
  <c r="E1179" i="1"/>
  <c r="F1179" i="1" s="1"/>
  <c r="G1179" i="1" s="1"/>
  <c r="E1180" i="1"/>
  <c r="E1181" i="1"/>
  <c r="F1181" i="1" s="1"/>
  <c r="G1181" i="1" s="1"/>
  <c r="E1182" i="1"/>
  <c r="F1182" i="1" s="1"/>
  <c r="G1182" i="1" s="1"/>
  <c r="E1183" i="1"/>
  <c r="F1183" i="1" s="1"/>
  <c r="G1183" i="1" s="1"/>
  <c r="E1184" i="1"/>
  <c r="E1185" i="1"/>
  <c r="F1185" i="1" s="1"/>
  <c r="G1185" i="1" s="1"/>
  <c r="E1186" i="1"/>
  <c r="F1186" i="1" s="1"/>
  <c r="G1186" i="1" s="1"/>
  <c r="E1187" i="1"/>
  <c r="F1187" i="1" s="1"/>
  <c r="G1187" i="1" s="1"/>
  <c r="E1188" i="1"/>
  <c r="E1189" i="1"/>
  <c r="F1189" i="1" s="1"/>
  <c r="G1189" i="1" s="1"/>
  <c r="E1190" i="1"/>
  <c r="F1190" i="1" s="1"/>
  <c r="G1190" i="1" s="1"/>
  <c r="E1191" i="1"/>
  <c r="F1191" i="1" s="1"/>
  <c r="G1191" i="1" s="1"/>
  <c r="E1192" i="1"/>
  <c r="E1193" i="1"/>
  <c r="F1193" i="1" s="1"/>
  <c r="G1193" i="1" s="1"/>
  <c r="E1194" i="1"/>
  <c r="F1194" i="1" s="1"/>
  <c r="G1194" i="1" s="1"/>
  <c r="E1195" i="1"/>
  <c r="F1195" i="1" s="1"/>
  <c r="G1195" i="1" s="1"/>
  <c r="E1196" i="1"/>
  <c r="E1197" i="1"/>
  <c r="F1197" i="1" s="1"/>
  <c r="G1197" i="1" s="1"/>
  <c r="E1198" i="1"/>
  <c r="F1198" i="1" s="1"/>
  <c r="G1198" i="1" s="1"/>
  <c r="E1199" i="1"/>
  <c r="F1199" i="1" s="1"/>
  <c r="G1199" i="1" s="1"/>
  <c r="E1200" i="1"/>
  <c r="E1201" i="1"/>
  <c r="F1201" i="1" s="1"/>
  <c r="G1201" i="1" s="1"/>
  <c r="E1202" i="1"/>
  <c r="F1202" i="1" s="1"/>
  <c r="G1202" i="1" s="1"/>
  <c r="E1203" i="1"/>
  <c r="F1203" i="1" s="1"/>
  <c r="G1203" i="1" s="1"/>
  <c r="E1204" i="1"/>
  <c r="E1205" i="1"/>
  <c r="F1205" i="1" s="1"/>
  <c r="G1205" i="1" s="1"/>
  <c r="E1206" i="1"/>
  <c r="F1206" i="1" s="1"/>
  <c r="G1206" i="1" s="1"/>
  <c r="E1207" i="1"/>
  <c r="F1207" i="1" s="1"/>
  <c r="G1207" i="1" s="1"/>
  <c r="E1208" i="1"/>
  <c r="E1209" i="1"/>
  <c r="F1209" i="1" s="1"/>
  <c r="G1209" i="1" s="1"/>
  <c r="E1210" i="1"/>
  <c r="F1210" i="1" s="1"/>
  <c r="G1210" i="1" s="1"/>
  <c r="E1211" i="1"/>
  <c r="F1211" i="1" s="1"/>
  <c r="G1211" i="1" s="1"/>
  <c r="E1212" i="1"/>
  <c r="E1213" i="1"/>
  <c r="F1213" i="1" s="1"/>
  <c r="G1213" i="1" s="1"/>
  <c r="E1214" i="1"/>
  <c r="F1214" i="1" s="1"/>
  <c r="G1214" i="1" s="1"/>
  <c r="E1215" i="1"/>
  <c r="F1215" i="1" s="1"/>
  <c r="G1215" i="1" s="1"/>
  <c r="E1216" i="1"/>
  <c r="E1217" i="1"/>
  <c r="F1217" i="1" s="1"/>
  <c r="G1217" i="1" s="1"/>
  <c r="E1218" i="1"/>
  <c r="F1218" i="1" s="1"/>
  <c r="G1218" i="1" s="1"/>
  <c r="E1219" i="1"/>
  <c r="F1219" i="1" s="1"/>
  <c r="G1219" i="1" s="1"/>
  <c r="E1220" i="1"/>
  <c r="E1221" i="1"/>
  <c r="F1221" i="1" s="1"/>
  <c r="G1221" i="1" s="1"/>
  <c r="E1222" i="1"/>
  <c r="F1222" i="1" s="1"/>
  <c r="G1222" i="1" s="1"/>
  <c r="E1223" i="1"/>
  <c r="F1223" i="1" s="1"/>
  <c r="G1223" i="1" s="1"/>
  <c r="E1224" i="1"/>
  <c r="E1225" i="1"/>
  <c r="F1225" i="1" s="1"/>
  <c r="G1225" i="1" s="1"/>
  <c r="E1226" i="1"/>
  <c r="F1226" i="1" s="1"/>
  <c r="G1226" i="1" s="1"/>
  <c r="E1227" i="1"/>
  <c r="F1227" i="1" s="1"/>
  <c r="G1227" i="1" s="1"/>
  <c r="E1228" i="1"/>
  <c r="E1229" i="1"/>
  <c r="F1229" i="1" s="1"/>
  <c r="G1229" i="1" s="1"/>
  <c r="E1230" i="1"/>
  <c r="F1230" i="1" s="1"/>
  <c r="G1230" i="1" s="1"/>
  <c r="E1231" i="1"/>
  <c r="F1231" i="1" s="1"/>
  <c r="G1231" i="1" s="1"/>
  <c r="E1232" i="1"/>
  <c r="E1233" i="1"/>
  <c r="F1233" i="1" s="1"/>
  <c r="G1233" i="1" s="1"/>
  <c r="E1234" i="1"/>
  <c r="F1234" i="1" s="1"/>
  <c r="G1234" i="1" s="1"/>
  <c r="E1235" i="1"/>
  <c r="F1235" i="1" s="1"/>
  <c r="G1235" i="1" s="1"/>
  <c r="E1236" i="1"/>
  <c r="E1237" i="1"/>
  <c r="F1237" i="1" s="1"/>
  <c r="G1237" i="1" s="1"/>
  <c r="E1238" i="1"/>
  <c r="F1238" i="1" s="1"/>
  <c r="G1238" i="1" s="1"/>
  <c r="E1239" i="1"/>
  <c r="F1239" i="1" s="1"/>
  <c r="G1239" i="1" s="1"/>
  <c r="E1240" i="1"/>
  <c r="E1241" i="1"/>
  <c r="F1241" i="1" s="1"/>
  <c r="G1241" i="1" s="1"/>
  <c r="E1242" i="1"/>
  <c r="F1242" i="1" s="1"/>
  <c r="G1242" i="1" s="1"/>
  <c r="E1243" i="1"/>
  <c r="F1243" i="1" s="1"/>
  <c r="G1243" i="1" s="1"/>
  <c r="E1244" i="1"/>
  <c r="E1245" i="1"/>
  <c r="F1245" i="1" s="1"/>
  <c r="G1245" i="1" s="1"/>
  <c r="E1246" i="1"/>
  <c r="F1246" i="1" s="1"/>
  <c r="G1246" i="1" s="1"/>
  <c r="E1247" i="1"/>
  <c r="F1247" i="1" s="1"/>
  <c r="G1247" i="1" s="1"/>
  <c r="E1248" i="1"/>
  <c r="E1249" i="1"/>
  <c r="F1249" i="1" s="1"/>
  <c r="G1249" i="1" s="1"/>
  <c r="E1250" i="1"/>
  <c r="F1250" i="1" s="1"/>
  <c r="G1250" i="1" s="1"/>
  <c r="E1251" i="1"/>
  <c r="F1251" i="1" s="1"/>
  <c r="G1251" i="1" s="1"/>
  <c r="E1252" i="1"/>
  <c r="E1253" i="1"/>
  <c r="F1253" i="1" s="1"/>
  <c r="G1253" i="1" s="1"/>
  <c r="E1254" i="1"/>
  <c r="F1254" i="1" s="1"/>
  <c r="G1254" i="1" s="1"/>
  <c r="E1255" i="1"/>
  <c r="F1255" i="1" s="1"/>
  <c r="G1255" i="1" s="1"/>
  <c r="E1256" i="1"/>
  <c r="E1257" i="1"/>
  <c r="F1257" i="1" s="1"/>
  <c r="G1257" i="1" s="1"/>
  <c r="E1258" i="1"/>
  <c r="F1258" i="1" s="1"/>
  <c r="G1258" i="1" s="1"/>
  <c r="E1259" i="1"/>
  <c r="F1259" i="1" s="1"/>
  <c r="G1259" i="1" s="1"/>
  <c r="E1260" i="1"/>
  <c r="E1261" i="1"/>
  <c r="F1261" i="1" s="1"/>
  <c r="G1261" i="1" s="1"/>
  <c r="E1262" i="1"/>
  <c r="F1262" i="1" s="1"/>
  <c r="G1262" i="1" s="1"/>
  <c r="E1263" i="1"/>
  <c r="F1263" i="1" s="1"/>
  <c r="G1263" i="1" s="1"/>
  <c r="E1264" i="1"/>
  <c r="E1265" i="1"/>
  <c r="F1265" i="1" s="1"/>
  <c r="G1265" i="1" s="1"/>
  <c r="E1266" i="1"/>
  <c r="F1266" i="1" s="1"/>
  <c r="G1266" i="1" s="1"/>
  <c r="E1267" i="1"/>
  <c r="F1267" i="1" s="1"/>
  <c r="G1267" i="1" s="1"/>
  <c r="E1268" i="1"/>
  <c r="E1269" i="1"/>
  <c r="F1269" i="1" s="1"/>
  <c r="G1269" i="1" s="1"/>
  <c r="E1270" i="1"/>
  <c r="F1270" i="1" s="1"/>
  <c r="G1270" i="1" s="1"/>
  <c r="E1271" i="1"/>
  <c r="F1271" i="1" s="1"/>
  <c r="G1271" i="1" s="1"/>
  <c r="E1272" i="1"/>
  <c r="E1273" i="1"/>
  <c r="F1273" i="1" s="1"/>
  <c r="G1273" i="1" s="1"/>
  <c r="E1274" i="1"/>
  <c r="F1274" i="1" s="1"/>
  <c r="G1274" i="1" s="1"/>
  <c r="E1275" i="1"/>
  <c r="F1275" i="1" s="1"/>
  <c r="G1275" i="1" s="1"/>
  <c r="E1276" i="1"/>
  <c r="E1277" i="1"/>
  <c r="F1277" i="1" s="1"/>
  <c r="G1277" i="1" s="1"/>
  <c r="E1278" i="1"/>
  <c r="F1278" i="1" s="1"/>
  <c r="G1278" i="1" s="1"/>
  <c r="E1279" i="1"/>
  <c r="F1279" i="1" s="1"/>
  <c r="G1279" i="1" s="1"/>
  <c r="E1280" i="1"/>
  <c r="F1280" i="1" s="1"/>
  <c r="G1280" i="1" s="1"/>
  <c r="E1281" i="1"/>
  <c r="F1281" i="1" s="1"/>
  <c r="G1281" i="1" s="1"/>
  <c r="E1282" i="1"/>
  <c r="F1282" i="1" s="1"/>
  <c r="G1282" i="1" s="1"/>
  <c r="E1283" i="1"/>
  <c r="F1283" i="1" s="1"/>
  <c r="G1283" i="1" s="1"/>
  <c r="E1284" i="1"/>
  <c r="E1285" i="1"/>
  <c r="F1285" i="1" s="1"/>
  <c r="G1285" i="1" s="1"/>
  <c r="E1286" i="1"/>
  <c r="F1286" i="1" s="1"/>
  <c r="G1286" i="1" s="1"/>
  <c r="E1287" i="1"/>
  <c r="F1287" i="1" s="1"/>
  <c r="G1287" i="1" s="1"/>
  <c r="E1288" i="1"/>
  <c r="E1289" i="1"/>
  <c r="F1289" i="1" s="1"/>
  <c r="G1289" i="1" s="1"/>
  <c r="E1290" i="1"/>
  <c r="F1290" i="1" s="1"/>
  <c r="G1290" i="1" s="1"/>
  <c r="E1291" i="1"/>
  <c r="F1291" i="1" s="1"/>
  <c r="G1291" i="1" s="1"/>
  <c r="E1292" i="1"/>
  <c r="E1293" i="1"/>
  <c r="F1293" i="1" s="1"/>
  <c r="G1293" i="1" s="1"/>
  <c r="E1294" i="1"/>
  <c r="F1294" i="1" s="1"/>
  <c r="G1294" i="1" s="1"/>
  <c r="E1295" i="1"/>
  <c r="F1295" i="1" s="1"/>
  <c r="G1295" i="1" s="1"/>
  <c r="E1296" i="1"/>
  <c r="E1297" i="1"/>
  <c r="F1297" i="1" s="1"/>
  <c r="G1297" i="1" s="1"/>
  <c r="E1298" i="1"/>
  <c r="F1298" i="1" s="1"/>
  <c r="G1298" i="1" s="1"/>
  <c r="E1299" i="1"/>
  <c r="F1299" i="1" s="1"/>
  <c r="G1299" i="1" s="1"/>
  <c r="E1300" i="1"/>
  <c r="E1301" i="1"/>
  <c r="F1301" i="1" s="1"/>
  <c r="G1301" i="1" s="1"/>
  <c r="E1302" i="1"/>
  <c r="F1302" i="1" s="1"/>
  <c r="G1302" i="1" s="1"/>
  <c r="F1303" i="1"/>
  <c r="G1303" i="1" s="1"/>
  <c r="E1304" i="1"/>
  <c r="E5" i="1"/>
  <c r="F5" i="1" s="1"/>
  <c r="G5" i="1" s="1"/>
  <c r="G6" i="1"/>
  <c r="A1" i="1"/>
  <c r="F600" i="1" l="1"/>
  <c r="G600" i="1" s="1"/>
  <c r="F1300" i="1"/>
  <c r="G1300" i="1" s="1"/>
  <c r="F1296" i="1"/>
  <c r="G1296" i="1" s="1"/>
  <c r="F1292" i="1"/>
  <c r="G1292" i="1" s="1"/>
  <c r="F1288" i="1"/>
  <c r="G1288" i="1" s="1"/>
  <c r="F1284" i="1"/>
  <c r="G1284" i="1" s="1"/>
  <c r="F1276" i="1"/>
  <c r="G1276" i="1" s="1"/>
  <c r="F1272" i="1"/>
  <c r="G1272" i="1" s="1"/>
  <c r="F1268" i="1"/>
  <c r="G1268" i="1" s="1"/>
  <c r="F1264" i="1"/>
  <c r="G1264" i="1" s="1"/>
  <c r="F1260" i="1"/>
  <c r="G1260" i="1" s="1"/>
  <c r="F1256" i="1"/>
  <c r="G1256" i="1" s="1"/>
  <c r="F1252" i="1"/>
  <c r="G1252" i="1" s="1"/>
  <c r="F1248" i="1"/>
  <c r="G1248" i="1" s="1"/>
  <c r="F1244" i="1"/>
  <c r="G1244" i="1" s="1"/>
  <c r="F1240" i="1"/>
  <c r="G1240" i="1" s="1"/>
  <c r="F1236" i="1"/>
  <c r="G1236" i="1" s="1"/>
  <c r="F1232" i="1"/>
  <c r="G1232" i="1" s="1"/>
  <c r="F1228" i="1"/>
  <c r="G1228" i="1" s="1"/>
  <c r="F1224" i="1"/>
  <c r="G1224" i="1" s="1"/>
  <c r="F1220" i="1"/>
  <c r="G1220" i="1" s="1"/>
  <c r="F1216" i="1"/>
  <c r="G1216" i="1" s="1"/>
  <c r="F1212" i="1"/>
  <c r="G1212" i="1" s="1"/>
  <c r="F1208" i="1"/>
  <c r="G1208" i="1" s="1"/>
  <c r="F1204" i="1"/>
  <c r="G1204" i="1" s="1"/>
  <c r="F1200" i="1"/>
  <c r="G1200" i="1" s="1"/>
  <c r="F1196" i="1"/>
  <c r="G1196" i="1" s="1"/>
  <c r="F1192" i="1"/>
  <c r="G1192" i="1" s="1"/>
  <c r="F1188" i="1"/>
  <c r="G1188" i="1" s="1"/>
  <c r="F1184" i="1"/>
  <c r="G1184" i="1" s="1"/>
  <c r="F1180" i="1"/>
  <c r="G1180" i="1" s="1"/>
  <c r="F1176" i="1"/>
  <c r="G1176" i="1" s="1"/>
  <c r="F1172" i="1"/>
  <c r="G1172" i="1" s="1"/>
  <c r="F1168" i="1"/>
  <c r="G1168" i="1" s="1"/>
  <c r="F1164" i="1"/>
  <c r="G1164" i="1" s="1"/>
  <c r="F1160" i="1"/>
  <c r="G1160" i="1" s="1"/>
  <c r="F1156" i="1"/>
  <c r="G1156" i="1" s="1"/>
  <c r="F1152" i="1"/>
  <c r="G1152" i="1" s="1"/>
  <c r="F1148" i="1"/>
  <c r="G1148" i="1" s="1"/>
  <c r="F1144" i="1"/>
  <c r="G1144" i="1" s="1"/>
  <c r="F1140" i="1"/>
  <c r="G1140" i="1" s="1"/>
  <c r="F1136" i="1"/>
  <c r="G1136" i="1" s="1"/>
  <c r="F1132" i="1"/>
  <c r="G1132" i="1" s="1"/>
  <c r="F1128" i="1"/>
  <c r="G1128" i="1" s="1"/>
  <c r="F1124" i="1"/>
  <c r="G1124" i="1" s="1"/>
  <c r="F1120" i="1"/>
  <c r="G1120" i="1" s="1"/>
  <c r="F1116" i="1"/>
  <c r="G1116" i="1" s="1"/>
  <c r="F1112" i="1"/>
  <c r="G1112" i="1" s="1"/>
  <c r="F1108" i="1"/>
  <c r="G1108" i="1" s="1"/>
  <c r="F1104" i="1"/>
  <c r="G1104" i="1" s="1"/>
  <c r="F1100" i="1"/>
  <c r="G1100" i="1" s="1"/>
  <c r="F1096" i="1"/>
  <c r="G1096" i="1" s="1"/>
  <c r="F1092" i="1"/>
  <c r="G1092" i="1" s="1"/>
  <c r="F1088" i="1"/>
  <c r="G1088" i="1" s="1"/>
  <c r="F1084" i="1"/>
  <c r="G1084" i="1" s="1"/>
  <c r="F1080" i="1"/>
  <c r="G1080" i="1" s="1"/>
  <c r="F1076" i="1"/>
  <c r="G1076" i="1" s="1"/>
  <c r="F1072" i="1"/>
  <c r="G1072" i="1" s="1"/>
  <c r="F1068" i="1"/>
  <c r="G1068" i="1" s="1"/>
  <c r="F1064" i="1"/>
  <c r="G1064" i="1" s="1"/>
  <c r="F1060" i="1"/>
  <c r="G1060" i="1" s="1"/>
  <c r="F1056" i="1"/>
  <c r="G1056" i="1" s="1"/>
  <c r="F1052" i="1"/>
  <c r="G1052" i="1" s="1"/>
  <c r="F1048" i="1"/>
  <c r="G1048" i="1" s="1"/>
  <c r="F1044" i="1"/>
  <c r="G1044" i="1" s="1"/>
  <c r="F1040" i="1"/>
  <c r="G1040" i="1" s="1"/>
  <c r="F1036" i="1"/>
  <c r="G1036" i="1" s="1"/>
  <c r="F1032" i="1"/>
  <c r="G1032" i="1" s="1"/>
  <c r="F1028" i="1"/>
  <c r="G1028" i="1" s="1"/>
  <c r="F1024" i="1"/>
  <c r="G1024" i="1" s="1"/>
  <c r="F1020" i="1"/>
  <c r="G1020" i="1" s="1"/>
  <c r="F1016" i="1"/>
  <c r="G1016" i="1" s="1"/>
  <c r="F1012" i="1"/>
  <c r="G1012" i="1" s="1"/>
  <c r="F1008" i="1"/>
  <c r="G1008" i="1" s="1"/>
  <c r="F1004" i="1"/>
  <c r="G1004" i="1" s="1"/>
  <c r="F1000" i="1"/>
  <c r="G1000" i="1" s="1"/>
  <c r="F996" i="1"/>
  <c r="G996" i="1" s="1"/>
  <c r="F992" i="1"/>
  <c r="G992" i="1" s="1"/>
  <c r="F988" i="1"/>
  <c r="G988" i="1" s="1"/>
  <c r="F984" i="1"/>
  <c r="G984" i="1" s="1"/>
  <c r="F980" i="1"/>
  <c r="G980" i="1" s="1"/>
  <c r="F976" i="1"/>
  <c r="G976" i="1" s="1"/>
  <c r="F972" i="1"/>
  <c r="G972" i="1" s="1"/>
  <c r="F968" i="1"/>
  <c r="G968" i="1" s="1"/>
  <c r="F964" i="1"/>
  <c r="G964" i="1" s="1"/>
  <c r="F960" i="1"/>
  <c r="G960" i="1" s="1"/>
  <c r="F956" i="1"/>
  <c r="G956" i="1" s="1"/>
  <c r="F952" i="1"/>
  <c r="G952" i="1" s="1"/>
  <c r="F948" i="1"/>
  <c r="G948" i="1" s="1"/>
  <c r="F944" i="1"/>
  <c r="G944" i="1" s="1"/>
  <c r="F940" i="1"/>
  <c r="G940" i="1" s="1"/>
  <c r="F936" i="1"/>
  <c r="G936" i="1" s="1"/>
  <c r="F932" i="1"/>
  <c r="G932" i="1" s="1"/>
  <c r="F928" i="1"/>
  <c r="G928" i="1" s="1"/>
  <c r="F924" i="1"/>
  <c r="G924" i="1" s="1"/>
  <c r="F920" i="1"/>
  <c r="G920" i="1" s="1"/>
  <c r="F916" i="1"/>
  <c r="G916" i="1" s="1"/>
  <c r="F912" i="1"/>
  <c r="G912" i="1" s="1"/>
  <c r="F908" i="1"/>
  <c r="G908" i="1" s="1"/>
  <c r="F904" i="1"/>
  <c r="G904" i="1" s="1"/>
  <c r="F900" i="1"/>
  <c r="G900" i="1" s="1"/>
  <c r="F896" i="1"/>
  <c r="G896" i="1" s="1"/>
  <c r="F892" i="1"/>
  <c r="G892" i="1" s="1"/>
  <c r="F888" i="1"/>
  <c r="G888" i="1" s="1"/>
  <c r="F884" i="1"/>
  <c r="G884" i="1" s="1"/>
  <c r="F880" i="1"/>
  <c r="G880" i="1" s="1"/>
  <c r="F876" i="1"/>
  <c r="G876" i="1" s="1"/>
  <c r="F872" i="1"/>
  <c r="G872" i="1" s="1"/>
  <c r="F868" i="1"/>
  <c r="G868" i="1" s="1"/>
  <c r="F864" i="1"/>
  <c r="G864" i="1" s="1"/>
  <c r="F860" i="1"/>
  <c r="G860" i="1" s="1"/>
  <c r="F852" i="1"/>
  <c r="G852" i="1" s="1"/>
  <c r="F848" i="1"/>
  <c r="G848" i="1" s="1"/>
  <c r="F844" i="1"/>
  <c r="G844" i="1" s="1"/>
  <c r="F840" i="1"/>
  <c r="G840" i="1" s="1"/>
  <c r="F836" i="1"/>
  <c r="G836" i="1" s="1"/>
  <c r="F832" i="1"/>
  <c r="G832" i="1" s="1"/>
  <c r="F828" i="1"/>
  <c r="G828" i="1" s="1"/>
  <c r="F824" i="1"/>
  <c r="G824" i="1" s="1"/>
  <c r="F820" i="1"/>
  <c r="G820" i="1" s="1"/>
  <c r="F816" i="1"/>
  <c r="G816" i="1" s="1"/>
  <c r="F812" i="1"/>
  <c r="G812" i="1" s="1"/>
  <c r="F808" i="1"/>
  <c r="G808" i="1" s="1"/>
  <c r="F804" i="1"/>
  <c r="G804" i="1" s="1"/>
  <c r="F800" i="1"/>
  <c r="G800" i="1" s="1"/>
  <c r="F796" i="1"/>
  <c r="G796" i="1" s="1"/>
  <c r="F792" i="1"/>
  <c r="G792" i="1" s="1"/>
  <c r="F788" i="1"/>
  <c r="G788" i="1" s="1"/>
  <c r="F784" i="1"/>
  <c r="G784" i="1" s="1"/>
  <c r="F780" i="1"/>
  <c r="G780" i="1" s="1"/>
  <c r="F776" i="1"/>
  <c r="G776" i="1" s="1"/>
  <c r="F772" i="1"/>
  <c r="G772" i="1" s="1"/>
  <c r="F768" i="1"/>
  <c r="G768" i="1" s="1"/>
  <c r="F764" i="1"/>
  <c r="G764" i="1" s="1"/>
  <c r="F760" i="1"/>
  <c r="G760" i="1" s="1"/>
  <c r="F756" i="1"/>
  <c r="G756" i="1" s="1"/>
  <c r="F752" i="1"/>
  <c r="G752" i="1" s="1"/>
  <c r="F748" i="1"/>
  <c r="G748" i="1" s="1"/>
  <c r="F744" i="1"/>
  <c r="G744" i="1" s="1"/>
  <c r="F740" i="1"/>
  <c r="G740" i="1" s="1"/>
  <c r="F736" i="1"/>
  <c r="G736" i="1" s="1"/>
  <c r="F732" i="1"/>
  <c r="G732" i="1" s="1"/>
  <c r="F724" i="1"/>
  <c r="G724" i="1" s="1"/>
  <c r="F720" i="1"/>
  <c r="G720" i="1" s="1"/>
  <c r="F716" i="1"/>
  <c r="G716" i="1" s="1"/>
  <c r="F712" i="1"/>
  <c r="G712" i="1" s="1"/>
  <c r="F708" i="1"/>
  <c r="G708" i="1" s="1"/>
  <c r="F704" i="1"/>
  <c r="G704" i="1" s="1"/>
  <c r="F700" i="1"/>
  <c r="G700" i="1" s="1"/>
  <c r="F696" i="1"/>
  <c r="G696" i="1" s="1"/>
  <c r="F692" i="1"/>
  <c r="G692" i="1" s="1"/>
  <c r="F688" i="1"/>
  <c r="G688" i="1" s="1"/>
  <c r="F684" i="1"/>
  <c r="G684" i="1" s="1"/>
  <c r="F680" i="1"/>
  <c r="G680" i="1" s="1"/>
  <c r="F676" i="1"/>
  <c r="G676" i="1" s="1"/>
  <c r="F672" i="1"/>
  <c r="G672" i="1" s="1"/>
  <c r="F668" i="1"/>
  <c r="G668" i="1" s="1"/>
  <c r="F664" i="1"/>
  <c r="G664" i="1" s="1"/>
  <c r="F660" i="1"/>
  <c r="G660" i="1" s="1"/>
  <c r="F656" i="1"/>
  <c r="G656" i="1" s="1"/>
  <c r="F652" i="1"/>
  <c r="G652" i="1" s="1"/>
  <c r="F648" i="1"/>
  <c r="G648" i="1" s="1"/>
  <c r="F644" i="1"/>
  <c r="G644" i="1" s="1"/>
  <c r="F640" i="1"/>
  <c r="G640" i="1" s="1"/>
  <c r="F636" i="1"/>
  <c r="G636" i="1" s="1"/>
  <c r="F632" i="1"/>
  <c r="G632" i="1" s="1"/>
  <c r="F628" i="1"/>
  <c r="G628" i="1" s="1"/>
  <c r="F624" i="1"/>
  <c r="G624" i="1" s="1"/>
  <c r="F620" i="1"/>
  <c r="G620" i="1" s="1"/>
  <c r="F616" i="1"/>
  <c r="G616" i="1" s="1"/>
  <c r="F612" i="1"/>
  <c r="G612" i="1" s="1"/>
  <c r="F608" i="1"/>
  <c r="G608" i="1" s="1"/>
  <c r="F604" i="1"/>
  <c r="G604" i="1" s="1"/>
  <c r="F596" i="1"/>
  <c r="G596" i="1" s="1"/>
  <c r="F592" i="1"/>
  <c r="G592" i="1" s="1"/>
  <c r="F588" i="1"/>
  <c r="G588" i="1" s="1"/>
  <c r="F584" i="1"/>
  <c r="G584" i="1" s="1"/>
  <c r="F580" i="1"/>
  <c r="G580" i="1" s="1"/>
  <c r="F576" i="1"/>
  <c r="G576" i="1" s="1"/>
  <c r="F572" i="1"/>
  <c r="G572" i="1" s="1"/>
  <c r="F568" i="1"/>
  <c r="G568" i="1" s="1"/>
  <c r="F564" i="1"/>
  <c r="G564" i="1" s="1"/>
  <c r="F560" i="1"/>
  <c r="G560" i="1" s="1"/>
  <c r="F556" i="1"/>
  <c r="G556" i="1" s="1"/>
  <c r="F552" i="1"/>
  <c r="G552" i="1" s="1"/>
  <c r="F548" i="1"/>
  <c r="G548" i="1" s="1"/>
  <c r="F544" i="1"/>
  <c r="G544" i="1" s="1"/>
  <c r="F540" i="1"/>
  <c r="G540" i="1" s="1"/>
  <c r="F536" i="1"/>
  <c r="G536" i="1" s="1"/>
  <c r="F532" i="1"/>
  <c r="G532" i="1" s="1"/>
  <c r="F528" i="1"/>
  <c r="G528" i="1" s="1"/>
  <c r="F524" i="1"/>
  <c r="G524" i="1" s="1"/>
  <c r="F520" i="1"/>
  <c r="G520" i="1" s="1"/>
  <c r="F516" i="1"/>
  <c r="G516" i="1" s="1"/>
  <c r="F512" i="1"/>
  <c r="G512" i="1" s="1"/>
  <c r="F508" i="1"/>
  <c r="G508" i="1" s="1"/>
  <c r="F504" i="1"/>
  <c r="G504" i="1" s="1"/>
  <c r="F500" i="1"/>
  <c r="G500" i="1" s="1"/>
  <c r="F496" i="1"/>
  <c r="G496" i="1" s="1"/>
  <c r="F492" i="1"/>
  <c r="G492" i="1" s="1"/>
  <c r="F488" i="1"/>
  <c r="G488" i="1" s="1"/>
  <c r="F484" i="1"/>
  <c r="G484" i="1" s="1"/>
  <c r="F480" i="1"/>
  <c r="G480" i="1" s="1"/>
  <c r="F476" i="1"/>
  <c r="G476" i="1" s="1"/>
  <c r="F468" i="1"/>
  <c r="G468" i="1" s="1"/>
  <c r="F464" i="1"/>
  <c r="G464" i="1" s="1"/>
  <c r="F460" i="1"/>
  <c r="G460" i="1" s="1"/>
  <c r="F456" i="1"/>
  <c r="G456" i="1" s="1"/>
  <c r="F452" i="1"/>
  <c r="G452" i="1" s="1"/>
  <c r="F448" i="1"/>
  <c r="G448" i="1" s="1"/>
  <c r="F444" i="1"/>
  <c r="G444" i="1" s="1"/>
  <c r="F440" i="1"/>
  <c r="G440" i="1" s="1"/>
  <c r="F436" i="1"/>
  <c r="G436" i="1" s="1"/>
  <c r="F432" i="1"/>
  <c r="G432" i="1" s="1"/>
  <c r="F428" i="1"/>
  <c r="G428" i="1" s="1"/>
  <c r="F424" i="1"/>
  <c r="G424" i="1" s="1"/>
  <c r="F420" i="1"/>
  <c r="G420" i="1" s="1"/>
  <c r="F416" i="1"/>
  <c r="G416" i="1" s="1"/>
  <c r="F412" i="1"/>
  <c r="G412" i="1" s="1"/>
  <c r="F408" i="1"/>
  <c r="G408" i="1" s="1"/>
  <c r="F404" i="1"/>
  <c r="G404" i="1" s="1"/>
  <c r="F400" i="1"/>
  <c r="G400" i="1" s="1"/>
  <c r="F396" i="1"/>
  <c r="G396" i="1" s="1"/>
  <c r="F392" i="1"/>
  <c r="G392" i="1" s="1"/>
  <c r="F388" i="1"/>
  <c r="G388" i="1" s="1"/>
  <c r="F376" i="1"/>
  <c r="G376" i="1" s="1"/>
  <c r="F344" i="1"/>
  <c r="G344" i="1" s="1"/>
  <c r="F305" i="1"/>
  <c r="G305" i="1" s="1"/>
  <c r="F301" i="1"/>
  <c r="G301" i="1" s="1"/>
  <c r="F297" i="1"/>
  <c r="G297" i="1" s="1"/>
  <c r="F293" i="1"/>
  <c r="G293" i="1" s="1"/>
  <c r="F289" i="1"/>
  <c r="G289" i="1" s="1"/>
  <c r="F285" i="1"/>
  <c r="G285" i="1" s="1"/>
  <c r="F281" i="1"/>
  <c r="G281" i="1" s="1"/>
  <c r="F277" i="1"/>
  <c r="G277" i="1" s="1"/>
  <c r="F273" i="1"/>
  <c r="G273" i="1" s="1"/>
  <c r="F269" i="1"/>
  <c r="G269" i="1" s="1"/>
  <c r="F265" i="1"/>
  <c r="G265" i="1" s="1"/>
  <c r="F261" i="1"/>
  <c r="G261" i="1" s="1"/>
  <c r="F257" i="1"/>
  <c r="G257" i="1" s="1"/>
  <c r="F253" i="1"/>
  <c r="G253" i="1" s="1"/>
  <c r="F249" i="1"/>
  <c r="G249" i="1" s="1"/>
  <c r="F245" i="1"/>
  <c r="G245" i="1" s="1"/>
  <c r="F241" i="1"/>
  <c r="G241" i="1" s="1"/>
  <c r="F237" i="1"/>
  <c r="G237" i="1" s="1"/>
  <c r="F233" i="1"/>
  <c r="G233" i="1" s="1"/>
  <c r="F229" i="1"/>
  <c r="G229" i="1" s="1"/>
  <c r="F221" i="1"/>
  <c r="G221" i="1" s="1"/>
  <c r="F217" i="1"/>
  <c r="G217" i="1" s="1"/>
  <c r="F213" i="1"/>
  <c r="G213" i="1" s="1"/>
  <c r="F209" i="1"/>
  <c r="G209" i="1" s="1"/>
  <c r="F205" i="1"/>
  <c r="G205" i="1" s="1"/>
  <c r="F201" i="1"/>
  <c r="G201" i="1" s="1"/>
  <c r="F197" i="1"/>
  <c r="G197" i="1" s="1"/>
  <c r="F193" i="1"/>
  <c r="G193" i="1" s="1"/>
  <c r="F189" i="1"/>
  <c r="G189" i="1" s="1"/>
  <c r="F185" i="1"/>
  <c r="G185" i="1" s="1"/>
  <c r="F181" i="1"/>
  <c r="G181" i="1" s="1"/>
  <c r="F177" i="1"/>
  <c r="G177" i="1" s="1"/>
  <c r="F173" i="1"/>
  <c r="G173" i="1" s="1"/>
  <c r="F169" i="1"/>
  <c r="G169" i="1" s="1"/>
  <c r="F165" i="1"/>
  <c r="G165" i="1" s="1"/>
  <c r="F161" i="1"/>
  <c r="G161" i="1" s="1"/>
  <c r="F157" i="1"/>
  <c r="G157" i="1" s="1"/>
  <c r="F153" i="1"/>
  <c r="G153" i="1" s="1"/>
  <c r="F149" i="1"/>
  <c r="G149" i="1" s="1"/>
  <c r="F145" i="1"/>
  <c r="G145" i="1" s="1"/>
  <c r="F141" i="1"/>
  <c r="G141" i="1" s="1"/>
  <c r="F137" i="1"/>
  <c r="G137" i="1" s="1"/>
  <c r="F133" i="1"/>
  <c r="G133" i="1" s="1"/>
  <c r="F129" i="1"/>
  <c r="G129" i="1" s="1"/>
  <c r="F125" i="1"/>
  <c r="G125" i="1" s="1"/>
  <c r="F121" i="1"/>
  <c r="G121" i="1" s="1"/>
  <c r="F117" i="1"/>
  <c r="G117" i="1" s="1"/>
  <c r="F113" i="1"/>
  <c r="G113" i="1" s="1"/>
  <c r="F109" i="1"/>
  <c r="G109" i="1" s="1"/>
  <c r="F105" i="1"/>
  <c r="G105" i="1" s="1"/>
  <c r="F101" i="1"/>
  <c r="G101" i="1" s="1"/>
  <c r="F93" i="1"/>
  <c r="G93" i="1" s="1"/>
  <c r="F89" i="1"/>
  <c r="G89" i="1" s="1"/>
  <c r="F85" i="1"/>
  <c r="G85" i="1" s="1"/>
  <c r="F81" i="1"/>
  <c r="G81" i="1" s="1"/>
  <c r="F77" i="1"/>
  <c r="G77" i="1" s="1"/>
  <c r="F73" i="1"/>
  <c r="G73" i="1" s="1"/>
  <c r="F69" i="1"/>
  <c r="G69" i="1" s="1"/>
  <c r="F65" i="1"/>
  <c r="G65" i="1" s="1"/>
  <c r="F61" i="1"/>
  <c r="G61" i="1" s="1"/>
  <c r="F57" i="1"/>
  <c r="G57" i="1" s="1"/>
  <c r="F53" i="1"/>
  <c r="G53" i="1" s="1"/>
  <c r="F49" i="1"/>
  <c r="G49" i="1" s="1"/>
  <c r="F45" i="1"/>
  <c r="G45" i="1" s="1"/>
  <c r="F41" i="1"/>
  <c r="G41" i="1" s="1"/>
  <c r="F37" i="1"/>
  <c r="G37" i="1" s="1"/>
  <c r="F33" i="1"/>
  <c r="G33" i="1" s="1"/>
  <c r="F29" i="1"/>
  <c r="G29" i="1" s="1"/>
  <c r="F25" i="1"/>
  <c r="G25" i="1" s="1"/>
  <c r="F21" i="1"/>
  <c r="G21" i="1" s="1"/>
  <c r="F17" i="1"/>
  <c r="G17" i="1" s="1"/>
  <c r="F13" i="1"/>
  <c r="G13" i="1" s="1"/>
  <c r="F9" i="1"/>
  <c r="G9" i="1" s="1"/>
  <c r="F384" i="1"/>
  <c r="G384" i="1" s="1"/>
  <c r="F380" i="1"/>
  <c r="G380" i="1" s="1"/>
  <c r="F372" i="1"/>
  <c r="G372" i="1" s="1"/>
  <c r="F368" i="1"/>
  <c r="G368" i="1" s="1"/>
  <c r="F364" i="1"/>
  <c r="G364" i="1" s="1"/>
  <c r="F360" i="1"/>
  <c r="G360" i="1" s="1"/>
  <c r="F356" i="1"/>
  <c r="G356" i="1" s="1"/>
  <c r="F352" i="1"/>
  <c r="G352" i="1" s="1"/>
  <c r="F348" i="1"/>
  <c r="G348" i="1" s="1"/>
  <c r="F340" i="1"/>
  <c r="G340" i="1" s="1"/>
  <c r="F336" i="1"/>
  <c r="G336" i="1" s="1"/>
  <c r="F332" i="1"/>
  <c r="G332" i="1" s="1"/>
  <c r="F328" i="1"/>
  <c r="G328" i="1" s="1"/>
  <c r="F324" i="1"/>
  <c r="G324" i="1" s="1"/>
  <c r="F320" i="1"/>
  <c r="G320" i="1" s="1"/>
  <c r="F316" i="1"/>
  <c r="G316" i="1" s="1"/>
  <c r="F312" i="1"/>
  <c r="G312" i="1" s="1"/>
  <c r="F308" i="1"/>
  <c r="G308" i="1" s="1"/>
  <c r="F304" i="1"/>
  <c r="G304" i="1" s="1"/>
  <c r="F300" i="1"/>
  <c r="G300" i="1" s="1"/>
  <c r="F296" i="1"/>
  <c r="G296" i="1" s="1"/>
  <c r="F292" i="1"/>
  <c r="G292" i="1" s="1"/>
  <c r="F288" i="1"/>
  <c r="G288" i="1" s="1"/>
  <c r="F284" i="1"/>
  <c r="G284" i="1" s="1"/>
  <c r="F280" i="1"/>
  <c r="G280" i="1" s="1"/>
  <c r="F276" i="1"/>
  <c r="G276" i="1" s="1"/>
  <c r="F272" i="1"/>
  <c r="G272" i="1" s="1"/>
  <c r="F268" i="1"/>
  <c r="G268" i="1" s="1"/>
  <c r="F264" i="1"/>
  <c r="G264" i="1" s="1"/>
  <c r="F260" i="1"/>
  <c r="G260" i="1" s="1"/>
  <c r="F256" i="1"/>
  <c r="G256" i="1" s="1"/>
  <c r="F252" i="1"/>
  <c r="G252" i="1" s="1"/>
  <c r="F248" i="1"/>
  <c r="G248" i="1" s="1"/>
  <c r="F244" i="1"/>
  <c r="G244" i="1" s="1"/>
  <c r="F240" i="1"/>
  <c r="G240" i="1" s="1"/>
  <c r="F236" i="1"/>
  <c r="G236" i="1" s="1"/>
  <c r="F232" i="1"/>
  <c r="G232" i="1" s="1"/>
  <c r="F228" i="1"/>
  <c r="G228" i="1" s="1"/>
  <c r="F224" i="1"/>
  <c r="G224" i="1" s="1"/>
  <c r="F220" i="1"/>
  <c r="G220" i="1" s="1"/>
  <c r="F216" i="1"/>
  <c r="G216" i="1" s="1"/>
  <c r="F212" i="1"/>
  <c r="G212" i="1" s="1"/>
  <c r="F208" i="1"/>
  <c r="G208" i="1" s="1"/>
  <c r="F204" i="1"/>
  <c r="G204" i="1" s="1"/>
  <c r="F200" i="1"/>
  <c r="G200" i="1" s="1"/>
  <c r="F196" i="1"/>
  <c r="G196" i="1" s="1"/>
  <c r="F192" i="1"/>
  <c r="G192" i="1" s="1"/>
  <c r="F188" i="1"/>
  <c r="G188" i="1" s="1"/>
  <c r="F184" i="1"/>
  <c r="G184" i="1" s="1"/>
  <c r="F180" i="1"/>
  <c r="G180" i="1" s="1"/>
  <c r="F176" i="1"/>
  <c r="G176" i="1" s="1"/>
  <c r="F172" i="1"/>
  <c r="G172" i="1" s="1"/>
  <c r="F168" i="1"/>
  <c r="G168" i="1" s="1"/>
  <c r="F164" i="1"/>
  <c r="G164" i="1" s="1"/>
  <c r="F160" i="1"/>
  <c r="G160" i="1" s="1"/>
  <c r="F156" i="1"/>
  <c r="G156" i="1" s="1"/>
  <c r="F152" i="1"/>
  <c r="G152" i="1" s="1"/>
  <c r="F148" i="1"/>
  <c r="G148" i="1" s="1"/>
  <c r="F144" i="1"/>
  <c r="G144" i="1" s="1"/>
  <c r="F140" i="1"/>
  <c r="G140" i="1" s="1"/>
  <c r="F136" i="1"/>
  <c r="G136" i="1" s="1"/>
  <c r="F132" i="1"/>
  <c r="G132" i="1" s="1"/>
  <c r="F128" i="1"/>
  <c r="G128" i="1" s="1"/>
  <c r="F124" i="1"/>
  <c r="G124" i="1" s="1"/>
  <c r="F120" i="1"/>
  <c r="G120" i="1" s="1"/>
  <c r="F116" i="1"/>
  <c r="G116" i="1" s="1"/>
  <c r="F112" i="1"/>
  <c r="G112" i="1" s="1"/>
  <c r="F108" i="1"/>
  <c r="G108" i="1" s="1"/>
  <c r="F104" i="1"/>
  <c r="G104" i="1" s="1"/>
  <c r="F100" i="1"/>
  <c r="G100" i="1" s="1"/>
  <c r="F96" i="1"/>
  <c r="G96" i="1" s="1"/>
  <c r="F92" i="1"/>
  <c r="G92" i="1" s="1"/>
  <c r="F88" i="1"/>
  <c r="G88" i="1" s="1"/>
  <c r="F84" i="1"/>
  <c r="G84" i="1" s="1"/>
  <c r="F80" i="1"/>
  <c r="G80" i="1" s="1"/>
  <c r="F76" i="1"/>
  <c r="G76" i="1" s="1"/>
  <c r="F72" i="1"/>
  <c r="G72" i="1" s="1"/>
  <c r="F68" i="1"/>
  <c r="G68" i="1" s="1"/>
  <c r="F64" i="1"/>
  <c r="G64" i="1" s="1"/>
  <c r="F60" i="1"/>
  <c r="G60" i="1" s="1"/>
  <c r="F56" i="1"/>
  <c r="G56" i="1" s="1"/>
  <c r="F52" i="1"/>
  <c r="G52" i="1" s="1"/>
  <c r="F48" i="1"/>
  <c r="G48" i="1" s="1"/>
  <c r="F44" i="1"/>
  <c r="G44" i="1" s="1"/>
  <c r="F40" i="1"/>
  <c r="G40" i="1" s="1"/>
  <c r="F36" i="1"/>
  <c r="G36" i="1" s="1"/>
  <c r="F32" i="1"/>
  <c r="G32" i="1" s="1"/>
  <c r="F28" i="1"/>
  <c r="G28" i="1" s="1"/>
  <c r="F24" i="1"/>
  <c r="G24" i="1" s="1"/>
  <c r="F20" i="1"/>
  <c r="G20" i="1" s="1"/>
  <c r="F16" i="1"/>
  <c r="G16" i="1" s="1"/>
  <c r="F12" i="1"/>
  <c r="G12" i="1" s="1"/>
  <c r="F8" i="1"/>
  <c r="G8" i="1" s="1"/>
  <c r="R6" i="2"/>
  <c r="AF6" i="2"/>
  <c r="Y6" i="2"/>
  <c r="R1304" i="2"/>
  <c r="K1304" i="2"/>
  <c r="AF1304" i="2"/>
  <c r="Y1304" i="2"/>
  <c r="R1303" i="2"/>
  <c r="K1303" i="2"/>
  <c r="AF1303" i="2"/>
  <c r="Y1303" i="2"/>
  <c r="R1302" i="2"/>
  <c r="K1302" i="2"/>
  <c r="AF1302" i="2"/>
  <c r="Y1302" i="2"/>
  <c r="R1301" i="2"/>
  <c r="K1301" i="2"/>
  <c r="AF1301" i="2"/>
  <c r="Y1301" i="2"/>
  <c r="R1300" i="2"/>
  <c r="K1300" i="2"/>
  <c r="AF1300" i="2"/>
  <c r="Y1300" i="2"/>
  <c r="R1299" i="2"/>
  <c r="K1299" i="2"/>
  <c r="AF1299" i="2"/>
  <c r="Y1299" i="2"/>
  <c r="R1298" i="2"/>
  <c r="K1298" i="2"/>
  <c r="AF1298" i="2"/>
  <c r="Y1298" i="2"/>
  <c r="R1297" i="2"/>
  <c r="K1297" i="2"/>
  <c r="AF1297" i="2"/>
  <c r="Y1297" i="2"/>
  <c r="R1296" i="2"/>
  <c r="K1296" i="2"/>
  <c r="AF1296" i="2"/>
  <c r="Y1296" i="2"/>
  <c r="R1295" i="2"/>
  <c r="K1295" i="2"/>
  <c r="AF1295" i="2"/>
  <c r="Y1295" i="2"/>
  <c r="R1294" i="2"/>
  <c r="K1294" i="2"/>
  <c r="AF1294" i="2"/>
  <c r="Y1294" i="2"/>
  <c r="R1293" i="2"/>
  <c r="K1293" i="2"/>
  <c r="AF1293" i="2"/>
  <c r="Y1293" i="2"/>
  <c r="R1292" i="2"/>
  <c r="K1292" i="2"/>
  <c r="AF1292" i="2"/>
  <c r="Y1292" i="2"/>
  <c r="R1291" i="2"/>
  <c r="K1291" i="2"/>
  <c r="AF1291" i="2"/>
  <c r="Y1291" i="2"/>
  <c r="R1290" i="2"/>
  <c r="K1290" i="2"/>
  <c r="AF1290" i="2"/>
  <c r="Y1290" i="2"/>
  <c r="R1289" i="2"/>
  <c r="K1289" i="2"/>
  <c r="AF1289" i="2"/>
  <c r="Y1289" i="2"/>
  <c r="R1288" i="2"/>
  <c r="K1288" i="2"/>
  <c r="AF1288" i="2"/>
  <c r="Y1288" i="2"/>
  <c r="R1287" i="2"/>
  <c r="K1287" i="2"/>
  <c r="AF1287" i="2"/>
  <c r="Y1287" i="2"/>
  <c r="R1286" i="2"/>
  <c r="K1286" i="2"/>
  <c r="AF1286" i="2"/>
  <c r="Y1286" i="2"/>
  <c r="R1285" i="2"/>
  <c r="K1285" i="2"/>
  <c r="AF1285" i="2"/>
  <c r="Y1285" i="2"/>
  <c r="R1284" i="2"/>
  <c r="K1284" i="2"/>
  <c r="AF1284" i="2"/>
  <c r="Y1284" i="2"/>
  <c r="R1283" i="2"/>
  <c r="K1283" i="2"/>
  <c r="AF1283" i="2"/>
  <c r="Y1283" i="2"/>
  <c r="R1282" i="2"/>
  <c r="K1282" i="2"/>
  <c r="AF1282" i="2"/>
  <c r="Y1282" i="2"/>
  <c r="R1281" i="2"/>
  <c r="K1281" i="2"/>
  <c r="AF1281" i="2"/>
  <c r="Y1281" i="2"/>
  <c r="R1280" i="2"/>
  <c r="K1280" i="2"/>
  <c r="AF1280" i="2"/>
  <c r="Y1280" i="2"/>
  <c r="R1279" i="2"/>
  <c r="K1279" i="2"/>
  <c r="AF1279" i="2"/>
  <c r="Y1279" i="2"/>
  <c r="R1278" i="2"/>
  <c r="K1278" i="2"/>
  <c r="AF1278" i="2"/>
  <c r="Y1278" i="2"/>
  <c r="R1277" i="2"/>
  <c r="K1277" i="2"/>
  <c r="AF1277" i="2"/>
  <c r="Y1277" i="2"/>
  <c r="R1276" i="2"/>
  <c r="K1276" i="2"/>
  <c r="AF1276" i="2"/>
  <c r="Y1276" i="2"/>
  <c r="R1275" i="2"/>
  <c r="K1275" i="2"/>
  <c r="AF1275" i="2"/>
  <c r="Y1275" i="2"/>
  <c r="R1274" i="2"/>
  <c r="K1274" i="2"/>
  <c r="AF1274" i="2"/>
  <c r="Y1274" i="2"/>
  <c r="R1273" i="2"/>
  <c r="K1273" i="2"/>
  <c r="AF1273" i="2"/>
  <c r="Y1273" i="2"/>
  <c r="R1272" i="2"/>
  <c r="K1272" i="2"/>
  <c r="AF1272" i="2"/>
  <c r="Y1272" i="2"/>
  <c r="R1271" i="2"/>
  <c r="K1271" i="2"/>
  <c r="AF1271" i="2"/>
  <c r="Y1271" i="2"/>
  <c r="R1270" i="2"/>
  <c r="K1270" i="2"/>
  <c r="AF1270" i="2"/>
  <c r="Y1270" i="2"/>
  <c r="R1269" i="2"/>
  <c r="K1269" i="2"/>
  <c r="AF1269" i="2"/>
  <c r="Y1269" i="2"/>
  <c r="R1268" i="2"/>
  <c r="K1268" i="2"/>
  <c r="AF1268" i="2"/>
  <c r="Y1268" i="2"/>
  <c r="R1267" i="2"/>
  <c r="K1267" i="2"/>
  <c r="AF1267" i="2"/>
  <c r="Y1267" i="2"/>
  <c r="R1266" i="2"/>
  <c r="K1266" i="2"/>
  <c r="AF1266" i="2"/>
  <c r="Y1266" i="2"/>
  <c r="R1265" i="2"/>
  <c r="K1265" i="2"/>
  <c r="AF1265" i="2"/>
  <c r="Y1265" i="2"/>
  <c r="R1264" i="2"/>
  <c r="K1264" i="2"/>
  <c r="AF1264" i="2"/>
  <c r="Y1264" i="2"/>
  <c r="R1263" i="2"/>
  <c r="K1263" i="2"/>
  <c r="AF1263" i="2"/>
  <c r="Y1263" i="2"/>
  <c r="R1262" i="2"/>
  <c r="K1262" i="2"/>
  <c r="AF1262" i="2"/>
  <c r="Y1262" i="2"/>
  <c r="R1261" i="2"/>
  <c r="K1261" i="2"/>
  <c r="AF1261" i="2"/>
  <c r="Y1261" i="2"/>
  <c r="R1260" i="2"/>
  <c r="K1260" i="2"/>
  <c r="AF1260" i="2"/>
  <c r="Y1260" i="2"/>
  <c r="R1259" i="2"/>
  <c r="K1259" i="2"/>
  <c r="AF1259" i="2"/>
  <c r="Y1259" i="2"/>
  <c r="R1258" i="2"/>
  <c r="K1258" i="2"/>
  <c r="AF1258" i="2"/>
  <c r="Y1258" i="2"/>
  <c r="R1257" i="2"/>
  <c r="K1257" i="2"/>
  <c r="AF1257" i="2"/>
  <c r="Y1257" i="2"/>
  <c r="R1256" i="2"/>
  <c r="K1256" i="2"/>
  <c r="AF1256" i="2"/>
  <c r="Y1256" i="2"/>
  <c r="R1255" i="2"/>
  <c r="K1255" i="2"/>
  <c r="AF1255" i="2"/>
  <c r="Y1255" i="2"/>
  <c r="R1254" i="2"/>
  <c r="K1254" i="2"/>
  <c r="AF1254" i="2"/>
  <c r="Y1254" i="2"/>
  <c r="R1253" i="2"/>
  <c r="K1253" i="2"/>
  <c r="AF1253" i="2"/>
  <c r="Y1253" i="2"/>
  <c r="R1252" i="2"/>
  <c r="K1252" i="2"/>
  <c r="AF1252" i="2"/>
  <c r="Y1252" i="2"/>
  <c r="R1251" i="2"/>
  <c r="K1251" i="2"/>
  <c r="AF1251" i="2"/>
  <c r="Y1251" i="2"/>
  <c r="R1250" i="2"/>
  <c r="K1250" i="2"/>
  <c r="AF1250" i="2"/>
  <c r="Y1250" i="2"/>
  <c r="R1249" i="2"/>
  <c r="K1249" i="2"/>
  <c r="AF1249" i="2"/>
  <c r="Y1249" i="2"/>
  <c r="R1248" i="2"/>
  <c r="K1248" i="2"/>
  <c r="AF1248" i="2"/>
  <c r="Y1248" i="2"/>
  <c r="R1247" i="2"/>
  <c r="K1247" i="2"/>
  <c r="AF1247" i="2"/>
  <c r="Y1247" i="2"/>
  <c r="R1246" i="2"/>
  <c r="K1246" i="2"/>
  <c r="AF1246" i="2"/>
  <c r="Y1246" i="2"/>
  <c r="R1245" i="2"/>
  <c r="K1245" i="2"/>
  <c r="AF1245" i="2"/>
  <c r="Y1245" i="2"/>
  <c r="R1244" i="2"/>
  <c r="K1244" i="2"/>
  <c r="AF1244" i="2"/>
  <c r="Y1244" i="2"/>
  <c r="R1243" i="2"/>
  <c r="K1243" i="2"/>
  <c r="AF1243" i="2"/>
  <c r="Y1243" i="2"/>
  <c r="R1242" i="2"/>
  <c r="K1242" i="2"/>
  <c r="AF1242" i="2"/>
  <c r="Y1242" i="2"/>
  <c r="R1241" i="2"/>
  <c r="K1241" i="2"/>
  <c r="AF1241" i="2"/>
  <c r="Y1241" i="2"/>
  <c r="R1240" i="2"/>
  <c r="K1240" i="2"/>
  <c r="AF1240" i="2"/>
  <c r="Y1240" i="2"/>
  <c r="R1239" i="2"/>
  <c r="K1239" i="2"/>
  <c r="AF1239" i="2"/>
  <c r="Y1239" i="2"/>
  <c r="R1238" i="2"/>
  <c r="K1238" i="2"/>
  <c r="AF1238" i="2"/>
  <c r="Y1238" i="2"/>
  <c r="R1237" i="2"/>
  <c r="K1237" i="2"/>
  <c r="AF1237" i="2"/>
  <c r="Y1237" i="2"/>
  <c r="R1236" i="2"/>
  <c r="K1236" i="2"/>
  <c r="AF1236" i="2"/>
  <c r="Y1236" i="2"/>
  <c r="R1235" i="2"/>
  <c r="K1235" i="2"/>
  <c r="AF1235" i="2"/>
  <c r="Y1235" i="2"/>
  <c r="R1234" i="2"/>
  <c r="K1234" i="2"/>
  <c r="AF1234" i="2"/>
  <c r="Y1234" i="2"/>
  <c r="R1233" i="2"/>
  <c r="K1233" i="2"/>
  <c r="AF1233" i="2"/>
  <c r="Y1233" i="2"/>
  <c r="R1232" i="2"/>
  <c r="K1232" i="2"/>
  <c r="AF1232" i="2"/>
  <c r="Y1232" i="2"/>
  <c r="R1231" i="2"/>
  <c r="K1231" i="2"/>
  <c r="AF1231" i="2"/>
  <c r="Y1231" i="2"/>
  <c r="R1230" i="2"/>
  <c r="K1230" i="2"/>
  <c r="AF1230" i="2"/>
  <c r="Y1230" i="2"/>
  <c r="R1229" i="2"/>
  <c r="K1229" i="2"/>
  <c r="AF1229" i="2"/>
  <c r="Y1229" i="2"/>
  <c r="R1228" i="2"/>
  <c r="K1228" i="2"/>
  <c r="AF1228" i="2"/>
  <c r="Y1228" i="2"/>
  <c r="R1227" i="2"/>
  <c r="K1227" i="2"/>
  <c r="AF1227" i="2"/>
  <c r="Y1227" i="2"/>
  <c r="R1226" i="2"/>
  <c r="K1226" i="2"/>
  <c r="AF1226" i="2"/>
  <c r="Y1226" i="2"/>
  <c r="R1225" i="2"/>
  <c r="K1225" i="2"/>
  <c r="AF1225" i="2"/>
  <c r="Y1225" i="2"/>
  <c r="R1224" i="2"/>
  <c r="K1224" i="2"/>
  <c r="AF1224" i="2"/>
  <c r="Y1224" i="2"/>
  <c r="R1223" i="2"/>
  <c r="K1223" i="2"/>
  <c r="AF1223" i="2"/>
  <c r="Y1223" i="2"/>
  <c r="R1222" i="2"/>
  <c r="K1222" i="2"/>
  <c r="AF1222" i="2"/>
  <c r="Y1222" i="2"/>
  <c r="R1221" i="2"/>
  <c r="K1221" i="2"/>
  <c r="AF1221" i="2"/>
  <c r="Y1221" i="2"/>
  <c r="R1220" i="2"/>
  <c r="K1220" i="2"/>
  <c r="AF1220" i="2"/>
  <c r="Y1220" i="2"/>
  <c r="R1219" i="2"/>
  <c r="K1219" i="2"/>
  <c r="AF1219" i="2"/>
  <c r="Y1219" i="2"/>
  <c r="R1218" i="2"/>
  <c r="K1218" i="2"/>
  <c r="AF1218" i="2"/>
  <c r="Y1218" i="2"/>
  <c r="R1217" i="2"/>
  <c r="K1217" i="2"/>
  <c r="AF1217" i="2"/>
  <c r="Y1217" i="2"/>
  <c r="R1216" i="2"/>
  <c r="K1216" i="2"/>
  <c r="AF1216" i="2"/>
  <c r="Y1216" i="2"/>
  <c r="R1215" i="2"/>
  <c r="K1215" i="2"/>
  <c r="AF1215" i="2"/>
  <c r="Y1215" i="2"/>
  <c r="R1214" i="2"/>
  <c r="K1214" i="2"/>
  <c r="AF1214" i="2"/>
  <c r="Y1214" i="2"/>
  <c r="R1213" i="2"/>
  <c r="K1213" i="2"/>
  <c r="AF1213" i="2"/>
  <c r="Y1213" i="2"/>
  <c r="R1212" i="2"/>
  <c r="K1212" i="2"/>
  <c r="AF1212" i="2"/>
  <c r="Y1212" i="2"/>
  <c r="R1211" i="2"/>
  <c r="K1211" i="2"/>
  <c r="AF1211" i="2"/>
  <c r="Y1211" i="2"/>
  <c r="R1210" i="2"/>
  <c r="K1210" i="2"/>
  <c r="AF1210" i="2"/>
  <c r="Y1210" i="2"/>
  <c r="R1209" i="2"/>
  <c r="K1209" i="2"/>
  <c r="AF1209" i="2"/>
  <c r="Y1209" i="2"/>
  <c r="R1208" i="2"/>
  <c r="K1208" i="2"/>
  <c r="AF1208" i="2"/>
  <c r="Y1208" i="2"/>
  <c r="R1207" i="2"/>
  <c r="K1207" i="2"/>
  <c r="AF1207" i="2"/>
  <c r="Y1207" i="2"/>
  <c r="R1206" i="2"/>
  <c r="K1206" i="2"/>
  <c r="AF1206" i="2"/>
  <c r="Y1206" i="2"/>
  <c r="R1205" i="2"/>
  <c r="K1205" i="2"/>
  <c r="AF1205" i="2"/>
  <c r="Y1205" i="2"/>
  <c r="R1204" i="2"/>
  <c r="K1204" i="2"/>
  <c r="AF1204" i="2"/>
  <c r="Y1204" i="2"/>
  <c r="R1203" i="2"/>
  <c r="K1203" i="2"/>
  <c r="AF1203" i="2"/>
  <c r="Y1203" i="2"/>
  <c r="R1202" i="2"/>
  <c r="K1202" i="2"/>
  <c r="AF1202" i="2"/>
  <c r="Y1202" i="2"/>
  <c r="R1201" i="2"/>
  <c r="K1201" i="2"/>
  <c r="AF1201" i="2"/>
  <c r="Y1201" i="2"/>
  <c r="R1200" i="2"/>
  <c r="K1200" i="2"/>
  <c r="AF1200" i="2"/>
  <c r="Y1200" i="2"/>
  <c r="R1199" i="2"/>
  <c r="K1199" i="2"/>
  <c r="AF1199" i="2"/>
  <c r="Y1199" i="2"/>
  <c r="R1198" i="2"/>
  <c r="K1198" i="2"/>
  <c r="AF1198" i="2"/>
  <c r="Y1198" i="2"/>
  <c r="R1197" i="2"/>
  <c r="K1197" i="2"/>
  <c r="AF1197" i="2"/>
  <c r="Y1197" i="2"/>
  <c r="R1196" i="2"/>
  <c r="K1196" i="2"/>
  <c r="AF1196" i="2"/>
  <c r="Y1196" i="2"/>
  <c r="R1195" i="2"/>
  <c r="K1195" i="2"/>
  <c r="AF1195" i="2"/>
  <c r="Y1195" i="2"/>
  <c r="R1194" i="2"/>
  <c r="K1194" i="2"/>
  <c r="AF1194" i="2"/>
  <c r="Y1194" i="2"/>
  <c r="R1193" i="2"/>
  <c r="K1193" i="2"/>
  <c r="AF1193" i="2"/>
  <c r="Y1193" i="2"/>
  <c r="R1192" i="2"/>
  <c r="K1192" i="2"/>
  <c r="AF1192" i="2"/>
  <c r="Y1192" i="2"/>
  <c r="R1191" i="2"/>
  <c r="K1191" i="2"/>
  <c r="AF1191" i="2"/>
  <c r="Y1191" i="2"/>
  <c r="R1190" i="2"/>
  <c r="K1190" i="2"/>
  <c r="AF1190" i="2"/>
  <c r="Y1190" i="2"/>
  <c r="R1189" i="2"/>
  <c r="K1189" i="2"/>
  <c r="AF1189" i="2"/>
  <c r="Y1189" i="2"/>
  <c r="R1188" i="2"/>
  <c r="K1188" i="2"/>
  <c r="AF1188" i="2"/>
  <c r="Y1188" i="2"/>
  <c r="R1187" i="2"/>
  <c r="K1187" i="2"/>
  <c r="AF1187" i="2"/>
  <c r="Y1187" i="2"/>
  <c r="R1186" i="2"/>
  <c r="K1186" i="2"/>
  <c r="AF1186" i="2"/>
  <c r="Y1186" i="2"/>
  <c r="R1185" i="2"/>
  <c r="K1185" i="2"/>
  <c r="AF1185" i="2"/>
  <c r="Y1185" i="2"/>
  <c r="R1184" i="2"/>
  <c r="K1184" i="2"/>
  <c r="AF1184" i="2"/>
  <c r="Y1184" i="2"/>
  <c r="R1183" i="2"/>
  <c r="K1183" i="2"/>
  <c r="AF1183" i="2"/>
  <c r="Y1183" i="2"/>
  <c r="R1182" i="2"/>
  <c r="K1182" i="2"/>
  <c r="AF1182" i="2"/>
  <c r="Y1182" i="2"/>
  <c r="R1181" i="2"/>
  <c r="K1181" i="2"/>
  <c r="AF1181" i="2"/>
  <c r="Y1181" i="2"/>
  <c r="R1180" i="2"/>
  <c r="K1180" i="2"/>
  <c r="AF1180" i="2"/>
  <c r="Y1180" i="2"/>
  <c r="R1179" i="2"/>
  <c r="K1179" i="2"/>
  <c r="AF1179" i="2"/>
  <c r="Y1179" i="2"/>
  <c r="R1178" i="2"/>
  <c r="K1178" i="2"/>
  <c r="AF1178" i="2"/>
  <c r="Y1178" i="2"/>
  <c r="R1177" i="2"/>
  <c r="K1177" i="2"/>
  <c r="AF1177" i="2"/>
  <c r="Y1177" i="2"/>
  <c r="R1176" i="2"/>
  <c r="K1176" i="2"/>
  <c r="AF1176" i="2"/>
  <c r="Y1176" i="2"/>
  <c r="R1175" i="2"/>
  <c r="K1175" i="2"/>
  <c r="AF1175" i="2"/>
  <c r="Y1175" i="2"/>
  <c r="R1174" i="2"/>
  <c r="K1174" i="2"/>
  <c r="AF1174" i="2"/>
  <c r="Y1174" i="2"/>
  <c r="R1173" i="2"/>
  <c r="K1173" i="2"/>
  <c r="AF1173" i="2"/>
  <c r="Y1173" i="2"/>
  <c r="R1172" i="2"/>
  <c r="K1172" i="2"/>
  <c r="AF1172" i="2"/>
  <c r="Y1172" i="2"/>
  <c r="R1171" i="2"/>
  <c r="K1171" i="2"/>
  <c r="AF1171" i="2"/>
  <c r="Y1171" i="2"/>
  <c r="R1170" i="2"/>
  <c r="K1170" i="2"/>
  <c r="AF1170" i="2"/>
  <c r="Y1170" i="2"/>
  <c r="R1169" i="2"/>
  <c r="K1169" i="2"/>
  <c r="AF1169" i="2"/>
  <c r="Y1169" i="2"/>
  <c r="R1168" i="2"/>
  <c r="K1168" i="2"/>
  <c r="AF1168" i="2"/>
  <c r="Y1168" i="2"/>
  <c r="R1167" i="2"/>
  <c r="K1167" i="2"/>
  <c r="AF1167" i="2"/>
  <c r="Y1167" i="2"/>
  <c r="R1166" i="2"/>
  <c r="K1166" i="2"/>
  <c r="AF1166" i="2"/>
  <c r="Y1166" i="2"/>
  <c r="R1165" i="2"/>
  <c r="K1165" i="2"/>
  <c r="AF1165" i="2"/>
  <c r="Y1165" i="2"/>
  <c r="R1164" i="2"/>
  <c r="K1164" i="2"/>
  <c r="AF1164" i="2"/>
  <c r="Y1164" i="2"/>
  <c r="R1163" i="2"/>
  <c r="K1163" i="2"/>
  <c r="AF1163" i="2"/>
  <c r="Y1163" i="2"/>
  <c r="R1162" i="2"/>
  <c r="K1162" i="2"/>
  <c r="AF1162" i="2"/>
  <c r="Y1162" i="2"/>
  <c r="R1161" i="2"/>
  <c r="K1161" i="2"/>
  <c r="AF1161" i="2"/>
  <c r="Y1161" i="2"/>
  <c r="R1160" i="2"/>
  <c r="K1160" i="2"/>
  <c r="AF1160" i="2"/>
  <c r="Y1160" i="2"/>
  <c r="R1159" i="2"/>
  <c r="K1159" i="2"/>
  <c r="AF1159" i="2"/>
  <c r="Y1159" i="2"/>
  <c r="R1158" i="2"/>
  <c r="K1158" i="2"/>
  <c r="AF1158" i="2"/>
  <c r="Y1158" i="2"/>
  <c r="R1157" i="2"/>
  <c r="K1157" i="2"/>
  <c r="AF1157" i="2"/>
  <c r="Y1157" i="2"/>
  <c r="R1156" i="2"/>
  <c r="K1156" i="2"/>
  <c r="AF1156" i="2"/>
  <c r="Y1156" i="2"/>
  <c r="R1155" i="2"/>
  <c r="K1155" i="2"/>
  <c r="AF1155" i="2"/>
  <c r="Y1155" i="2"/>
  <c r="R1154" i="2"/>
  <c r="K1154" i="2"/>
  <c r="AF1154" i="2"/>
  <c r="Y1154" i="2"/>
  <c r="R1153" i="2"/>
  <c r="K1153" i="2"/>
  <c r="AF1153" i="2"/>
  <c r="Y1153" i="2"/>
  <c r="R1152" i="2"/>
  <c r="K1152" i="2"/>
  <c r="AF1152" i="2"/>
  <c r="Y1152" i="2"/>
  <c r="R1151" i="2"/>
  <c r="K1151" i="2"/>
  <c r="AF1151" i="2"/>
  <c r="Y1151" i="2"/>
  <c r="R1150" i="2"/>
  <c r="K1150" i="2"/>
  <c r="AF1150" i="2"/>
  <c r="Y1150" i="2"/>
  <c r="R1149" i="2"/>
  <c r="K1149" i="2"/>
  <c r="AF1149" i="2"/>
  <c r="Y1149" i="2"/>
  <c r="R1148" i="2"/>
  <c r="K1148" i="2"/>
  <c r="AF1148" i="2"/>
  <c r="Y1148" i="2"/>
  <c r="R1147" i="2"/>
  <c r="K1147" i="2"/>
  <c r="AF1147" i="2"/>
  <c r="Y1147" i="2"/>
  <c r="R1146" i="2"/>
  <c r="K1146" i="2"/>
  <c r="AF1146" i="2"/>
  <c r="Y1146" i="2"/>
  <c r="R1145" i="2"/>
  <c r="K1145" i="2"/>
  <c r="AF1145" i="2"/>
  <c r="Y1145" i="2"/>
  <c r="R1144" i="2"/>
  <c r="K1144" i="2"/>
  <c r="AF1144" i="2"/>
  <c r="Y1144" i="2"/>
  <c r="R1143" i="2"/>
  <c r="K1143" i="2"/>
  <c r="AF1143" i="2"/>
  <c r="Y1143" i="2"/>
  <c r="R1142" i="2"/>
  <c r="K1142" i="2"/>
  <c r="AF1142" i="2"/>
  <c r="Y1142" i="2"/>
  <c r="R1141" i="2"/>
  <c r="K1141" i="2"/>
  <c r="AF1141" i="2"/>
  <c r="Y1141" i="2"/>
  <c r="R1140" i="2"/>
  <c r="K1140" i="2"/>
  <c r="AF1140" i="2"/>
  <c r="Y1140" i="2"/>
  <c r="R1139" i="2"/>
  <c r="K1139" i="2"/>
  <c r="AF1139" i="2"/>
  <c r="Y1139" i="2"/>
  <c r="R1138" i="2"/>
  <c r="K1138" i="2"/>
  <c r="AF1138" i="2"/>
  <c r="Y1138" i="2"/>
  <c r="R1137" i="2"/>
  <c r="K1137" i="2"/>
  <c r="AF1137" i="2"/>
  <c r="Y1137" i="2"/>
  <c r="R1136" i="2"/>
  <c r="K1136" i="2"/>
  <c r="AF1136" i="2"/>
  <c r="Y1136" i="2"/>
  <c r="R1135" i="2"/>
  <c r="K1135" i="2"/>
  <c r="AF1135" i="2"/>
  <c r="Y1135" i="2"/>
  <c r="R1134" i="2"/>
  <c r="K1134" i="2"/>
  <c r="AF1134" i="2"/>
  <c r="Y1134" i="2"/>
  <c r="R1133" i="2"/>
  <c r="K1133" i="2"/>
  <c r="AF1133" i="2"/>
  <c r="Y1133" i="2"/>
  <c r="R1132" i="2"/>
  <c r="K1132" i="2"/>
  <c r="AF1132" i="2"/>
  <c r="Y1132" i="2"/>
  <c r="R1131" i="2"/>
  <c r="K1131" i="2"/>
  <c r="AF1131" i="2"/>
  <c r="Y1131" i="2"/>
  <c r="R1130" i="2"/>
  <c r="K1130" i="2"/>
  <c r="AF1130" i="2"/>
  <c r="Y1130" i="2"/>
  <c r="R1129" i="2"/>
  <c r="K1129" i="2"/>
  <c r="AF1129" i="2"/>
  <c r="Y1129" i="2"/>
  <c r="R1128" i="2"/>
  <c r="K1128" i="2"/>
  <c r="AF1128" i="2"/>
  <c r="Y1128" i="2"/>
  <c r="R1127" i="2"/>
  <c r="K1127" i="2"/>
  <c r="AF1127" i="2"/>
  <c r="Y1127" i="2"/>
  <c r="R1126" i="2"/>
  <c r="K1126" i="2"/>
  <c r="AF1126" i="2"/>
  <c r="Y1126" i="2"/>
  <c r="R1125" i="2"/>
  <c r="K1125" i="2"/>
  <c r="AF1125" i="2"/>
  <c r="Y1125" i="2"/>
  <c r="R1124" i="2"/>
  <c r="K1124" i="2"/>
  <c r="AF1124" i="2"/>
  <c r="Y1124" i="2"/>
  <c r="R1123" i="2"/>
  <c r="K1123" i="2"/>
  <c r="AF1123" i="2"/>
  <c r="Y1123" i="2"/>
  <c r="R1122" i="2"/>
  <c r="K1122" i="2"/>
  <c r="AF1122" i="2"/>
  <c r="Y1122" i="2"/>
  <c r="R1121" i="2"/>
  <c r="K1121" i="2"/>
  <c r="AF1121" i="2"/>
  <c r="Y1121" i="2"/>
  <c r="R1120" i="2"/>
  <c r="K1120" i="2"/>
  <c r="AF1120" i="2"/>
  <c r="Y1120" i="2"/>
  <c r="R1119" i="2"/>
  <c r="K1119" i="2"/>
  <c r="AF1119" i="2"/>
  <c r="Y1119" i="2"/>
  <c r="R1118" i="2"/>
  <c r="K1118" i="2"/>
  <c r="AF1118" i="2"/>
  <c r="Y1118" i="2"/>
  <c r="R1117" i="2"/>
  <c r="K1117" i="2"/>
  <c r="AF1117" i="2"/>
  <c r="Y1117" i="2"/>
  <c r="R1116" i="2"/>
  <c r="K1116" i="2"/>
  <c r="AF1116" i="2"/>
  <c r="Y1116" i="2"/>
  <c r="R1115" i="2"/>
  <c r="K1115" i="2"/>
  <c r="AF1115" i="2"/>
  <c r="Y1115" i="2"/>
  <c r="R1114" i="2"/>
  <c r="K1114" i="2"/>
  <c r="AF1114" i="2"/>
  <c r="Y1114" i="2"/>
  <c r="R1113" i="2"/>
  <c r="K1113" i="2"/>
  <c r="AF1113" i="2"/>
  <c r="Y1113" i="2"/>
  <c r="R1112" i="2"/>
  <c r="K1112" i="2"/>
  <c r="AF1112" i="2"/>
  <c r="Y1112" i="2"/>
  <c r="R1111" i="2"/>
  <c r="K1111" i="2"/>
  <c r="AF1111" i="2"/>
  <c r="Y1111" i="2"/>
  <c r="R1110" i="2"/>
  <c r="K1110" i="2"/>
  <c r="AF1110" i="2"/>
  <c r="Y1110" i="2"/>
  <c r="R1109" i="2"/>
  <c r="K1109" i="2"/>
  <c r="AF1109" i="2"/>
  <c r="Y1109" i="2"/>
  <c r="R1108" i="2"/>
  <c r="K1108" i="2"/>
  <c r="AF1108" i="2"/>
  <c r="Y1108" i="2"/>
  <c r="R1107" i="2"/>
  <c r="K1107" i="2"/>
  <c r="AF1107" i="2"/>
  <c r="Y1107" i="2"/>
  <c r="R1106" i="2"/>
  <c r="K1106" i="2"/>
  <c r="AF1106" i="2"/>
  <c r="Y1106" i="2"/>
  <c r="R1105" i="2"/>
  <c r="K1105" i="2"/>
  <c r="AF1105" i="2"/>
  <c r="Y1105" i="2"/>
  <c r="R1104" i="2"/>
  <c r="K1104" i="2"/>
  <c r="AF1104" i="2"/>
  <c r="Y1104" i="2"/>
  <c r="R1103" i="2"/>
  <c r="K1103" i="2"/>
  <c r="AF1103" i="2"/>
  <c r="Y1103" i="2"/>
  <c r="R1102" i="2"/>
  <c r="K1102" i="2"/>
  <c r="AF1102" i="2"/>
  <c r="Y1102" i="2"/>
  <c r="R1101" i="2"/>
  <c r="K1101" i="2"/>
  <c r="AF1101" i="2"/>
  <c r="Y1101" i="2"/>
  <c r="R1100" i="2"/>
  <c r="K1100" i="2"/>
  <c r="AF1100" i="2"/>
  <c r="Y1100" i="2"/>
  <c r="R1099" i="2"/>
  <c r="K1099" i="2"/>
  <c r="AF1099" i="2"/>
  <c r="Y1099" i="2"/>
  <c r="R1098" i="2"/>
  <c r="K1098" i="2"/>
  <c r="AF1098" i="2"/>
  <c r="Y1098" i="2"/>
  <c r="R1097" i="2"/>
  <c r="K1097" i="2"/>
  <c r="AF1097" i="2"/>
  <c r="Y1097" i="2"/>
  <c r="R1096" i="2"/>
  <c r="K1096" i="2"/>
  <c r="AF1096" i="2"/>
  <c r="Y1096" i="2"/>
  <c r="R1095" i="2"/>
  <c r="K1095" i="2"/>
  <c r="AF1095" i="2"/>
  <c r="Y1095" i="2"/>
  <c r="R1094" i="2"/>
  <c r="K1094" i="2"/>
  <c r="AF1094" i="2"/>
  <c r="Y1094" i="2"/>
  <c r="R1093" i="2"/>
  <c r="K1093" i="2"/>
  <c r="AF1093" i="2"/>
  <c r="Y1093" i="2"/>
  <c r="R1092" i="2"/>
  <c r="K1092" i="2"/>
  <c r="AF1092" i="2"/>
  <c r="Y1092" i="2"/>
  <c r="R1091" i="2"/>
  <c r="K1091" i="2"/>
  <c r="AF1091" i="2"/>
  <c r="Y1091" i="2"/>
  <c r="R1090" i="2"/>
  <c r="K1090" i="2"/>
  <c r="AF1090" i="2"/>
  <c r="Y1090" i="2"/>
  <c r="R1089" i="2"/>
  <c r="K1089" i="2"/>
  <c r="AF1089" i="2"/>
  <c r="Y1089" i="2"/>
  <c r="R1088" i="2"/>
  <c r="K1088" i="2"/>
  <c r="AF1088" i="2"/>
  <c r="Y1088" i="2"/>
  <c r="R1087" i="2"/>
  <c r="K1087" i="2"/>
  <c r="AF1087" i="2"/>
  <c r="Y1087" i="2"/>
  <c r="R1086" i="2"/>
  <c r="K1086" i="2"/>
  <c r="AF1086" i="2"/>
  <c r="Y1086" i="2"/>
  <c r="R1085" i="2"/>
  <c r="K1085" i="2"/>
  <c r="AF1085" i="2"/>
  <c r="Y1085" i="2"/>
  <c r="R1084" i="2"/>
  <c r="K1084" i="2"/>
  <c r="AF1084" i="2"/>
  <c r="Y1084" i="2"/>
  <c r="R1083" i="2"/>
  <c r="K1083" i="2"/>
  <c r="AF1083" i="2"/>
  <c r="Y1083" i="2"/>
  <c r="R1082" i="2"/>
  <c r="K1082" i="2"/>
  <c r="AF1082" i="2"/>
  <c r="Y1082" i="2"/>
  <c r="R1081" i="2"/>
  <c r="K1081" i="2"/>
  <c r="AF1081" i="2"/>
  <c r="Y1081" i="2"/>
  <c r="R1080" i="2"/>
  <c r="K1080" i="2"/>
  <c r="AF1080" i="2"/>
  <c r="Y1080" i="2"/>
  <c r="R1079" i="2"/>
  <c r="K1079" i="2"/>
  <c r="AF1079" i="2"/>
  <c r="Y1079" i="2"/>
  <c r="R1078" i="2"/>
  <c r="K1078" i="2"/>
  <c r="AF1078" i="2"/>
  <c r="Y1078" i="2"/>
  <c r="R1077" i="2"/>
  <c r="K1077" i="2"/>
  <c r="AF1077" i="2"/>
  <c r="Y1077" i="2"/>
  <c r="R1076" i="2"/>
  <c r="K1076" i="2"/>
  <c r="AF1076" i="2"/>
  <c r="Y1076" i="2"/>
  <c r="R1075" i="2"/>
  <c r="K1075" i="2"/>
  <c r="AF1075" i="2"/>
  <c r="Y1075" i="2"/>
  <c r="R1074" i="2"/>
  <c r="K1074" i="2"/>
  <c r="AF1074" i="2"/>
  <c r="Y1074" i="2"/>
  <c r="R1073" i="2"/>
  <c r="K1073" i="2"/>
  <c r="AF1073" i="2"/>
  <c r="Y1073" i="2"/>
  <c r="R1072" i="2"/>
  <c r="K1072" i="2"/>
  <c r="AF1072" i="2"/>
  <c r="Y1072" i="2"/>
  <c r="R1071" i="2"/>
  <c r="K1071" i="2"/>
  <c r="AF1071" i="2"/>
  <c r="Y1071" i="2"/>
  <c r="R1070" i="2"/>
  <c r="K1070" i="2"/>
  <c r="AF1070" i="2"/>
  <c r="Y1070" i="2"/>
  <c r="R1069" i="2"/>
  <c r="K1069" i="2"/>
  <c r="AF1069" i="2"/>
  <c r="Y1069" i="2"/>
  <c r="R1068" i="2"/>
  <c r="K1068" i="2"/>
  <c r="AF1068" i="2"/>
  <c r="Y1068" i="2"/>
  <c r="R1067" i="2"/>
  <c r="K1067" i="2"/>
  <c r="AF1067" i="2"/>
  <c r="Y1067" i="2"/>
  <c r="R1066" i="2"/>
  <c r="K1066" i="2"/>
  <c r="AF1066" i="2"/>
  <c r="Y1066" i="2"/>
  <c r="R1065" i="2"/>
  <c r="K1065" i="2"/>
  <c r="AF1065" i="2"/>
  <c r="Y1065" i="2"/>
  <c r="R1064" i="2"/>
  <c r="K1064" i="2"/>
  <c r="AF1064" i="2"/>
  <c r="Y1064" i="2"/>
  <c r="R1063" i="2"/>
  <c r="K1063" i="2"/>
  <c r="AF1063" i="2"/>
  <c r="Y1063" i="2"/>
  <c r="R1062" i="2"/>
  <c r="K1062" i="2"/>
  <c r="AF1062" i="2"/>
  <c r="Y1062" i="2"/>
  <c r="R1061" i="2"/>
  <c r="K1061" i="2"/>
  <c r="AF1061" i="2"/>
  <c r="Y1061" i="2"/>
  <c r="R1060" i="2"/>
  <c r="K1060" i="2"/>
  <c r="AF1060" i="2"/>
  <c r="Y1060" i="2"/>
  <c r="R1059" i="2"/>
  <c r="K1059" i="2"/>
  <c r="AF1059" i="2"/>
  <c r="Y1059" i="2"/>
  <c r="R1058" i="2"/>
  <c r="K1058" i="2"/>
  <c r="AF1058" i="2"/>
  <c r="Y1058" i="2"/>
  <c r="R1057" i="2"/>
  <c r="K1057" i="2"/>
  <c r="AF1057" i="2"/>
  <c r="Y1057" i="2"/>
  <c r="R1056" i="2"/>
  <c r="K1056" i="2"/>
  <c r="AF1056" i="2"/>
  <c r="Y1056" i="2"/>
  <c r="R1055" i="2"/>
  <c r="K1055" i="2"/>
  <c r="AF1055" i="2"/>
  <c r="Y1055" i="2"/>
  <c r="R1054" i="2"/>
  <c r="K1054" i="2"/>
  <c r="AF1054" i="2"/>
  <c r="Y1054" i="2"/>
  <c r="R1053" i="2"/>
  <c r="K1053" i="2"/>
  <c r="AF1053" i="2"/>
  <c r="Y1053" i="2"/>
  <c r="R1052" i="2"/>
  <c r="K1052" i="2"/>
  <c r="AF1052" i="2"/>
  <c r="Y1052" i="2"/>
  <c r="R1051" i="2"/>
  <c r="K1051" i="2"/>
  <c r="AF1051" i="2"/>
  <c r="Y1051" i="2"/>
  <c r="R1050" i="2"/>
  <c r="K1050" i="2"/>
  <c r="AF1050" i="2"/>
  <c r="Y1050" i="2"/>
  <c r="R1049" i="2"/>
  <c r="K1049" i="2"/>
  <c r="AF1049" i="2"/>
  <c r="Y1049" i="2"/>
  <c r="R1048" i="2"/>
  <c r="K1048" i="2"/>
  <c r="AF1048" i="2"/>
  <c r="Y1048" i="2"/>
  <c r="R1047" i="2"/>
  <c r="K1047" i="2"/>
  <c r="AF1047" i="2"/>
  <c r="Y1047" i="2"/>
  <c r="R1046" i="2"/>
  <c r="K1046" i="2"/>
  <c r="AF1046" i="2"/>
  <c r="Y1046" i="2"/>
  <c r="R1045" i="2"/>
  <c r="K1045" i="2"/>
  <c r="AF1045" i="2"/>
  <c r="Y1045" i="2"/>
  <c r="R1044" i="2"/>
  <c r="K1044" i="2"/>
  <c r="AF1044" i="2"/>
  <c r="Y1044" i="2"/>
  <c r="R1043" i="2"/>
  <c r="K1043" i="2"/>
  <c r="AF1043" i="2"/>
  <c r="Y1043" i="2"/>
  <c r="R1042" i="2"/>
  <c r="K1042" i="2"/>
  <c r="AF1042" i="2"/>
  <c r="Y1042" i="2"/>
  <c r="R1041" i="2"/>
  <c r="K1041" i="2"/>
  <c r="AF1041" i="2"/>
  <c r="Y1041" i="2"/>
  <c r="R1040" i="2"/>
  <c r="K1040" i="2"/>
  <c r="AF1040" i="2"/>
  <c r="Y1040" i="2"/>
  <c r="R1039" i="2"/>
  <c r="K1039" i="2"/>
  <c r="AF1039" i="2"/>
  <c r="Y1039" i="2"/>
  <c r="R1038" i="2"/>
  <c r="K1038" i="2"/>
  <c r="AF1038" i="2"/>
  <c r="Y1038" i="2"/>
  <c r="R1037" i="2"/>
  <c r="K1037" i="2"/>
  <c r="AF1037" i="2"/>
  <c r="Y1037" i="2"/>
  <c r="R1036" i="2"/>
  <c r="K1036" i="2"/>
  <c r="AF1036" i="2"/>
  <c r="Y1036" i="2"/>
  <c r="R1035" i="2"/>
  <c r="K1035" i="2"/>
  <c r="AF1035" i="2"/>
  <c r="Y1035" i="2"/>
  <c r="R1034" i="2"/>
  <c r="K1034" i="2"/>
  <c r="AF1034" i="2"/>
  <c r="Y1034" i="2"/>
  <c r="R1033" i="2"/>
  <c r="K1033" i="2"/>
  <c r="AF1033" i="2"/>
  <c r="Y1033" i="2"/>
  <c r="R1032" i="2"/>
  <c r="K1032" i="2"/>
  <c r="AF1032" i="2"/>
  <c r="Y1032" i="2"/>
  <c r="R1031" i="2"/>
  <c r="K1031" i="2"/>
  <c r="AF1031" i="2"/>
  <c r="Y1031" i="2"/>
  <c r="R1030" i="2"/>
  <c r="K1030" i="2"/>
  <c r="AF1030" i="2"/>
  <c r="Y1030" i="2"/>
  <c r="R1029" i="2"/>
  <c r="K1029" i="2"/>
  <c r="AF1029" i="2"/>
  <c r="Y1029" i="2"/>
  <c r="R1028" i="2"/>
  <c r="K1028" i="2"/>
  <c r="AF1028" i="2"/>
  <c r="Y1028" i="2"/>
  <c r="R1027" i="2"/>
  <c r="K1027" i="2"/>
  <c r="AF1027" i="2"/>
  <c r="Y1027" i="2"/>
  <c r="R1026" i="2"/>
  <c r="K1026" i="2"/>
  <c r="AF1026" i="2"/>
  <c r="Y1026" i="2"/>
  <c r="R1025" i="2"/>
  <c r="K1025" i="2"/>
  <c r="AF1025" i="2"/>
  <c r="Y1025" i="2"/>
  <c r="R1024" i="2"/>
  <c r="K1024" i="2"/>
  <c r="AF1024" i="2"/>
  <c r="Y1024" i="2"/>
  <c r="R1023" i="2"/>
  <c r="K1023" i="2"/>
  <c r="AF1023" i="2"/>
  <c r="Y1023" i="2"/>
  <c r="R1022" i="2"/>
  <c r="K1022" i="2"/>
  <c r="AF1022" i="2"/>
  <c r="Y1022" i="2"/>
  <c r="R1021" i="2"/>
  <c r="K1021" i="2"/>
  <c r="AF1021" i="2"/>
  <c r="Y1021" i="2"/>
  <c r="R1020" i="2"/>
  <c r="K1020" i="2"/>
  <c r="AF1020" i="2"/>
  <c r="Y1020" i="2"/>
  <c r="R1019" i="2"/>
  <c r="K1019" i="2"/>
  <c r="AF1019" i="2"/>
  <c r="Y1019" i="2"/>
  <c r="R1018" i="2"/>
  <c r="K1018" i="2"/>
  <c r="AF1018" i="2"/>
  <c r="Y1018" i="2"/>
  <c r="R1017" i="2"/>
  <c r="K1017" i="2"/>
  <c r="AF1017" i="2"/>
  <c r="Y1017" i="2"/>
  <c r="R1016" i="2"/>
  <c r="K1016" i="2"/>
  <c r="AF1016" i="2"/>
  <c r="Y1016" i="2"/>
  <c r="R1015" i="2"/>
  <c r="K1015" i="2"/>
  <c r="AF1015" i="2"/>
  <c r="Y1015" i="2"/>
  <c r="R1014" i="2"/>
  <c r="K1014" i="2"/>
  <c r="AF1014" i="2"/>
  <c r="Y1014" i="2"/>
  <c r="R1013" i="2"/>
  <c r="K1013" i="2"/>
  <c r="AF1013" i="2"/>
  <c r="Y1013" i="2"/>
  <c r="R1012" i="2"/>
  <c r="K1012" i="2"/>
  <c r="AF1012" i="2"/>
  <c r="Y1012" i="2"/>
  <c r="R1011" i="2"/>
  <c r="K1011" i="2"/>
  <c r="AF1011" i="2"/>
  <c r="Y1011" i="2"/>
  <c r="R1010" i="2"/>
  <c r="K1010" i="2"/>
  <c r="AF1010" i="2"/>
  <c r="Y1010" i="2"/>
  <c r="R1009" i="2"/>
  <c r="K1009" i="2"/>
  <c r="AF1009" i="2"/>
  <c r="Y1009" i="2"/>
  <c r="R1008" i="2"/>
  <c r="K1008" i="2"/>
  <c r="AF1008" i="2"/>
  <c r="Y1008" i="2"/>
  <c r="R1007" i="2"/>
  <c r="K1007" i="2"/>
  <c r="AF1007" i="2"/>
  <c r="Y1007" i="2"/>
  <c r="R1006" i="2"/>
  <c r="K1006" i="2"/>
  <c r="AF1006" i="2"/>
  <c r="Y1006" i="2"/>
  <c r="R1005" i="2"/>
  <c r="K1005" i="2"/>
  <c r="AF1005" i="2"/>
  <c r="Y1005" i="2"/>
  <c r="R1004" i="2"/>
  <c r="K1004" i="2"/>
  <c r="AF1004" i="2"/>
  <c r="Y1004" i="2"/>
  <c r="R1003" i="2"/>
  <c r="K1003" i="2"/>
  <c r="AF1003" i="2"/>
  <c r="Y1003" i="2"/>
  <c r="R1002" i="2"/>
  <c r="K1002" i="2"/>
  <c r="AF1002" i="2"/>
  <c r="Y1002" i="2"/>
  <c r="R1001" i="2"/>
  <c r="K1001" i="2"/>
  <c r="AF1001" i="2"/>
  <c r="Y1001" i="2"/>
  <c r="R1000" i="2"/>
  <c r="K1000" i="2"/>
  <c r="AF1000" i="2"/>
  <c r="Y1000" i="2"/>
  <c r="R999" i="2"/>
  <c r="K999" i="2"/>
  <c r="AF999" i="2"/>
  <c r="Y999" i="2"/>
  <c r="R998" i="2"/>
  <c r="K998" i="2"/>
  <c r="AF998" i="2"/>
  <c r="Y998" i="2"/>
  <c r="R997" i="2"/>
  <c r="K997" i="2"/>
  <c r="AF997" i="2"/>
  <c r="Y997" i="2"/>
  <c r="R996" i="2"/>
  <c r="K996" i="2"/>
  <c r="AF996" i="2"/>
  <c r="Y996" i="2"/>
  <c r="R995" i="2"/>
  <c r="K995" i="2"/>
  <c r="AF995" i="2"/>
  <c r="Y995" i="2"/>
  <c r="R994" i="2"/>
  <c r="K994" i="2"/>
  <c r="AF994" i="2"/>
  <c r="Y994" i="2"/>
  <c r="R993" i="2"/>
  <c r="K993" i="2"/>
  <c r="AF993" i="2"/>
  <c r="Y993" i="2"/>
  <c r="R992" i="2"/>
  <c r="K992" i="2"/>
  <c r="AF992" i="2"/>
  <c r="Y992" i="2"/>
  <c r="R991" i="2"/>
  <c r="K991" i="2"/>
  <c r="AF991" i="2"/>
  <c r="Y991" i="2"/>
  <c r="R990" i="2"/>
  <c r="K990" i="2"/>
  <c r="AF990" i="2"/>
  <c r="Y990" i="2"/>
  <c r="R989" i="2"/>
  <c r="K989" i="2"/>
  <c r="AF989" i="2"/>
  <c r="Y989" i="2"/>
  <c r="R988" i="2"/>
  <c r="K988" i="2"/>
  <c r="AF988" i="2"/>
  <c r="Y988" i="2"/>
  <c r="R987" i="2"/>
  <c r="K987" i="2"/>
  <c r="AF987" i="2"/>
  <c r="Y987" i="2"/>
  <c r="R986" i="2"/>
  <c r="K986" i="2"/>
  <c r="AF986" i="2"/>
  <c r="Y986" i="2"/>
  <c r="R985" i="2"/>
  <c r="K985" i="2"/>
  <c r="AF985" i="2"/>
  <c r="Y985" i="2"/>
  <c r="R984" i="2"/>
  <c r="K984" i="2"/>
  <c r="AF984" i="2"/>
  <c r="Y984" i="2"/>
  <c r="R983" i="2"/>
  <c r="K983" i="2"/>
  <c r="AF983" i="2"/>
  <c r="Y983" i="2"/>
  <c r="R982" i="2"/>
  <c r="K982" i="2"/>
  <c r="AF982" i="2"/>
  <c r="Y982" i="2"/>
  <c r="R981" i="2"/>
  <c r="K981" i="2"/>
  <c r="AF981" i="2"/>
  <c r="Y981" i="2"/>
  <c r="R980" i="2"/>
  <c r="K980" i="2"/>
  <c r="AF980" i="2"/>
  <c r="Y980" i="2"/>
  <c r="R979" i="2"/>
  <c r="K979" i="2"/>
  <c r="AF979" i="2"/>
  <c r="Y979" i="2"/>
  <c r="R978" i="2"/>
  <c r="K978" i="2"/>
  <c r="AF978" i="2"/>
  <c r="Y978" i="2"/>
  <c r="R977" i="2"/>
  <c r="K977" i="2"/>
  <c r="AF977" i="2"/>
  <c r="Y977" i="2"/>
  <c r="R976" i="2"/>
  <c r="K976" i="2"/>
  <c r="AF976" i="2"/>
  <c r="Y976" i="2"/>
  <c r="R975" i="2"/>
  <c r="K975" i="2"/>
  <c r="AF975" i="2"/>
  <c r="Y975" i="2"/>
  <c r="R974" i="2"/>
  <c r="K974" i="2"/>
  <c r="AF974" i="2"/>
  <c r="Y974" i="2"/>
  <c r="R973" i="2"/>
  <c r="K973" i="2"/>
  <c r="AF973" i="2"/>
  <c r="Y973" i="2"/>
  <c r="R972" i="2"/>
  <c r="K972" i="2"/>
  <c r="AF972" i="2"/>
  <c r="Y972" i="2"/>
  <c r="R971" i="2"/>
  <c r="K971" i="2"/>
  <c r="AF971" i="2"/>
  <c r="Y971" i="2"/>
  <c r="R970" i="2"/>
  <c r="K970" i="2"/>
  <c r="AF970" i="2"/>
  <c r="Y970" i="2"/>
  <c r="R969" i="2"/>
  <c r="K969" i="2"/>
  <c r="AF969" i="2"/>
  <c r="Y969" i="2"/>
  <c r="R968" i="2"/>
  <c r="K968" i="2"/>
  <c r="AF968" i="2"/>
  <c r="Y968" i="2"/>
  <c r="R967" i="2"/>
  <c r="K967" i="2"/>
  <c r="AF967" i="2"/>
  <c r="Y967" i="2"/>
  <c r="R966" i="2"/>
  <c r="K966" i="2"/>
  <c r="AF966" i="2"/>
  <c r="Y966" i="2"/>
  <c r="R965" i="2"/>
  <c r="K965" i="2"/>
  <c r="AF965" i="2"/>
  <c r="Y965" i="2"/>
  <c r="R964" i="2"/>
  <c r="K964" i="2"/>
  <c r="AF964" i="2"/>
  <c r="Y964" i="2"/>
  <c r="R963" i="2"/>
  <c r="K963" i="2"/>
  <c r="AF963" i="2"/>
  <c r="Y963" i="2"/>
  <c r="R962" i="2"/>
  <c r="K962" i="2"/>
  <c r="AF962" i="2"/>
  <c r="Y962" i="2"/>
  <c r="R961" i="2"/>
  <c r="K961" i="2"/>
  <c r="AF961" i="2"/>
  <c r="Y961" i="2"/>
  <c r="R960" i="2"/>
  <c r="K960" i="2"/>
  <c r="AF960" i="2"/>
  <c r="Y960" i="2"/>
  <c r="R959" i="2"/>
  <c r="K959" i="2"/>
  <c r="AF959" i="2"/>
  <c r="Y959" i="2"/>
  <c r="R958" i="2"/>
  <c r="K958" i="2"/>
  <c r="AF958" i="2"/>
  <c r="Y958" i="2"/>
  <c r="R957" i="2"/>
  <c r="K957" i="2"/>
  <c r="AF957" i="2"/>
  <c r="Y957" i="2"/>
  <c r="R956" i="2"/>
  <c r="K956" i="2"/>
  <c r="AF956" i="2"/>
  <c r="Y956" i="2"/>
  <c r="R955" i="2"/>
  <c r="K955" i="2"/>
  <c r="AF955" i="2"/>
  <c r="Y955" i="2"/>
  <c r="R954" i="2"/>
  <c r="K954" i="2"/>
  <c r="AF954" i="2"/>
  <c r="Y954" i="2"/>
  <c r="R953" i="2"/>
  <c r="K953" i="2"/>
  <c r="AF953" i="2"/>
  <c r="Y953" i="2"/>
  <c r="R952" i="2"/>
  <c r="K952" i="2"/>
  <c r="AF952" i="2"/>
  <c r="Y952" i="2"/>
  <c r="R951" i="2"/>
  <c r="K951" i="2"/>
  <c r="AF951" i="2"/>
  <c r="Y951" i="2"/>
  <c r="R950" i="2"/>
  <c r="K950" i="2"/>
  <c r="AF950" i="2"/>
  <c r="Y950" i="2"/>
  <c r="R949" i="2"/>
  <c r="K949" i="2"/>
  <c r="AF949" i="2"/>
  <c r="Y949" i="2"/>
  <c r="R948" i="2"/>
  <c r="K948" i="2"/>
  <c r="AF948" i="2"/>
  <c r="Y948" i="2"/>
  <c r="R947" i="2"/>
  <c r="K947" i="2"/>
  <c r="AF947" i="2"/>
  <c r="Y947" i="2"/>
  <c r="R946" i="2"/>
  <c r="K946" i="2"/>
  <c r="AF946" i="2"/>
  <c r="Y946" i="2"/>
  <c r="R945" i="2"/>
  <c r="K945" i="2"/>
  <c r="AF945" i="2"/>
  <c r="Y945" i="2"/>
  <c r="R944" i="2"/>
  <c r="K944" i="2"/>
  <c r="AF944" i="2"/>
  <c r="Y944" i="2"/>
  <c r="R943" i="2"/>
  <c r="K943" i="2"/>
  <c r="AF943" i="2"/>
  <c r="Y943" i="2"/>
  <c r="R942" i="2"/>
  <c r="K942" i="2"/>
  <c r="AF942" i="2"/>
  <c r="Y942" i="2"/>
  <c r="R941" i="2"/>
  <c r="K941" i="2"/>
  <c r="AF941" i="2"/>
  <c r="Y941" i="2"/>
  <c r="R940" i="2"/>
  <c r="K940" i="2"/>
  <c r="AF940" i="2"/>
  <c r="Y940" i="2"/>
  <c r="R939" i="2"/>
  <c r="K939" i="2"/>
  <c r="AF939" i="2"/>
  <c r="Y939" i="2"/>
  <c r="R938" i="2"/>
  <c r="K938" i="2"/>
  <c r="AF938" i="2"/>
  <c r="Y938" i="2"/>
  <c r="R937" i="2"/>
  <c r="K937" i="2"/>
  <c r="AF937" i="2"/>
  <c r="Y937" i="2"/>
  <c r="R936" i="2"/>
  <c r="K936" i="2"/>
  <c r="AF936" i="2"/>
  <c r="Y936" i="2"/>
  <c r="R935" i="2"/>
  <c r="K935" i="2"/>
  <c r="AF935" i="2"/>
  <c r="Y935" i="2"/>
  <c r="R934" i="2"/>
  <c r="K934" i="2"/>
  <c r="AF934" i="2"/>
  <c r="Y934" i="2"/>
  <c r="R933" i="2"/>
  <c r="K933" i="2"/>
  <c r="AF933" i="2"/>
  <c r="Y933" i="2"/>
  <c r="R932" i="2"/>
  <c r="K932" i="2"/>
  <c r="AF932" i="2"/>
  <c r="Y932" i="2"/>
  <c r="R931" i="2"/>
  <c r="K931" i="2"/>
  <c r="AF931" i="2"/>
  <c r="Y931" i="2"/>
  <c r="R930" i="2"/>
  <c r="K930" i="2"/>
  <c r="AF930" i="2"/>
  <c r="Y930" i="2"/>
  <c r="R929" i="2"/>
  <c r="K929" i="2"/>
  <c r="AF929" i="2"/>
  <c r="Y929" i="2"/>
  <c r="R928" i="2"/>
  <c r="K928" i="2"/>
  <c r="AF928" i="2"/>
  <c r="Y928" i="2"/>
  <c r="R927" i="2"/>
  <c r="K927" i="2"/>
  <c r="AF927" i="2"/>
  <c r="Y927" i="2"/>
  <c r="R926" i="2"/>
  <c r="K926" i="2"/>
  <c r="AF926" i="2"/>
  <c r="Y926" i="2"/>
  <c r="R925" i="2"/>
  <c r="K925" i="2"/>
  <c r="AF925" i="2"/>
  <c r="Y925" i="2"/>
  <c r="R924" i="2"/>
  <c r="K924" i="2"/>
  <c r="AF924" i="2"/>
  <c r="Y924" i="2"/>
  <c r="R923" i="2"/>
  <c r="K923" i="2"/>
  <c r="AF923" i="2"/>
  <c r="Y923" i="2"/>
  <c r="R922" i="2"/>
  <c r="K922" i="2"/>
  <c r="AF922" i="2"/>
  <c r="Y922" i="2"/>
  <c r="R921" i="2"/>
  <c r="K921" i="2"/>
  <c r="AF921" i="2"/>
  <c r="Y921" i="2"/>
  <c r="R920" i="2"/>
  <c r="K920" i="2"/>
  <c r="AF920" i="2"/>
  <c r="Y920" i="2"/>
  <c r="R919" i="2"/>
  <c r="K919" i="2"/>
  <c r="AF919" i="2"/>
  <c r="Y919" i="2"/>
  <c r="R918" i="2"/>
  <c r="K918" i="2"/>
  <c r="AF918" i="2"/>
  <c r="Y918" i="2"/>
  <c r="R917" i="2"/>
  <c r="K917" i="2"/>
  <c r="AF917" i="2"/>
  <c r="Y917" i="2"/>
  <c r="R916" i="2"/>
  <c r="K916" i="2"/>
  <c r="AF916" i="2"/>
  <c r="Y916" i="2"/>
  <c r="R915" i="2"/>
  <c r="K915" i="2"/>
  <c r="AF915" i="2"/>
  <c r="Y915" i="2"/>
  <c r="R914" i="2"/>
  <c r="K914" i="2"/>
  <c r="AF914" i="2"/>
  <c r="Y914" i="2"/>
  <c r="R913" i="2"/>
  <c r="K913" i="2"/>
  <c r="AF913" i="2"/>
  <c r="Y913" i="2"/>
  <c r="R912" i="2"/>
  <c r="K912" i="2"/>
  <c r="AF912" i="2"/>
  <c r="Y912" i="2"/>
  <c r="R911" i="2"/>
  <c r="K911" i="2"/>
  <c r="AF911" i="2"/>
  <c r="Y911" i="2"/>
  <c r="R910" i="2"/>
  <c r="K910" i="2"/>
  <c r="AF910" i="2"/>
  <c r="Y910" i="2"/>
  <c r="R909" i="2"/>
  <c r="K909" i="2"/>
  <c r="AF909" i="2"/>
  <c r="Y909" i="2"/>
  <c r="R908" i="2"/>
  <c r="K908" i="2"/>
  <c r="AF908" i="2"/>
  <c r="Y908" i="2"/>
  <c r="R907" i="2"/>
  <c r="K907" i="2"/>
  <c r="AF907" i="2"/>
  <c r="Y907" i="2"/>
  <c r="R906" i="2"/>
  <c r="K906" i="2"/>
  <c r="AF906" i="2"/>
  <c r="Y906" i="2"/>
  <c r="R905" i="2"/>
  <c r="K905" i="2"/>
  <c r="AF905" i="2"/>
  <c r="Y905" i="2"/>
  <c r="R904" i="2"/>
  <c r="K904" i="2"/>
  <c r="AF904" i="2"/>
  <c r="Y904" i="2"/>
  <c r="R903" i="2"/>
  <c r="K903" i="2"/>
  <c r="AF903" i="2"/>
  <c r="Y903" i="2"/>
  <c r="R902" i="2"/>
  <c r="K902" i="2"/>
  <c r="AF902" i="2"/>
  <c r="Y902" i="2"/>
  <c r="R901" i="2"/>
  <c r="K901" i="2"/>
  <c r="AF901" i="2"/>
  <c r="Y901" i="2"/>
  <c r="R900" i="2"/>
  <c r="K900" i="2"/>
  <c r="AF900" i="2"/>
  <c r="Y900" i="2"/>
  <c r="R899" i="2"/>
  <c r="K899" i="2"/>
  <c r="AF899" i="2"/>
  <c r="Y899" i="2"/>
  <c r="R898" i="2"/>
  <c r="K898" i="2"/>
  <c r="AF898" i="2"/>
  <c r="Y898" i="2"/>
  <c r="R897" i="2"/>
  <c r="K897" i="2"/>
  <c r="AF897" i="2"/>
  <c r="Y897" i="2"/>
  <c r="R896" i="2"/>
  <c r="K896" i="2"/>
  <c r="AF896" i="2"/>
  <c r="Y896" i="2"/>
  <c r="R895" i="2"/>
  <c r="K895" i="2"/>
  <c r="AF895" i="2"/>
  <c r="Y895" i="2"/>
  <c r="R894" i="2"/>
  <c r="K894" i="2"/>
  <c r="AF894" i="2"/>
  <c r="Y894" i="2"/>
  <c r="R893" i="2"/>
  <c r="K893" i="2"/>
  <c r="AF893" i="2"/>
  <c r="Y893" i="2"/>
  <c r="R892" i="2"/>
  <c r="K892" i="2"/>
  <c r="AF892" i="2"/>
  <c r="Y892" i="2"/>
  <c r="R891" i="2"/>
  <c r="K891" i="2"/>
  <c r="AF891" i="2"/>
  <c r="Y891" i="2"/>
  <c r="R890" i="2"/>
  <c r="K890" i="2"/>
  <c r="AF890" i="2"/>
  <c r="Y890" i="2"/>
  <c r="R889" i="2"/>
  <c r="K889" i="2"/>
  <c r="AF889" i="2"/>
  <c r="Y889" i="2"/>
  <c r="R888" i="2"/>
  <c r="K888" i="2"/>
  <c r="AF888" i="2"/>
  <c r="Y888" i="2"/>
  <c r="R887" i="2"/>
  <c r="K887" i="2"/>
  <c r="AF887" i="2"/>
  <c r="Y887" i="2"/>
  <c r="R886" i="2"/>
  <c r="K886" i="2"/>
  <c r="AF886" i="2"/>
  <c r="Y886" i="2"/>
  <c r="R885" i="2"/>
  <c r="K885" i="2"/>
  <c r="AF885" i="2"/>
  <c r="Y885" i="2"/>
  <c r="R884" i="2"/>
  <c r="K884" i="2"/>
  <c r="AF884" i="2"/>
  <c r="Y884" i="2"/>
  <c r="R883" i="2"/>
  <c r="K883" i="2"/>
  <c r="AF883" i="2"/>
  <c r="Y883" i="2"/>
  <c r="R882" i="2"/>
  <c r="K882" i="2"/>
  <c r="AF882" i="2"/>
  <c r="Y882" i="2"/>
  <c r="R881" i="2"/>
  <c r="K881" i="2"/>
  <c r="AF881" i="2"/>
  <c r="Y881" i="2"/>
  <c r="R880" i="2"/>
  <c r="K880" i="2"/>
  <c r="AF880" i="2"/>
  <c r="Y880" i="2"/>
  <c r="R879" i="2"/>
  <c r="K879" i="2"/>
  <c r="AF879" i="2"/>
  <c r="Y879" i="2"/>
  <c r="R878" i="2"/>
  <c r="K878" i="2"/>
  <c r="AF878" i="2"/>
  <c r="Y878" i="2"/>
  <c r="R877" i="2"/>
  <c r="K877" i="2"/>
  <c r="AF877" i="2"/>
  <c r="Y877" i="2"/>
  <c r="R876" i="2"/>
  <c r="K876" i="2"/>
  <c r="AF876" i="2"/>
  <c r="Y876" i="2"/>
  <c r="R875" i="2"/>
  <c r="K875" i="2"/>
  <c r="AF875" i="2"/>
  <c r="Y875" i="2"/>
  <c r="R874" i="2"/>
  <c r="K874" i="2"/>
  <c r="AF874" i="2"/>
  <c r="Y874" i="2"/>
  <c r="R873" i="2"/>
  <c r="K873" i="2"/>
  <c r="AF873" i="2"/>
  <c r="Y873" i="2"/>
  <c r="R872" i="2"/>
  <c r="K872" i="2"/>
  <c r="AF872" i="2"/>
  <c r="Y872" i="2"/>
  <c r="R871" i="2"/>
  <c r="K871" i="2"/>
  <c r="AF871" i="2"/>
  <c r="Y871" i="2"/>
  <c r="R870" i="2"/>
  <c r="K870" i="2"/>
  <c r="AF870" i="2"/>
  <c r="Y870" i="2"/>
  <c r="R869" i="2"/>
  <c r="K869" i="2"/>
  <c r="AF869" i="2"/>
  <c r="Y869" i="2"/>
  <c r="R868" i="2"/>
  <c r="K868" i="2"/>
  <c r="AF868" i="2"/>
  <c r="Y868" i="2"/>
  <c r="R867" i="2"/>
  <c r="K867" i="2"/>
  <c r="AF867" i="2"/>
  <c r="Y867" i="2"/>
  <c r="R866" i="2"/>
  <c r="K866" i="2"/>
  <c r="AF866" i="2"/>
  <c r="Y866" i="2"/>
  <c r="R865" i="2"/>
  <c r="K865" i="2"/>
  <c r="AF865" i="2"/>
  <c r="Y865" i="2"/>
  <c r="R864" i="2"/>
  <c r="K864" i="2"/>
  <c r="AF864" i="2"/>
  <c r="Y864" i="2"/>
  <c r="R863" i="2"/>
  <c r="K863" i="2"/>
  <c r="AF863" i="2"/>
  <c r="Y863" i="2"/>
  <c r="R862" i="2"/>
  <c r="K862" i="2"/>
  <c r="AF862" i="2"/>
  <c r="Y862" i="2"/>
  <c r="R861" i="2"/>
  <c r="K861" i="2"/>
  <c r="AF861" i="2"/>
  <c r="Y861" i="2"/>
  <c r="R860" i="2"/>
  <c r="K860" i="2"/>
  <c r="AF860" i="2"/>
  <c r="Y860" i="2"/>
  <c r="R859" i="2"/>
  <c r="K859" i="2"/>
  <c r="AF859" i="2"/>
  <c r="Y859" i="2"/>
  <c r="R858" i="2"/>
  <c r="K858" i="2"/>
  <c r="AF858" i="2"/>
  <c r="Y858" i="2"/>
  <c r="R857" i="2"/>
  <c r="K857" i="2"/>
  <c r="AF857" i="2"/>
  <c r="Y857" i="2"/>
  <c r="R856" i="2"/>
  <c r="K856" i="2"/>
  <c r="AF856" i="2"/>
  <c r="Y856" i="2"/>
  <c r="R855" i="2"/>
  <c r="K855" i="2"/>
  <c r="AF855" i="2"/>
  <c r="Y855" i="2"/>
  <c r="R854" i="2"/>
  <c r="K854" i="2"/>
  <c r="AF854" i="2"/>
  <c r="Y854" i="2"/>
  <c r="R853" i="2"/>
  <c r="K853" i="2"/>
  <c r="AF853" i="2"/>
  <c r="Y853" i="2"/>
  <c r="R852" i="2"/>
  <c r="K852" i="2"/>
  <c r="AF852" i="2"/>
  <c r="Y852" i="2"/>
  <c r="R851" i="2"/>
  <c r="K851" i="2"/>
  <c r="AF851" i="2"/>
  <c r="Y851" i="2"/>
  <c r="R850" i="2"/>
  <c r="K850" i="2"/>
  <c r="AF850" i="2"/>
  <c r="Y850" i="2"/>
  <c r="R849" i="2"/>
  <c r="K849" i="2"/>
  <c r="AF849" i="2"/>
  <c r="Y849" i="2"/>
  <c r="R848" i="2"/>
  <c r="K848" i="2"/>
  <c r="AF848" i="2"/>
  <c r="Y848" i="2"/>
  <c r="R847" i="2"/>
  <c r="K847" i="2"/>
  <c r="AF847" i="2"/>
  <c r="Y847" i="2"/>
  <c r="R846" i="2"/>
  <c r="K846" i="2"/>
  <c r="AF846" i="2"/>
  <c r="Y846" i="2"/>
  <c r="R845" i="2"/>
  <c r="K845" i="2"/>
  <c r="AF845" i="2"/>
  <c r="Y845" i="2"/>
  <c r="R844" i="2"/>
  <c r="K844" i="2"/>
  <c r="AF844" i="2"/>
  <c r="Y844" i="2"/>
  <c r="R843" i="2"/>
  <c r="K843" i="2"/>
  <c r="AF843" i="2"/>
  <c r="Y843" i="2"/>
  <c r="R842" i="2"/>
  <c r="K842" i="2"/>
  <c r="AF842" i="2"/>
  <c r="Y842" i="2"/>
  <c r="R841" i="2"/>
  <c r="K841" i="2"/>
  <c r="AF841" i="2"/>
  <c r="Y841" i="2"/>
  <c r="R840" i="2"/>
  <c r="K840" i="2"/>
  <c r="AF840" i="2"/>
  <c r="Y840" i="2"/>
  <c r="R839" i="2"/>
  <c r="K839" i="2"/>
  <c r="AF839" i="2"/>
  <c r="Y839" i="2"/>
  <c r="R838" i="2"/>
  <c r="K838" i="2"/>
  <c r="AF838" i="2"/>
  <c r="Y838" i="2"/>
  <c r="R837" i="2"/>
  <c r="K837" i="2"/>
  <c r="AF837" i="2"/>
  <c r="Y837" i="2"/>
  <c r="R836" i="2"/>
  <c r="K836" i="2"/>
  <c r="AF836" i="2"/>
  <c r="Y836" i="2"/>
  <c r="R835" i="2"/>
  <c r="K835" i="2"/>
  <c r="AF835" i="2"/>
  <c r="Y835" i="2"/>
  <c r="R834" i="2"/>
  <c r="K834" i="2"/>
  <c r="AF834" i="2"/>
  <c r="Y834" i="2"/>
  <c r="R833" i="2"/>
  <c r="K833" i="2"/>
  <c r="AF833" i="2"/>
  <c r="Y833" i="2"/>
  <c r="R832" i="2"/>
  <c r="K832" i="2"/>
  <c r="AF832" i="2"/>
  <c r="Y832" i="2"/>
  <c r="R831" i="2"/>
  <c r="K831" i="2"/>
  <c r="AF831" i="2"/>
  <c r="Y831" i="2"/>
  <c r="R830" i="2"/>
  <c r="K830" i="2"/>
  <c r="AF830" i="2"/>
  <c r="Y830" i="2"/>
  <c r="R829" i="2"/>
  <c r="K829" i="2"/>
  <c r="AF829" i="2"/>
  <c r="Y829" i="2"/>
  <c r="R828" i="2"/>
  <c r="K828" i="2"/>
  <c r="AF828" i="2"/>
  <c r="Y828" i="2"/>
  <c r="R827" i="2"/>
  <c r="K827" i="2"/>
  <c r="AF827" i="2"/>
  <c r="Y827" i="2"/>
  <c r="R826" i="2"/>
  <c r="K826" i="2"/>
  <c r="AF826" i="2"/>
  <c r="Y826" i="2"/>
  <c r="R825" i="2"/>
  <c r="K825" i="2"/>
  <c r="AF825" i="2"/>
  <c r="Y825" i="2"/>
  <c r="R824" i="2"/>
  <c r="K824" i="2"/>
  <c r="AF824" i="2"/>
  <c r="Y824" i="2"/>
  <c r="R823" i="2"/>
  <c r="K823" i="2"/>
  <c r="AF823" i="2"/>
  <c r="Y823" i="2"/>
  <c r="R822" i="2"/>
  <c r="K822" i="2"/>
  <c r="AF822" i="2"/>
  <c r="Y822" i="2"/>
  <c r="R821" i="2"/>
  <c r="K821" i="2"/>
  <c r="AF821" i="2"/>
  <c r="Y821" i="2"/>
  <c r="R820" i="2"/>
  <c r="K820" i="2"/>
  <c r="AF820" i="2"/>
  <c r="Y820" i="2"/>
  <c r="R819" i="2"/>
  <c r="K819" i="2"/>
  <c r="AF819" i="2"/>
  <c r="Y819" i="2"/>
  <c r="R818" i="2"/>
  <c r="K818" i="2"/>
  <c r="AF818" i="2"/>
  <c r="Y818" i="2"/>
  <c r="R817" i="2"/>
  <c r="K817" i="2"/>
  <c r="AF817" i="2"/>
  <c r="Y817" i="2"/>
  <c r="R816" i="2"/>
  <c r="K816" i="2"/>
  <c r="AF816" i="2"/>
  <c r="Y816" i="2"/>
  <c r="R815" i="2"/>
  <c r="K815" i="2"/>
  <c r="AF815" i="2"/>
  <c r="Y815" i="2"/>
  <c r="R814" i="2"/>
  <c r="K814" i="2"/>
  <c r="AF814" i="2"/>
  <c r="Y814" i="2"/>
  <c r="R813" i="2"/>
  <c r="K813" i="2"/>
  <c r="AF813" i="2"/>
  <c r="Y813" i="2"/>
  <c r="R812" i="2"/>
  <c r="K812" i="2"/>
  <c r="AF812" i="2"/>
  <c r="Y812" i="2"/>
  <c r="R811" i="2"/>
  <c r="K811" i="2"/>
  <c r="AF811" i="2"/>
  <c r="Y811" i="2"/>
  <c r="R810" i="2"/>
  <c r="K810" i="2"/>
  <c r="AF810" i="2"/>
  <c r="Y810" i="2"/>
  <c r="R809" i="2"/>
  <c r="K809" i="2"/>
  <c r="AF809" i="2"/>
  <c r="Y809" i="2"/>
  <c r="R808" i="2"/>
  <c r="K808" i="2"/>
  <c r="AF808" i="2"/>
  <c r="Y808" i="2"/>
  <c r="R807" i="2"/>
  <c r="K807" i="2"/>
  <c r="AF807" i="2"/>
  <c r="Y807" i="2"/>
  <c r="R806" i="2"/>
  <c r="K806" i="2"/>
  <c r="AF806" i="2"/>
  <c r="Y806" i="2"/>
  <c r="R805" i="2"/>
  <c r="K805" i="2"/>
  <c r="AF805" i="2"/>
  <c r="Y805" i="2"/>
  <c r="R804" i="2"/>
  <c r="K804" i="2"/>
  <c r="AF804" i="2"/>
  <c r="Y804" i="2"/>
  <c r="R803" i="2"/>
  <c r="K803" i="2"/>
  <c r="AF803" i="2"/>
  <c r="Y803" i="2"/>
  <c r="R802" i="2"/>
  <c r="K802" i="2"/>
  <c r="AF802" i="2"/>
  <c r="Y802" i="2"/>
  <c r="R801" i="2"/>
  <c r="K801" i="2"/>
  <c r="AF801" i="2"/>
  <c r="Y801" i="2"/>
  <c r="R800" i="2"/>
  <c r="K800" i="2"/>
  <c r="AF800" i="2"/>
  <c r="Y800" i="2"/>
  <c r="R799" i="2"/>
  <c r="K799" i="2"/>
  <c r="AF799" i="2"/>
  <c r="Y799" i="2"/>
  <c r="R798" i="2"/>
  <c r="K798" i="2"/>
  <c r="AF798" i="2"/>
  <c r="Y798" i="2"/>
  <c r="R797" i="2"/>
  <c r="K797" i="2"/>
  <c r="AF797" i="2"/>
  <c r="Y797" i="2"/>
  <c r="R796" i="2"/>
  <c r="K796" i="2"/>
  <c r="AF796" i="2"/>
  <c r="Y796" i="2"/>
  <c r="R795" i="2"/>
  <c r="K795" i="2"/>
  <c r="AF795" i="2"/>
  <c r="Y795" i="2"/>
  <c r="R794" i="2"/>
  <c r="K794" i="2"/>
  <c r="AF794" i="2"/>
  <c r="Y794" i="2"/>
  <c r="R793" i="2"/>
  <c r="K793" i="2"/>
  <c r="AF793" i="2"/>
  <c r="Y793" i="2"/>
  <c r="R792" i="2"/>
  <c r="K792" i="2"/>
  <c r="AF792" i="2"/>
  <c r="Y792" i="2"/>
  <c r="R791" i="2"/>
  <c r="K791" i="2"/>
  <c r="AF791" i="2"/>
  <c r="Y791" i="2"/>
  <c r="R790" i="2"/>
  <c r="K790" i="2"/>
  <c r="AF790" i="2"/>
  <c r="Y790" i="2"/>
  <c r="R789" i="2"/>
  <c r="K789" i="2"/>
  <c r="AF789" i="2"/>
  <c r="Y789" i="2"/>
  <c r="R788" i="2"/>
  <c r="K788" i="2"/>
  <c r="AF788" i="2"/>
  <c r="Y788" i="2"/>
  <c r="R787" i="2"/>
  <c r="K787" i="2"/>
  <c r="AF787" i="2"/>
  <c r="Y787" i="2"/>
  <c r="R786" i="2"/>
  <c r="K786" i="2"/>
  <c r="AF786" i="2"/>
  <c r="Y786" i="2"/>
  <c r="R785" i="2"/>
  <c r="K785" i="2"/>
  <c r="AF785" i="2"/>
  <c r="Y785" i="2"/>
  <c r="R784" i="2"/>
  <c r="K784" i="2"/>
  <c r="AF784" i="2"/>
  <c r="Y784" i="2"/>
  <c r="R783" i="2"/>
  <c r="K783" i="2"/>
  <c r="AF783" i="2"/>
  <c r="Y783" i="2"/>
  <c r="R782" i="2"/>
  <c r="K782" i="2"/>
  <c r="AF782" i="2"/>
  <c r="Y782" i="2"/>
  <c r="R781" i="2"/>
  <c r="K781" i="2"/>
  <c r="AF781" i="2"/>
  <c r="Y781" i="2"/>
  <c r="R780" i="2"/>
  <c r="K780" i="2"/>
  <c r="AF780" i="2"/>
  <c r="Y780" i="2"/>
  <c r="R779" i="2"/>
  <c r="K779" i="2"/>
  <c r="AF779" i="2"/>
  <c r="Y779" i="2"/>
  <c r="R778" i="2"/>
  <c r="K778" i="2"/>
  <c r="AF778" i="2"/>
  <c r="Y778" i="2"/>
  <c r="R777" i="2"/>
  <c r="K777" i="2"/>
  <c r="AF777" i="2"/>
  <c r="Y777" i="2"/>
  <c r="R776" i="2"/>
  <c r="K776" i="2"/>
  <c r="AF776" i="2"/>
  <c r="Y776" i="2"/>
  <c r="R775" i="2"/>
  <c r="K775" i="2"/>
  <c r="AF775" i="2"/>
  <c r="Y775" i="2"/>
  <c r="R774" i="2"/>
  <c r="K774" i="2"/>
  <c r="AF774" i="2"/>
  <c r="Y774" i="2"/>
  <c r="R773" i="2"/>
  <c r="K773" i="2"/>
  <c r="AF773" i="2"/>
  <c r="Y773" i="2"/>
  <c r="R772" i="2"/>
  <c r="K772" i="2"/>
  <c r="AF772" i="2"/>
  <c r="Y772" i="2"/>
  <c r="R771" i="2"/>
  <c r="K771" i="2"/>
  <c r="AF771" i="2"/>
  <c r="Y771" i="2"/>
  <c r="R770" i="2"/>
  <c r="K770" i="2"/>
  <c r="AF770" i="2"/>
  <c r="Y770" i="2"/>
  <c r="R769" i="2"/>
  <c r="K769" i="2"/>
  <c r="AF769" i="2"/>
  <c r="Y769" i="2"/>
  <c r="R768" i="2"/>
  <c r="K768" i="2"/>
  <c r="AF768" i="2"/>
  <c r="Y768" i="2"/>
  <c r="R767" i="2"/>
  <c r="K767" i="2"/>
  <c r="AF767" i="2"/>
  <c r="Y767" i="2"/>
  <c r="R766" i="2"/>
  <c r="K766" i="2"/>
  <c r="AF766" i="2"/>
  <c r="Y766" i="2"/>
  <c r="R765" i="2"/>
  <c r="K765" i="2"/>
  <c r="AF765" i="2"/>
  <c r="Y765" i="2"/>
  <c r="R764" i="2"/>
  <c r="K764" i="2"/>
  <c r="AF764" i="2"/>
  <c r="Y764" i="2"/>
  <c r="R763" i="2"/>
  <c r="K763" i="2"/>
  <c r="AF763" i="2"/>
  <c r="Y763" i="2"/>
  <c r="R762" i="2"/>
  <c r="K762" i="2"/>
  <c r="AF762" i="2"/>
  <c r="Y762" i="2"/>
  <c r="R761" i="2"/>
  <c r="K761" i="2"/>
  <c r="AF761" i="2"/>
  <c r="Y761" i="2"/>
  <c r="R760" i="2"/>
  <c r="K760" i="2"/>
  <c r="AF760" i="2"/>
  <c r="Y760" i="2"/>
  <c r="R759" i="2"/>
  <c r="K759" i="2"/>
  <c r="AF759" i="2"/>
  <c r="Y759" i="2"/>
  <c r="R758" i="2"/>
  <c r="K758" i="2"/>
  <c r="AF758" i="2"/>
  <c r="Y758" i="2"/>
  <c r="R757" i="2"/>
  <c r="K757" i="2"/>
  <c r="AF757" i="2"/>
  <c r="Y757" i="2"/>
  <c r="R756" i="2"/>
  <c r="K756" i="2"/>
  <c r="AF756" i="2"/>
  <c r="Y756" i="2"/>
  <c r="R755" i="2"/>
  <c r="K755" i="2"/>
  <c r="AF755" i="2"/>
  <c r="Y755" i="2"/>
  <c r="R754" i="2"/>
  <c r="K754" i="2"/>
  <c r="AF754" i="2"/>
  <c r="Y754" i="2"/>
  <c r="R753" i="2"/>
  <c r="K753" i="2"/>
  <c r="AF753" i="2"/>
  <c r="Y753" i="2"/>
  <c r="R752" i="2"/>
  <c r="K752" i="2"/>
  <c r="AF752" i="2"/>
  <c r="Y752" i="2"/>
  <c r="R751" i="2"/>
  <c r="K751" i="2"/>
  <c r="AF751" i="2"/>
  <c r="Y751" i="2"/>
  <c r="R750" i="2"/>
  <c r="K750" i="2"/>
  <c r="AF750" i="2"/>
  <c r="Y750" i="2"/>
  <c r="R749" i="2"/>
  <c r="K749" i="2"/>
  <c r="AF749" i="2"/>
  <c r="Y749" i="2"/>
  <c r="R748" i="2"/>
  <c r="K748" i="2"/>
  <c r="AF748" i="2"/>
  <c r="Y748" i="2"/>
  <c r="R747" i="2"/>
  <c r="K747" i="2"/>
  <c r="AF747" i="2"/>
  <c r="Y747" i="2"/>
  <c r="R746" i="2"/>
  <c r="K746" i="2"/>
  <c r="AF746" i="2"/>
  <c r="Y746" i="2"/>
  <c r="R745" i="2"/>
  <c r="K745" i="2"/>
  <c r="AF745" i="2"/>
  <c r="Y745" i="2"/>
  <c r="R744" i="2"/>
  <c r="K744" i="2"/>
  <c r="AF744" i="2"/>
  <c r="Y744" i="2"/>
  <c r="R743" i="2"/>
  <c r="K743" i="2"/>
  <c r="AF743" i="2"/>
  <c r="Y743" i="2"/>
  <c r="R742" i="2"/>
  <c r="K742" i="2"/>
  <c r="AF742" i="2"/>
  <c r="Y742" i="2"/>
  <c r="R741" i="2"/>
  <c r="K741" i="2"/>
  <c r="AF741" i="2"/>
  <c r="Y741" i="2"/>
  <c r="R740" i="2"/>
  <c r="K740" i="2"/>
  <c r="AF740" i="2"/>
  <c r="Y740" i="2"/>
  <c r="R739" i="2"/>
  <c r="K739" i="2"/>
  <c r="AF739" i="2"/>
  <c r="Y739" i="2"/>
  <c r="R738" i="2"/>
  <c r="K738" i="2"/>
  <c r="AF738" i="2"/>
  <c r="Y738" i="2"/>
  <c r="R737" i="2"/>
  <c r="K737" i="2"/>
  <c r="AF737" i="2"/>
  <c r="Y737" i="2"/>
  <c r="R736" i="2"/>
  <c r="K736" i="2"/>
  <c r="AF736" i="2"/>
  <c r="Y736" i="2"/>
  <c r="R735" i="2"/>
  <c r="K735" i="2"/>
  <c r="AF735" i="2"/>
  <c r="Y735" i="2"/>
  <c r="R734" i="2"/>
  <c r="K734" i="2"/>
  <c r="AF734" i="2"/>
  <c r="Y734" i="2"/>
  <c r="R733" i="2"/>
  <c r="K733" i="2"/>
  <c r="AF733" i="2"/>
  <c r="Y733" i="2"/>
  <c r="R732" i="2"/>
  <c r="K732" i="2"/>
  <c r="AF732" i="2"/>
  <c r="Y732" i="2"/>
  <c r="R731" i="2"/>
  <c r="K731" i="2"/>
  <c r="AF731" i="2"/>
  <c r="Y731" i="2"/>
  <c r="R730" i="2"/>
  <c r="K730" i="2"/>
  <c r="AF730" i="2"/>
  <c r="Y730" i="2"/>
  <c r="R729" i="2"/>
  <c r="K729" i="2"/>
  <c r="AF729" i="2"/>
  <c r="Y729" i="2"/>
  <c r="R728" i="2"/>
  <c r="K728" i="2"/>
  <c r="AF728" i="2"/>
  <c r="Y728" i="2"/>
  <c r="R727" i="2"/>
  <c r="K727" i="2"/>
  <c r="AF727" i="2"/>
  <c r="Y727" i="2"/>
  <c r="R726" i="2"/>
  <c r="K726" i="2"/>
  <c r="AF726" i="2"/>
  <c r="Y726" i="2"/>
  <c r="R725" i="2"/>
  <c r="K725" i="2"/>
  <c r="AF725" i="2"/>
  <c r="Y725" i="2"/>
  <c r="R724" i="2"/>
  <c r="K724" i="2"/>
  <c r="AF724" i="2"/>
  <c r="Y724" i="2"/>
  <c r="R723" i="2"/>
  <c r="K723" i="2"/>
  <c r="AF723" i="2"/>
  <c r="Y723" i="2"/>
  <c r="R722" i="2"/>
  <c r="K722" i="2"/>
  <c r="AF722" i="2"/>
  <c r="Y722" i="2"/>
  <c r="R721" i="2"/>
  <c r="K721" i="2"/>
  <c r="AF721" i="2"/>
  <c r="Y721" i="2"/>
  <c r="R720" i="2"/>
  <c r="K720" i="2"/>
  <c r="AF720" i="2"/>
  <c r="Y720" i="2"/>
  <c r="R719" i="2"/>
  <c r="K719" i="2"/>
  <c r="AF719" i="2"/>
  <c r="Y719" i="2"/>
  <c r="R718" i="2"/>
  <c r="K718" i="2"/>
  <c r="AF718" i="2"/>
  <c r="Y718" i="2"/>
  <c r="R717" i="2"/>
  <c r="K717" i="2"/>
  <c r="AF717" i="2"/>
  <c r="Y717" i="2"/>
  <c r="R716" i="2"/>
  <c r="K716" i="2"/>
  <c r="AF716" i="2"/>
  <c r="Y716" i="2"/>
  <c r="R715" i="2"/>
  <c r="K715" i="2"/>
  <c r="AF715" i="2"/>
  <c r="Y715" i="2"/>
  <c r="R714" i="2"/>
  <c r="K714" i="2"/>
  <c r="AF714" i="2"/>
  <c r="Y714" i="2"/>
  <c r="R713" i="2"/>
  <c r="K713" i="2"/>
  <c r="AF713" i="2"/>
  <c r="Y713" i="2"/>
  <c r="R712" i="2"/>
  <c r="K712" i="2"/>
  <c r="AF712" i="2"/>
  <c r="Y712" i="2"/>
  <c r="R711" i="2"/>
  <c r="K711" i="2"/>
  <c r="AF711" i="2"/>
  <c r="Y711" i="2"/>
  <c r="R710" i="2"/>
  <c r="K710" i="2"/>
  <c r="AF710" i="2"/>
  <c r="Y710" i="2"/>
  <c r="R709" i="2"/>
  <c r="K709" i="2"/>
  <c r="AF709" i="2"/>
  <c r="Y709" i="2"/>
  <c r="R708" i="2"/>
  <c r="K708" i="2"/>
  <c r="AF708" i="2"/>
  <c r="Y708" i="2"/>
  <c r="R707" i="2"/>
  <c r="K707" i="2"/>
  <c r="AF707" i="2"/>
  <c r="Y707" i="2"/>
  <c r="R706" i="2"/>
  <c r="K706" i="2"/>
  <c r="AF706" i="2"/>
  <c r="Y706" i="2"/>
  <c r="R705" i="2"/>
  <c r="K705" i="2"/>
  <c r="AF705" i="2"/>
  <c r="Y705" i="2"/>
  <c r="R704" i="2"/>
  <c r="K704" i="2"/>
  <c r="AF704" i="2"/>
  <c r="Y704" i="2"/>
  <c r="R703" i="2"/>
  <c r="K703" i="2"/>
  <c r="AF703" i="2"/>
  <c r="Y703" i="2"/>
  <c r="R702" i="2"/>
  <c r="K702" i="2"/>
  <c r="AF702" i="2"/>
  <c r="Y702" i="2"/>
  <c r="R701" i="2"/>
  <c r="K701" i="2"/>
  <c r="AF701" i="2"/>
  <c r="Y701" i="2"/>
  <c r="R700" i="2"/>
  <c r="K700" i="2"/>
  <c r="AF700" i="2"/>
  <c r="Y700" i="2"/>
  <c r="R699" i="2"/>
  <c r="K699" i="2"/>
  <c r="AF699" i="2"/>
  <c r="Y699" i="2"/>
  <c r="R698" i="2"/>
  <c r="K698" i="2"/>
  <c r="AF698" i="2"/>
  <c r="Y698" i="2"/>
  <c r="R697" i="2"/>
  <c r="K697" i="2"/>
  <c r="AF697" i="2"/>
  <c r="Y697" i="2"/>
  <c r="R696" i="2"/>
  <c r="K696" i="2"/>
  <c r="AF696" i="2"/>
  <c r="Y696" i="2"/>
  <c r="R695" i="2"/>
  <c r="K695" i="2"/>
  <c r="AF695" i="2"/>
  <c r="Y695" i="2"/>
  <c r="R694" i="2"/>
  <c r="K694" i="2"/>
  <c r="AF694" i="2"/>
  <c r="Y694" i="2"/>
  <c r="R693" i="2"/>
  <c r="K693" i="2"/>
  <c r="AF693" i="2"/>
  <c r="Y693" i="2"/>
  <c r="R692" i="2"/>
  <c r="K692" i="2"/>
  <c r="AF692" i="2"/>
  <c r="Y692" i="2"/>
  <c r="R691" i="2"/>
  <c r="K691" i="2"/>
  <c r="AF691" i="2"/>
  <c r="Y691" i="2"/>
  <c r="R690" i="2"/>
  <c r="K690" i="2"/>
  <c r="AF690" i="2"/>
  <c r="Y690" i="2"/>
  <c r="R689" i="2"/>
  <c r="K689" i="2"/>
  <c r="AF689" i="2"/>
  <c r="Y689" i="2"/>
  <c r="R688" i="2"/>
  <c r="K688" i="2"/>
  <c r="AF688" i="2"/>
  <c r="Y688" i="2"/>
  <c r="R687" i="2"/>
  <c r="K687" i="2"/>
  <c r="AF687" i="2"/>
  <c r="Y687" i="2"/>
  <c r="R686" i="2"/>
  <c r="K686" i="2"/>
  <c r="AF686" i="2"/>
  <c r="Y686" i="2"/>
  <c r="R685" i="2"/>
  <c r="K685" i="2"/>
  <c r="AF685" i="2"/>
  <c r="Y685" i="2"/>
  <c r="R684" i="2"/>
  <c r="K684" i="2"/>
  <c r="AF684" i="2"/>
  <c r="Y684" i="2"/>
  <c r="R683" i="2"/>
  <c r="K683" i="2"/>
  <c r="AF683" i="2"/>
  <c r="Y683" i="2"/>
  <c r="R682" i="2"/>
  <c r="K682" i="2"/>
  <c r="AF682" i="2"/>
  <c r="Y682" i="2"/>
  <c r="R681" i="2"/>
  <c r="K681" i="2"/>
  <c r="AF681" i="2"/>
  <c r="Y681" i="2"/>
  <c r="R680" i="2"/>
  <c r="K680" i="2"/>
  <c r="AF680" i="2"/>
  <c r="Y680" i="2"/>
  <c r="R679" i="2"/>
  <c r="K679" i="2"/>
  <c r="AF679" i="2"/>
  <c r="Y679" i="2"/>
  <c r="R678" i="2"/>
  <c r="K678" i="2"/>
  <c r="AF678" i="2"/>
  <c r="Y678" i="2"/>
  <c r="R677" i="2"/>
  <c r="K677" i="2"/>
  <c r="AF677" i="2"/>
  <c r="Y677" i="2"/>
  <c r="R676" i="2"/>
  <c r="K676" i="2"/>
  <c r="AF676" i="2"/>
  <c r="Y676" i="2"/>
  <c r="R675" i="2"/>
  <c r="K675" i="2"/>
  <c r="AF675" i="2"/>
  <c r="Y675" i="2"/>
  <c r="R674" i="2"/>
  <c r="K674" i="2"/>
  <c r="AF674" i="2"/>
  <c r="Y674" i="2"/>
  <c r="R673" i="2"/>
  <c r="K673" i="2"/>
  <c r="AF673" i="2"/>
  <c r="Y673" i="2"/>
  <c r="R672" i="2"/>
  <c r="K672" i="2"/>
  <c r="AF672" i="2"/>
  <c r="Y672" i="2"/>
  <c r="R671" i="2"/>
  <c r="K671" i="2"/>
  <c r="AF671" i="2"/>
  <c r="Y671" i="2"/>
  <c r="R670" i="2"/>
  <c r="K670" i="2"/>
  <c r="AF670" i="2"/>
  <c r="Y670" i="2"/>
  <c r="R669" i="2"/>
  <c r="K669" i="2"/>
  <c r="AF669" i="2"/>
  <c r="Y669" i="2"/>
  <c r="R668" i="2"/>
  <c r="K668" i="2"/>
  <c r="AF668" i="2"/>
  <c r="Y668" i="2"/>
  <c r="R667" i="2"/>
  <c r="K667" i="2"/>
  <c r="AF667" i="2"/>
  <c r="Y667" i="2"/>
  <c r="R666" i="2"/>
  <c r="K666" i="2"/>
  <c r="AF666" i="2"/>
  <c r="Y666" i="2"/>
  <c r="R665" i="2"/>
  <c r="K665" i="2"/>
  <c r="AF665" i="2"/>
  <c r="Y665" i="2"/>
  <c r="R664" i="2"/>
  <c r="K664" i="2"/>
  <c r="AF664" i="2"/>
  <c r="Y664" i="2"/>
  <c r="R663" i="2"/>
  <c r="K663" i="2"/>
  <c r="AF663" i="2"/>
  <c r="Y663" i="2"/>
  <c r="R662" i="2"/>
  <c r="K662" i="2"/>
  <c r="AF662" i="2"/>
  <c r="Y662" i="2"/>
  <c r="R661" i="2"/>
  <c r="K661" i="2"/>
  <c r="AF661" i="2"/>
  <c r="Y661" i="2"/>
  <c r="R660" i="2"/>
  <c r="K660" i="2"/>
  <c r="AF660" i="2"/>
  <c r="Y660" i="2"/>
  <c r="R659" i="2"/>
  <c r="K659" i="2"/>
  <c r="AF659" i="2"/>
  <c r="Y659" i="2"/>
  <c r="R658" i="2"/>
  <c r="K658" i="2"/>
  <c r="AF658" i="2"/>
  <c r="Y658" i="2"/>
  <c r="R657" i="2"/>
  <c r="K657" i="2"/>
  <c r="AF657" i="2"/>
  <c r="Y657" i="2"/>
  <c r="R656" i="2"/>
  <c r="K656" i="2"/>
  <c r="AF656" i="2"/>
  <c r="Y656" i="2"/>
  <c r="R655" i="2"/>
  <c r="K655" i="2"/>
  <c r="AF655" i="2"/>
  <c r="Y655" i="2"/>
  <c r="R654" i="2"/>
  <c r="K654" i="2"/>
  <c r="AF654" i="2"/>
  <c r="Y654" i="2"/>
  <c r="R653" i="2"/>
  <c r="K653" i="2"/>
  <c r="AF653" i="2"/>
  <c r="Y653" i="2"/>
  <c r="R652" i="2"/>
  <c r="K652" i="2"/>
  <c r="AF652" i="2"/>
  <c r="Y652" i="2"/>
  <c r="R651" i="2"/>
  <c r="K651" i="2"/>
  <c r="AF651" i="2"/>
  <c r="Y651" i="2"/>
  <c r="R650" i="2"/>
  <c r="K650" i="2"/>
  <c r="AF650" i="2"/>
  <c r="Y650" i="2"/>
  <c r="R649" i="2"/>
  <c r="K649" i="2"/>
  <c r="AF649" i="2"/>
  <c r="Y649" i="2"/>
  <c r="R648" i="2"/>
  <c r="K648" i="2"/>
  <c r="AF648" i="2"/>
  <c r="Y648" i="2"/>
  <c r="R647" i="2"/>
  <c r="K647" i="2"/>
  <c r="AF647" i="2"/>
  <c r="Y647" i="2"/>
  <c r="R646" i="2"/>
  <c r="K646" i="2"/>
  <c r="AF646" i="2"/>
  <c r="Y646" i="2"/>
  <c r="R645" i="2"/>
  <c r="K645" i="2"/>
  <c r="AF645" i="2"/>
  <c r="Y645" i="2"/>
  <c r="R644" i="2"/>
  <c r="K644" i="2"/>
  <c r="AF644" i="2"/>
  <c r="Y644" i="2"/>
  <c r="R643" i="2"/>
  <c r="K643" i="2"/>
  <c r="AF643" i="2"/>
  <c r="Y643" i="2"/>
  <c r="R642" i="2"/>
  <c r="K642" i="2"/>
  <c r="AF642" i="2"/>
  <c r="Y642" i="2"/>
  <c r="R641" i="2"/>
  <c r="K641" i="2"/>
  <c r="AF641" i="2"/>
  <c r="Y641" i="2"/>
  <c r="R640" i="2"/>
  <c r="K640" i="2"/>
  <c r="AF640" i="2"/>
  <c r="Y640" i="2"/>
  <c r="R639" i="2"/>
  <c r="K639" i="2"/>
  <c r="AF639" i="2"/>
  <c r="Y639" i="2"/>
  <c r="R638" i="2"/>
  <c r="K638" i="2"/>
  <c r="AF638" i="2"/>
  <c r="Y638" i="2"/>
  <c r="R637" i="2"/>
  <c r="K637" i="2"/>
  <c r="AF637" i="2"/>
  <c r="Y637" i="2"/>
  <c r="R636" i="2"/>
  <c r="K636" i="2"/>
  <c r="AF636" i="2"/>
  <c r="Y636" i="2"/>
  <c r="R635" i="2"/>
  <c r="K635" i="2"/>
  <c r="AF635" i="2"/>
  <c r="Y635" i="2"/>
  <c r="R634" i="2"/>
  <c r="K634" i="2"/>
  <c r="AF634" i="2"/>
  <c r="Y634" i="2"/>
  <c r="R633" i="2"/>
  <c r="K633" i="2"/>
  <c r="AF633" i="2"/>
  <c r="Y633" i="2"/>
  <c r="R632" i="2"/>
  <c r="K632" i="2"/>
  <c r="AF632" i="2"/>
  <c r="Y632" i="2"/>
  <c r="R631" i="2"/>
  <c r="K631" i="2"/>
  <c r="AF631" i="2"/>
  <c r="Y631" i="2"/>
  <c r="R630" i="2"/>
  <c r="K630" i="2"/>
  <c r="AF630" i="2"/>
  <c r="Y630" i="2"/>
  <c r="R629" i="2"/>
  <c r="K629" i="2"/>
  <c r="AF629" i="2"/>
  <c r="Y629" i="2"/>
  <c r="R628" i="2"/>
  <c r="K628" i="2"/>
  <c r="AF628" i="2"/>
  <c r="Y628" i="2"/>
  <c r="R627" i="2"/>
  <c r="K627" i="2"/>
  <c r="AF627" i="2"/>
  <c r="Y627" i="2"/>
  <c r="R626" i="2"/>
  <c r="K626" i="2"/>
  <c r="AF626" i="2"/>
  <c r="Y626" i="2"/>
  <c r="R625" i="2"/>
  <c r="K625" i="2"/>
  <c r="AF625" i="2"/>
  <c r="Y625" i="2"/>
  <c r="R624" i="2"/>
  <c r="K624" i="2"/>
  <c r="AF624" i="2"/>
  <c r="Y624" i="2"/>
  <c r="R623" i="2"/>
  <c r="K623" i="2"/>
  <c r="AF623" i="2"/>
  <c r="Y623" i="2"/>
  <c r="R622" i="2"/>
  <c r="K622" i="2"/>
  <c r="AF622" i="2"/>
  <c r="Y622" i="2"/>
  <c r="R621" i="2"/>
  <c r="K621" i="2"/>
  <c r="AF621" i="2"/>
  <c r="Y621" i="2"/>
  <c r="R620" i="2"/>
  <c r="K620" i="2"/>
  <c r="AF620" i="2"/>
  <c r="Y620" i="2"/>
  <c r="R619" i="2"/>
  <c r="K619" i="2"/>
  <c r="AF619" i="2"/>
  <c r="Y619" i="2"/>
  <c r="R618" i="2"/>
  <c r="K618" i="2"/>
  <c r="AF618" i="2"/>
  <c r="Y618" i="2"/>
  <c r="R617" i="2"/>
  <c r="K617" i="2"/>
  <c r="AF617" i="2"/>
  <c r="Y617" i="2"/>
  <c r="R616" i="2"/>
  <c r="K616" i="2"/>
  <c r="AF616" i="2"/>
  <c r="Y616" i="2"/>
  <c r="R615" i="2"/>
  <c r="K615" i="2"/>
  <c r="AF615" i="2"/>
  <c r="Y615" i="2"/>
  <c r="R614" i="2"/>
  <c r="K614" i="2"/>
  <c r="AF614" i="2"/>
  <c r="Y614" i="2"/>
  <c r="R613" i="2"/>
  <c r="K613" i="2"/>
  <c r="AF613" i="2"/>
  <c r="Y613" i="2"/>
  <c r="R612" i="2"/>
  <c r="K612" i="2"/>
  <c r="AF612" i="2"/>
  <c r="Y612" i="2"/>
  <c r="R611" i="2"/>
  <c r="K611" i="2"/>
  <c r="AF611" i="2"/>
  <c r="Y611" i="2"/>
  <c r="R610" i="2"/>
  <c r="K610" i="2"/>
  <c r="AF610" i="2"/>
  <c r="Y610" i="2"/>
  <c r="R609" i="2"/>
  <c r="K609" i="2"/>
  <c r="AF609" i="2"/>
  <c r="Y609" i="2"/>
  <c r="R608" i="2"/>
  <c r="K608" i="2"/>
  <c r="AF608" i="2"/>
  <c r="Y608" i="2"/>
  <c r="R607" i="2"/>
  <c r="K607" i="2"/>
  <c r="AF607" i="2"/>
  <c r="Y607" i="2"/>
  <c r="R606" i="2"/>
  <c r="K606" i="2"/>
  <c r="AF606" i="2"/>
  <c r="Y606" i="2"/>
  <c r="R605" i="2"/>
  <c r="K605" i="2"/>
  <c r="AF605" i="2"/>
  <c r="Y605" i="2"/>
  <c r="R604" i="2"/>
  <c r="K604" i="2"/>
  <c r="AF604" i="2"/>
  <c r="Y604" i="2"/>
  <c r="R603" i="2"/>
  <c r="K603" i="2"/>
  <c r="AF603" i="2"/>
  <c r="Y603" i="2"/>
  <c r="R602" i="2"/>
  <c r="K602" i="2"/>
  <c r="AF602" i="2"/>
  <c r="Y602" i="2"/>
  <c r="R601" i="2"/>
  <c r="K601" i="2"/>
  <c r="AF601" i="2"/>
  <c r="Y601" i="2"/>
  <c r="R600" i="2"/>
  <c r="K600" i="2"/>
  <c r="AF600" i="2"/>
  <c r="Y600" i="2"/>
  <c r="R599" i="2"/>
  <c r="K599" i="2"/>
  <c r="AF599" i="2"/>
  <c r="Y599" i="2"/>
  <c r="R598" i="2"/>
  <c r="K598" i="2"/>
  <c r="AF598" i="2"/>
  <c r="Y598" i="2"/>
  <c r="R597" i="2"/>
  <c r="K597" i="2"/>
  <c r="AF597" i="2"/>
  <c r="Y597" i="2"/>
  <c r="R596" i="2"/>
  <c r="K596" i="2"/>
  <c r="AF596" i="2"/>
  <c r="Y596" i="2"/>
  <c r="R595" i="2"/>
  <c r="K595" i="2"/>
  <c r="AF595" i="2"/>
  <c r="Y595" i="2"/>
  <c r="R594" i="2"/>
  <c r="K594" i="2"/>
  <c r="AF594" i="2"/>
  <c r="Y594" i="2"/>
  <c r="R593" i="2"/>
  <c r="K593" i="2"/>
  <c r="AF593" i="2"/>
  <c r="Y593" i="2"/>
  <c r="R592" i="2"/>
  <c r="K592" i="2"/>
  <c r="AF592" i="2"/>
  <c r="Y592" i="2"/>
  <c r="R591" i="2"/>
  <c r="K591" i="2"/>
  <c r="AF591" i="2"/>
  <c r="Y591" i="2"/>
  <c r="R590" i="2"/>
  <c r="K590" i="2"/>
  <c r="AF590" i="2"/>
  <c r="Y590" i="2"/>
  <c r="R589" i="2"/>
  <c r="K589" i="2"/>
  <c r="AF589" i="2"/>
  <c r="Y589" i="2"/>
  <c r="R588" i="2"/>
  <c r="K588" i="2"/>
  <c r="AF588" i="2"/>
  <c r="Y588" i="2"/>
  <c r="R587" i="2"/>
  <c r="K587" i="2"/>
  <c r="AF587" i="2"/>
  <c r="Y587" i="2"/>
  <c r="R586" i="2"/>
  <c r="K586" i="2"/>
  <c r="AF586" i="2"/>
  <c r="Y586" i="2"/>
  <c r="R585" i="2"/>
  <c r="K585" i="2"/>
  <c r="AF585" i="2"/>
  <c r="Y585" i="2"/>
  <c r="R584" i="2"/>
  <c r="K584" i="2"/>
  <c r="AF584" i="2"/>
  <c r="Y584" i="2"/>
  <c r="R583" i="2"/>
  <c r="K583" i="2"/>
  <c r="AF583" i="2"/>
  <c r="Y583" i="2"/>
  <c r="R582" i="2"/>
  <c r="K582" i="2"/>
  <c r="AF582" i="2"/>
  <c r="Y582" i="2"/>
  <c r="R581" i="2"/>
  <c r="K581" i="2"/>
  <c r="AF581" i="2"/>
  <c r="Y581" i="2"/>
  <c r="R580" i="2"/>
  <c r="K580" i="2"/>
  <c r="AF580" i="2"/>
  <c r="Y580" i="2"/>
  <c r="R579" i="2"/>
  <c r="K579" i="2"/>
  <c r="AF579" i="2"/>
  <c r="Y579" i="2"/>
  <c r="R578" i="2"/>
  <c r="K578" i="2"/>
  <c r="AF578" i="2"/>
  <c r="Y578" i="2"/>
  <c r="R577" i="2"/>
  <c r="K577" i="2"/>
  <c r="AF577" i="2"/>
  <c r="Y577" i="2"/>
  <c r="R576" i="2"/>
  <c r="K576" i="2"/>
  <c r="AF576" i="2"/>
  <c r="Y576" i="2"/>
  <c r="R575" i="2"/>
  <c r="K575" i="2"/>
  <c r="AF575" i="2"/>
  <c r="Y575" i="2"/>
  <c r="R574" i="2"/>
  <c r="K574" i="2"/>
  <c r="AF574" i="2"/>
  <c r="Y574" i="2"/>
  <c r="R573" i="2"/>
  <c r="K573" i="2"/>
  <c r="AF573" i="2"/>
  <c r="Y573" i="2"/>
  <c r="R572" i="2"/>
  <c r="K572" i="2"/>
  <c r="AF572" i="2"/>
  <c r="Y572" i="2"/>
  <c r="R571" i="2"/>
  <c r="K571" i="2"/>
  <c r="AF571" i="2"/>
  <c r="Y571" i="2"/>
  <c r="R570" i="2"/>
  <c r="K570" i="2"/>
  <c r="AF570" i="2"/>
  <c r="Y570" i="2"/>
  <c r="R569" i="2"/>
  <c r="K569" i="2"/>
  <c r="AF569" i="2"/>
  <c r="Y569" i="2"/>
  <c r="R568" i="2"/>
  <c r="K568" i="2"/>
  <c r="AF568" i="2"/>
  <c r="Y568" i="2"/>
  <c r="R567" i="2"/>
  <c r="K567" i="2"/>
  <c r="AF567" i="2"/>
  <c r="Y567" i="2"/>
  <c r="R566" i="2"/>
  <c r="K566" i="2"/>
  <c r="AF566" i="2"/>
  <c r="Y566" i="2"/>
  <c r="R565" i="2"/>
  <c r="K565" i="2"/>
  <c r="AF565" i="2"/>
  <c r="Y565" i="2"/>
  <c r="R564" i="2"/>
  <c r="K564" i="2"/>
  <c r="AF564" i="2"/>
  <c r="Y564" i="2"/>
  <c r="R563" i="2"/>
  <c r="K563" i="2"/>
  <c r="AF563" i="2"/>
  <c r="Y563" i="2"/>
  <c r="R562" i="2"/>
  <c r="K562" i="2"/>
  <c r="AF562" i="2"/>
  <c r="Y562" i="2"/>
  <c r="R561" i="2"/>
  <c r="K561" i="2"/>
  <c r="AF561" i="2"/>
  <c r="Y561" i="2"/>
  <c r="R560" i="2"/>
  <c r="K560" i="2"/>
  <c r="AF560" i="2"/>
  <c r="Y560" i="2"/>
  <c r="R559" i="2"/>
  <c r="K559" i="2"/>
  <c r="AF559" i="2"/>
  <c r="Y559" i="2"/>
  <c r="R558" i="2"/>
  <c r="K558" i="2"/>
  <c r="AF558" i="2"/>
  <c r="Y558" i="2"/>
  <c r="R557" i="2"/>
  <c r="K557" i="2"/>
  <c r="AF557" i="2"/>
  <c r="Y557" i="2"/>
  <c r="R556" i="2"/>
  <c r="K556" i="2"/>
  <c r="AF556" i="2"/>
  <c r="Y556" i="2"/>
  <c r="R555" i="2"/>
  <c r="K555" i="2"/>
  <c r="AF555" i="2"/>
  <c r="Y555" i="2"/>
  <c r="R554" i="2"/>
  <c r="K554" i="2"/>
  <c r="AF554" i="2"/>
  <c r="Y554" i="2"/>
  <c r="R553" i="2"/>
  <c r="K553" i="2"/>
  <c r="AF553" i="2"/>
  <c r="Y553" i="2"/>
  <c r="R552" i="2"/>
  <c r="K552" i="2"/>
  <c r="AF552" i="2"/>
  <c r="Y552" i="2"/>
  <c r="R551" i="2"/>
  <c r="K551" i="2"/>
  <c r="AF551" i="2"/>
  <c r="Y551" i="2"/>
  <c r="R550" i="2"/>
  <c r="K550" i="2"/>
  <c r="AF550" i="2"/>
  <c r="Y550" i="2"/>
  <c r="R549" i="2"/>
  <c r="K549" i="2"/>
  <c r="AF549" i="2"/>
  <c r="Y549" i="2"/>
  <c r="R548" i="2"/>
  <c r="K548" i="2"/>
  <c r="AF548" i="2"/>
  <c r="Y548" i="2"/>
  <c r="R547" i="2"/>
  <c r="K547" i="2"/>
  <c r="AF547" i="2"/>
  <c r="Y547" i="2"/>
  <c r="R546" i="2"/>
  <c r="K546" i="2"/>
  <c r="AF546" i="2"/>
  <c r="Y546" i="2"/>
  <c r="R545" i="2"/>
  <c r="K545" i="2"/>
  <c r="AF545" i="2"/>
  <c r="Y545" i="2"/>
  <c r="R544" i="2"/>
  <c r="K544" i="2"/>
  <c r="AF544" i="2"/>
  <c r="Y544" i="2"/>
  <c r="R543" i="2"/>
  <c r="K543" i="2"/>
  <c r="AF543" i="2"/>
  <c r="Y543" i="2"/>
  <c r="R542" i="2"/>
  <c r="K542" i="2"/>
  <c r="AF542" i="2"/>
  <c r="Y542" i="2"/>
  <c r="R541" i="2"/>
  <c r="K541" i="2"/>
  <c r="AF541" i="2"/>
  <c r="Y541" i="2"/>
  <c r="R540" i="2"/>
  <c r="K540" i="2"/>
  <c r="AF540" i="2"/>
  <c r="Y540" i="2"/>
  <c r="R539" i="2"/>
  <c r="K539" i="2"/>
  <c r="AF539" i="2"/>
  <c r="Y539" i="2"/>
  <c r="R538" i="2"/>
  <c r="K538" i="2"/>
  <c r="AF538" i="2"/>
  <c r="Y538" i="2"/>
  <c r="R537" i="2"/>
  <c r="K537" i="2"/>
  <c r="AF537" i="2"/>
  <c r="Y537" i="2"/>
  <c r="R536" i="2"/>
  <c r="K536" i="2"/>
  <c r="AF536" i="2"/>
  <c r="Y536" i="2"/>
  <c r="R535" i="2"/>
  <c r="K535" i="2"/>
  <c r="AF535" i="2"/>
  <c r="Y535" i="2"/>
  <c r="R534" i="2"/>
  <c r="K534" i="2"/>
  <c r="AF534" i="2"/>
  <c r="Y534" i="2"/>
  <c r="R533" i="2"/>
  <c r="K533" i="2"/>
  <c r="AF533" i="2"/>
  <c r="Y533" i="2"/>
  <c r="R532" i="2"/>
  <c r="K532" i="2"/>
  <c r="AF532" i="2"/>
  <c r="Y532" i="2"/>
  <c r="R531" i="2"/>
  <c r="K531" i="2"/>
  <c r="AF531" i="2"/>
  <c r="Y531" i="2"/>
  <c r="R530" i="2"/>
  <c r="K530" i="2"/>
  <c r="AF530" i="2"/>
  <c r="Y530" i="2"/>
  <c r="R529" i="2"/>
  <c r="K529" i="2"/>
  <c r="AF529" i="2"/>
  <c r="Y529" i="2"/>
  <c r="R528" i="2"/>
  <c r="K528" i="2"/>
  <c r="AF528" i="2"/>
  <c r="Y528" i="2"/>
  <c r="R527" i="2"/>
  <c r="K527" i="2"/>
  <c r="AF527" i="2"/>
  <c r="Y527" i="2"/>
  <c r="R526" i="2"/>
  <c r="K526" i="2"/>
  <c r="AF526" i="2"/>
  <c r="Y526" i="2"/>
  <c r="R525" i="2"/>
  <c r="K525" i="2"/>
  <c r="AF525" i="2"/>
  <c r="Y525" i="2"/>
  <c r="R524" i="2"/>
  <c r="K524" i="2"/>
  <c r="AF524" i="2"/>
  <c r="Y524" i="2"/>
  <c r="R523" i="2"/>
  <c r="K523" i="2"/>
  <c r="AF523" i="2"/>
  <c r="Y523" i="2"/>
  <c r="R522" i="2"/>
  <c r="K522" i="2"/>
  <c r="AF522" i="2"/>
  <c r="Y522" i="2"/>
  <c r="R521" i="2"/>
  <c r="K521" i="2"/>
  <c r="AF521" i="2"/>
  <c r="Y521" i="2"/>
  <c r="R520" i="2"/>
  <c r="K520" i="2"/>
  <c r="AF520" i="2"/>
  <c r="Y520" i="2"/>
  <c r="R519" i="2"/>
  <c r="K519" i="2"/>
  <c r="AF519" i="2"/>
  <c r="Y519" i="2"/>
  <c r="R518" i="2"/>
  <c r="K518" i="2"/>
  <c r="AF518" i="2"/>
  <c r="Y518" i="2"/>
  <c r="R517" i="2"/>
  <c r="K517" i="2"/>
  <c r="AF517" i="2"/>
  <c r="Y517" i="2"/>
  <c r="R516" i="2"/>
  <c r="K516" i="2"/>
  <c r="AF516" i="2"/>
  <c r="Y516" i="2"/>
  <c r="R515" i="2"/>
  <c r="K515" i="2"/>
  <c r="AF515" i="2"/>
  <c r="Y515" i="2"/>
  <c r="R514" i="2"/>
  <c r="K514" i="2"/>
  <c r="AF514" i="2"/>
  <c r="Y514" i="2"/>
  <c r="R513" i="2"/>
  <c r="K513" i="2"/>
  <c r="AF513" i="2"/>
  <c r="Y513" i="2"/>
  <c r="R512" i="2"/>
  <c r="K512" i="2"/>
  <c r="AF512" i="2"/>
  <c r="Y512" i="2"/>
  <c r="R511" i="2"/>
  <c r="K511" i="2"/>
  <c r="AF511" i="2"/>
  <c r="Y511" i="2"/>
  <c r="R510" i="2"/>
  <c r="K510" i="2"/>
  <c r="AF510" i="2"/>
  <c r="Y510" i="2"/>
  <c r="R509" i="2"/>
  <c r="K509" i="2"/>
  <c r="AF509" i="2"/>
  <c r="Y509" i="2"/>
  <c r="R508" i="2"/>
  <c r="K508" i="2"/>
  <c r="AF508" i="2"/>
  <c r="Y508" i="2"/>
  <c r="R507" i="2"/>
  <c r="K507" i="2"/>
  <c r="AF507" i="2"/>
  <c r="Y507" i="2"/>
  <c r="R506" i="2"/>
  <c r="K506" i="2"/>
  <c r="AF506" i="2"/>
  <c r="Y506" i="2"/>
  <c r="R505" i="2"/>
  <c r="K505" i="2"/>
  <c r="AF505" i="2"/>
  <c r="Y505" i="2"/>
  <c r="R504" i="2"/>
  <c r="K504" i="2"/>
  <c r="AF504" i="2"/>
  <c r="Y504" i="2"/>
  <c r="R503" i="2"/>
  <c r="K503" i="2"/>
  <c r="AF503" i="2"/>
  <c r="Y503" i="2"/>
  <c r="R502" i="2"/>
  <c r="K502" i="2"/>
  <c r="AF502" i="2"/>
  <c r="Y502" i="2"/>
  <c r="R501" i="2"/>
  <c r="K501" i="2"/>
  <c r="AF501" i="2"/>
  <c r="Y501" i="2"/>
  <c r="R500" i="2"/>
  <c r="K500" i="2"/>
  <c r="AF500" i="2"/>
  <c r="Y500" i="2"/>
  <c r="R499" i="2"/>
  <c r="K499" i="2"/>
  <c r="AF499" i="2"/>
  <c r="Y499" i="2"/>
  <c r="R498" i="2"/>
  <c r="K498" i="2"/>
  <c r="AF498" i="2"/>
  <c r="Y498" i="2"/>
  <c r="R497" i="2"/>
  <c r="K497" i="2"/>
  <c r="AF497" i="2"/>
  <c r="Y497" i="2"/>
  <c r="R496" i="2"/>
  <c r="K496" i="2"/>
  <c r="AF496" i="2"/>
  <c r="Y496" i="2"/>
  <c r="R495" i="2"/>
  <c r="K495" i="2"/>
  <c r="AF495" i="2"/>
  <c r="Y495" i="2"/>
  <c r="R494" i="2"/>
  <c r="K494" i="2"/>
  <c r="AF494" i="2"/>
  <c r="Y494" i="2"/>
  <c r="R493" i="2"/>
  <c r="K493" i="2"/>
  <c r="AF493" i="2"/>
  <c r="Y493" i="2"/>
  <c r="R492" i="2"/>
  <c r="K492" i="2"/>
  <c r="AF492" i="2"/>
  <c r="Y492" i="2"/>
  <c r="R491" i="2"/>
  <c r="K491" i="2"/>
  <c r="AF491" i="2"/>
  <c r="Y491" i="2"/>
  <c r="R490" i="2"/>
  <c r="K490" i="2"/>
  <c r="AF490" i="2"/>
  <c r="Y490" i="2"/>
  <c r="R489" i="2"/>
  <c r="K489" i="2"/>
  <c r="AF489" i="2"/>
  <c r="Y489" i="2"/>
  <c r="R488" i="2"/>
  <c r="K488" i="2"/>
  <c r="AF488" i="2"/>
  <c r="Y488" i="2"/>
  <c r="R487" i="2"/>
  <c r="K487" i="2"/>
  <c r="AF487" i="2"/>
  <c r="Y487" i="2"/>
  <c r="R486" i="2"/>
  <c r="K486" i="2"/>
  <c r="AF486" i="2"/>
  <c r="Y486" i="2"/>
  <c r="R485" i="2"/>
  <c r="K485" i="2"/>
  <c r="AF485" i="2"/>
  <c r="Y485" i="2"/>
  <c r="R484" i="2"/>
  <c r="K484" i="2"/>
  <c r="AF484" i="2"/>
  <c r="Y484" i="2"/>
  <c r="R483" i="2"/>
  <c r="K483" i="2"/>
  <c r="AF483" i="2"/>
  <c r="Y483" i="2"/>
  <c r="R482" i="2"/>
  <c r="K482" i="2"/>
  <c r="AF482" i="2"/>
  <c r="Y482" i="2"/>
  <c r="R481" i="2"/>
  <c r="K481" i="2"/>
  <c r="AF481" i="2"/>
  <c r="Y481" i="2"/>
  <c r="R480" i="2"/>
  <c r="K480" i="2"/>
  <c r="AF480" i="2"/>
  <c r="Y480" i="2"/>
  <c r="R479" i="2"/>
  <c r="K479" i="2"/>
  <c r="AF479" i="2"/>
  <c r="Y479" i="2"/>
  <c r="R478" i="2"/>
  <c r="K478" i="2"/>
  <c r="AF478" i="2"/>
  <c r="Y478" i="2"/>
  <c r="R477" i="2"/>
  <c r="K477" i="2"/>
  <c r="AF477" i="2"/>
  <c r="Y477" i="2"/>
  <c r="R476" i="2"/>
  <c r="K476" i="2"/>
  <c r="AF476" i="2"/>
  <c r="Y476" i="2"/>
  <c r="R475" i="2"/>
  <c r="K475" i="2"/>
  <c r="AF475" i="2"/>
  <c r="Y475" i="2"/>
  <c r="R474" i="2"/>
  <c r="K474" i="2"/>
  <c r="AF474" i="2"/>
  <c r="Y474" i="2"/>
  <c r="R473" i="2"/>
  <c r="K473" i="2"/>
  <c r="AF473" i="2"/>
  <c r="Y473" i="2"/>
  <c r="R472" i="2"/>
  <c r="K472" i="2"/>
  <c r="AF472" i="2"/>
  <c r="Y472" i="2"/>
  <c r="R471" i="2"/>
  <c r="K471" i="2"/>
  <c r="AF471" i="2"/>
  <c r="Y471" i="2"/>
  <c r="R470" i="2"/>
  <c r="K470" i="2"/>
  <c r="AF470" i="2"/>
  <c r="Y470" i="2"/>
  <c r="R469" i="2"/>
  <c r="K469" i="2"/>
  <c r="AF469" i="2"/>
  <c r="Y469" i="2"/>
  <c r="R468" i="2"/>
  <c r="K468" i="2"/>
  <c r="AF468" i="2"/>
  <c r="Y468" i="2"/>
  <c r="R467" i="2"/>
  <c r="K467" i="2"/>
  <c r="AF467" i="2"/>
  <c r="Y467" i="2"/>
  <c r="R466" i="2"/>
  <c r="K466" i="2"/>
  <c r="AF466" i="2"/>
  <c r="Y466" i="2"/>
  <c r="R465" i="2"/>
  <c r="K465" i="2"/>
  <c r="AF465" i="2"/>
  <c r="Y465" i="2"/>
  <c r="R464" i="2"/>
  <c r="K464" i="2"/>
  <c r="AF464" i="2"/>
  <c r="Y464" i="2"/>
  <c r="R463" i="2"/>
  <c r="K463" i="2"/>
  <c r="AF463" i="2"/>
  <c r="Y463" i="2"/>
  <c r="R462" i="2"/>
  <c r="K462" i="2"/>
  <c r="AF462" i="2"/>
  <c r="Y462" i="2"/>
  <c r="R461" i="2"/>
  <c r="K461" i="2"/>
  <c r="AF461" i="2"/>
  <c r="Y461" i="2"/>
  <c r="R460" i="2"/>
  <c r="K460" i="2"/>
  <c r="AF460" i="2"/>
  <c r="Y460" i="2"/>
  <c r="R459" i="2"/>
  <c r="K459" i="2"/>
  <c r="AF459" i="2"/>
  <c r="Y459" i="2"/>
  <c r="R458" i="2"/>
  <c r="K458" i="2"/>
  <c r="AF458" i="2"/>
  <c r="Y458" i="2"/>
  <c r="R457" i="2"/>
  <c r="K457" i="2"/>
  <c r="AF457" i="2"/>
  <c r="Y457" i="2"/>
  <c r="R456" i="2"/>
  <c r="K456" i="2"/>
  <c r="AF456" i="2"/>
  <c r="Y456" i="2"/>
  <c r="R455" i="2"/>
  <c r="K455" i="2"/>
  <c r="AF455" i="2"/>
  <c r="Y455" i="2"/>
  <c r="R454" i="2"/>
  <c r="K454" i="2"/>
  <c r="AF454" i="2"/>
  <c r="Y454" i="2"/>
  <c r="R453" i="2"/>
  <c r="K453" i="2"/>
  <c r="AF453" i="2"/>
  <c r="Y453" i="2"/>
  <c r="R452" i="2"/>
  <c r="K452" i="2"/>
  <c r="AF452" i="2"/>
  <c r="Y452" i="2"/>
  <c r="R451" i="2"/>
  <c r="K451" i="2"/>
  <c r="AF451" i="2"/>
  <c r="Y451" i="2"/>
  <c r="R450" i="2"/>
  <c r="K450" i="2"/>
  <c r="AF450" i="2"/>
  <c r="Y450" i="2"/>
  <c r="R449" i="2"/>
  <c r="K449" i="2"/>
  <c r="AF449" i="2"/>
  <c r="Y449" i="2"/>
  <c r="R448" i="2"/>
  <c r="K448" i="2"/>
  <c r="AF448" i="2"/>
  <c r="Y448" i="2"/>
  <c r="R447" i="2"/>
  <c r="K447" i="2"/>
  <c r="AF447" i="2"/>
  <c r="Y447" i="2"/>
  <c r="R446" i="2"/>
  <c r="K446" i="2"/>
  <c r="AF446" i="2"/>
  <c r="Y446" i="2"/>
  <c r="R445" i="2"/>
  <c r="K445" i="2"/>
  <c r="AF445" i="2"/>
  <c r="Y445" i="2"/>
  <c r="R444" i="2"/>
  <c r="K444" i="2"/>
  <c r="AF444" i="2"/>
  <c r="Y444" i="2"/>
  <c r="R443" i="2"/>
  <c r="K443" i="2"/>
  <c r="AF443" i="2"/>
  <c r="Y443" i="2"/>
  <c r="R442" i="2"/>
  <c r="K442" i="2"/>
  <c r="AF442" i="2"/>
  <c r="Y442" i="2"/>
  <c r="R441" i="2"/>
  <c r="K441" i="2"/>
  <c r="AF441" i="2"/>
  <c r="Y441" i="2"/>
  <c r="R440" i="2"/>
  <c r="K440" i="2"/>
  <c r="AF440" i="2"/>
  <c r="Y440" i="2"/>
  <c r="R439" i="2"/>
  <c r="K439" i="2"/>
  <c r="AF439" i="2"/>
  <c r="Y439" i="2"/>
  <c r="R438" i="2"/>
  <c r="K438" i="2"/>
  <c r="AF438" i="2"/>
  <c r="Y438" i="2"/>
  <c r="R437" i="2"/>
  <c r="K437" i="2"/>
  <c r="AF437" i="2"/>
  <c r="Y437" i="2"/>
  <c r="R436" i="2"/>
  <c r="K436" i="2"/>
  <c r="AF436" i="2"/>
  <c r="Y436" i="2"/>
  <c r="R435" i="2"/>
  <c r="K435" i="2"/>
  <c r="AF435" i="2"/>
  <c r="Y435" i="2"/>
  <c r="R434" i="2"/>
  <c r="K434" i="2"/>
  <c r="AF434" i="2"/>
  <c r="Y434" i="2"/>
  <c r="R433" i="2"/>
  <c r="K433" i="2"/>
  <c r="AF433" i="2"/>
  <c r="Y433" i="2"/>
  <c r="R432" i="2"/>
  <c r="K432" i="2"/>
  <c r="AF432" i="2"/>
  <c r="Y432" i="2"/>
  <c r="R431" i="2"/>
  <c r="K431" i="2"/>
  <c r="AF431" i="2"/>
  <c r="Y431" i="2"/>
  <c r="R430" i="2"/>
  <c r="K430" i="2"/>
  <c r="AF430" i="2"/>
  <c r="Y430" i="2"/>
  <c r="R429" i="2"/>
  <c r="K429" i="2"/>
  <c r="AF429" i="2"/>
  <c r="Y429" i="2"/>
  <c r="R428" i="2"/>
  <c r="K428" i="2"/>
  <c r="AF428" i="2"/>
  <c r="Y428" i="2"/>
  <c r="R427" i="2"/>
  <c r="K427" i="2"/>
  <c r="AF427" i="2"/>
  <c r="Y427" i="2"/>
  <c r="R426" i="2"/>
  <c r="K426" i="2"/>
  <c r="AF426" i="2"/>
  <c r="Y426" i="2"/>
  <c r="R425" i="2"/>
  <c r="K425" i="2"/>
  <c r="AF425" i="2"/>
  <c r="Y425" i="2"/>
  <c r="R424" i="2"/>
  <c r="K424" i="2"/>
  <c r="AF424" i="2"/>
  <c r="Y424" i="2"/>
  <c r="R423" i="2"/>
  <c r="K423" i="2"/>
  <c r="AF423" i="2"/>
  <c r="Y423" i="2"/>
  <c r="R422" i="2"/>
  <c r="K422" i="2"/>
  <c r="AF422" i="2"/>
  <c r="Y422" i="2"/>
  <c r="R421" i="2"/>
  <c r="K421" i="2"/>
  <c r="AF421" i="2"/>
  <c r="Y421" i="2"/>
  <c r="R420" i="2"/>
  <c r="K420" i="2"/>
  <c r="AF420" i="2"/>
  <c r="Y420" i="2"/>
  <c r="R419" i="2"/>
  <c r="K419" i="2"/>
  <c r="AF419" i="2"/>
  <c r="Y419" i="2"/>
  <c r="R418" i="2"/>
  <c r="K418" i="2"/>
  <c r="AF418" i="2"/>
  <c r="Y418" i="2"/>
  <c r="R417" i="2"/>
  <c r="K417" i="2"/>
  <c r="AF417" i="2"/>
  <c r="Y417" i="2"/>
  <c r="R416" i="2"/>
  <c r="K416" i="2"/>
  <c r="AF416" i="2"/>
  <c r="Y416" i="2"/>
  <c r="R415" i="2"/>
  <c r="K415" i="2"/>
  <c r="AF415" i="2"/>
  <c r="Y415" i="2"/>
  <c r="R414" i="2"/>
  <c r="K414" i="2"/>
  <c r="AF414" i="2"/>
  <c r="Y414" i="2"/>
  <c r="R413" i="2"/>
  <c r="K413" i="2"/>
  <c r="AF413" i="2"/>
  <c r="Y413" i="2"/>
  <c r="R412" i="2"/>
  <c r="K412" i="2"/>
  <c r="AF412" i="2"/>
  <c r="Y412" i="2"/>
  <c r="R411" i="2"/>
  <c r="K411" i="2"/>
  <c r="AF411" i="2"/>
  <c r="Y411" i="2"/>
  <c r="R410" i="2"/>
  <c r="K410" i="2"/>
  <c r="AF410" i="2"/>
  <c r="Y410" i="2"/>
  <c r="R409" i="2"/>
  <c r="K409" i="2"/>
  <c r="AF409" i="2"/>
  <c r="Y409" i="2"/>
  <c r="R408" i="2"/>
  <c r="K408" i="2"/>
  <c r="AF408" i="2"/>
  <c r="Y408" i="2"/>
  <c r="R407" i="2"/>
  <c r="K407" i="2"/>
  <c r="AF407" i="2"/>
  <c r="Y407" i="2"/>
  <c r="R406" i="2"/>
  <c r="K406" i="2"/>
  <c r="AF406" i="2"/>
  <c r="Y406" i="2"/>
  <c r="R405" i="2"/>
  <c r="K405" i="2"/>
  <c r="AF405" i="2"/>
  <c r="Y405" i="2"/>
  <c r="R404" i="2"/>
  <c r="K404" i="2"/>
  <c r="AF404" i="2"/>
  <c r="Y404" i="2"/>
  <c r="R403" i="2"/>
  <c r="K403" i="2"/>
  <c r="AF403" i="2"/>
  <c r="Y403" i="2"/>
  <c r="R402" i="2"/>
  <c r="K402" i="2"/>
  <c r="AF402" i="2"/>
  <c r="Y402" i="2"/>
  <c r="R401" i="2"/>
  <c r="K401" i="2"/>
  <c r="AF401" i="2"/>
  <c r="Y401" i="2"/>
  <c r="R400" i="2"/>
  <c r="K400" i="2"/>
  <c r="AF400" i="2"/>
  <c r="Y400" i="2"/>
  <c r="R399" i="2"/>
  <c r="K399" i="2"/>
  <c r="AF399" i="2"/>
  <c r="Y399" i="2"/>
  <c r="R398" i="2"/>
  <c r="K398" i="2"/>
  <c r="AF398" i="2"/>
  <c r="Y398" i="2"/>
  <c r="R397" i="2"/>
  <c r="K397" i="2"/>
  <c r="AF397" i="2"/>
  <c r="Y397" i="2"/>
  <c r="R396" i="2"/>
  <c r="K396" i="2"/>
  <c r="AF396" i="2"/>
  <c r="Y396" i="2"/>
  <c r="R395" i="2"/>
  <c r="K395" i="2"/>
  <c r="AF395" i="2"/>
  <c r="Y395" i="2"/>
  <c r="R394" i="2"/>
  <c r="K394" i="2"/>
  <c r="AF394" i="2"/>
  <c r="Y394" i="2"/>
  <c r="R393" i="2"/>
  <c r="K393" i="2"/>
  <c r="AF393" i="2"/>
  <c r="Y393" i="2"/>
  <c r="R392" i="2"/>
  <c r="K392" i="2"/>
  <c r="AF392" i="2"/>
  <c r="Y392" i="2"/>
  <c r="R391" i="2"/>
  <c r="K391" i="2"/>
  <c r="AF391" i="2"/>
  <c r="Y391" i="2"/>
  <c r="R390" i="2"/>
  <c r="K390" i="2"/>
  <c r="AF390" i="2"/>
  <c r="Y390" i="2"/>
  <c r="R389" i="2"/>
  <c r="K389" i="2"/>
  <c r="AF389" i="2"/>
  <c r="Y389" i="2"/>
  <c r="R388" i="2"/>
  <c r="K388" i="2"/>
  <c r="AF388" i="2"/>
  <c r="Y388" i="2"/>
  <c r="R387" i="2"/>
  <c r="K387" i="2"/>
  <c r="AF387" i="2"/>
  <c r="Y387" i="2"/>
  <c r="R386" i="2"/>
  <c r="K386" i="2"/>
  <c r="AF386" i="2"/>
  <c r="Y386" i="2"/>
  <c r="R385" i="2"/>
  <c r="K385" i="2"/>
  <c r="AF385" i="2"/>
  <c r="Y385" i="2"/>
  <c r="R384" i="2"/>
  <c r="K384" i="2"/>
  <c r="AF384" i="2"/>
  <c r="Y384" i="2"/>
  <c r="R383" i="2"/>
  <c r="K383" i="2"/>
  <c r="AF383" i="2"/>
  <c r="Y383" i="2"/>
  <c r="R382" i="2"/>
  <c r="K382" i="2"/>
  <c r="AF382" i="2"/>
  <c r="Y382" i="2"/>
  <c r="R381" i="2"/>
  <c r="K381" i="2"/>
  <c r="AF381" i="2"/>
  <c r="Y381" i="2"/>
  <c r="R380" i="2"/>
  <c r="K380" i="2"/>
  <c r="AF380" i="2"/>
  <c r="Y380" i="2"/>
  <c r="R379" i="2"/>
  <c r="K379" i="2"/>
  <c r="AF379" i="2"/>
  <c r="Y379" i="2"/>
  <c r="R378" i="2"/>
  <c r="K378" i="2"/>
  <c r="AF378" i="2"/>
  <c r="Y378" i="2"/>
  <c r="R377" i="2"/>
  <c r="K377" i="2"/>
  <c r="AF377" i="2"/>
  <c r="Y377" i="2"/>
  <c r="R376" i="2"/>
  <c r="K376" i="2"/>
  <c r="AF376" i="2"/>
  <c r="Y376" i="2"/>
  <c r="R375" i="2"/>
  <c r="K375" i="2"/>
  <c r="AF375" i="2"/>
  <c r="Y375" i="2"/>
  <c r="R374" i="2"/>
  <c r="K374" i="2"/>
  <c r="AF374" i="2"/>
  <c r="Y374" i="2"/>
  <c r="R373" i="2"/>
  <c r="K373" i="2"/>
  <c r="AF373" i="2"/>
  <c r="Y373" i="2"/>
  <c r="R372" i="2"/>
  <c r="K372" i="2"/>
  <c r="AF372" i="2"/>
  <c r="Y372" i="2"/>
  <c r="R371" i="2"/>
  <c r="K371" i="2"/>
  <c r="AF371" i="2"/>
  <c r="Y371" i="2"/>
  <c r="R370" i="2"/>
  <c r="K370" i="2"/>
  <c r="AF370" i="2"/>
  <c r="Y370" i="2"/>
  <c r="R369" i="2"/>
  <c r="K369" i="2"/>
  <c r="AF369" i="2"/>
  <c r="Y369" i="2"/>
  <c r="R368" i="2"/>
  <c r="K368" i="2"/>
  <c r="AF368" i="2"/>
  <c r="Y368" i="2"/>
  <c r="R367" i="2"/>
  <c r="K367" i="2"/>
  <c r="AF367" i="2"/>
  <c r="Y367" i="2"/>
  <c r="R366" i="2"/>
  <c r="K366" i="2"/>
  <c r="AF366" i="2"/>
  <c r="Y366" i="2"/>
  <c r="R365" i="2"/>
  <c r="K365" i="2"/>
  <c r="AF365" i="2"/>
  <c r="Y365" i="2"/>
  <c r="R364" i="2"/>
  <c r="K364" i="2"/>
  <c r="AF364" i="2"/>
  <c r="Y364" i="2"/>
  <c r="R363" i="2"/>
  <c r="K363" i="2"/>
  <c r="AF363" i="2"/>
  <c r="Y363" i="2"/>
  <c r="R362" i="2"/>
  <c r="K362" i="2"/>
  <c r="AF362" i="2"/>
  <c r="Y362" i="2"/>
  <c r="R361" i="2"/>
  <c r="K361" i="2"/>
  <c r="AF361" i="2"/>
  <c r="Y361" i="2"/>
  <c r="R360" i="2"/>
  <c r="K360" i="2"/>
  <c r="AF360" i="2"/>
  <c r="Y360" i="2"/>
  <c r="R359" i="2"/>
  <c r="K359" i="2"/>
  <c r="AF359" i="2"/>
  <c r="Y359" i="2"/>
  <c r="R358" i="2"/>
  <c r="K358" i="2"/>
  <c r="AF358" i="2"/>
  <c r="Y358" i="2"/>
  <c r="R357" i="2"/>
  <c r="K357" i="2"/>
  <c r="AF357" i="2"/>
  <c r="Y357" i="2"/>
  <c r="R356" i="2"/>
  <c r="K356" i="2"/>
  <c r="AF356" i="2"/>
  <c r="Y356" i="2"/>
  <c r="R355" i="2"/>
  <c r="K355" i="2"/>
  <c r="AF355" i="2"/>
  <c r="Y355" i="2"/>
  <c r="R354" i="2"/>
  <c r="K354" i="2"/>
  <c r="AF354" i="2"/>
  <c r="Y354" i="2"/>
  <c r="R353" i="2"/>
  <c r="K353" i="2"/>
  <c r="AF353" i="2"/>
  <c r="Y353" i="2"/>
  <c r="R352" i="2"/>
  <c r="K352" i="2"/>
  <c r="AF352" i="2"/>
  <c r="Y352" i="2"/>
  <c r="R351" i="2"/>
  <c r="K351" i="2"/>
  <c r="AF351" i="2"/>
  <c r="Y351" i="2"/>
  <c r="R350" i="2"/>
  <c r="K350" i="2"/>
  <c r="AF350" i="2"/>
  <c r="Y350" i="2"/>
  <c r="R349" i="2"/>
  <c r="K349" i="2"/>
  <c r="AF349" i="2"/>
  <c r="Y349" i="2"/>
  <c r="R348" i="2"/>
  <c r="K348" i="2"/>
  <c r="AF348" i="2"/>
  <c r="Y348" i="2"/>
  <c r="R347" i="2"/>
  <c r="K347" i="2"/>
  <c r="AF347" i="2"/>
  <c r="Y347" i="2"/>
  <c r="R346" i="2"/>
  <c r="K346" i="2"/>
  <c r="AF346" i="2"/>
  <c r="Y346" i="2"/>
  <c r="R345" i="2"/>
  <c r="K345" i="2"/>
  <c r="AF345" i="2"/>
  <c r="Y345" i="2"/>
  <c r="R344" i="2"/>
  <c r="K344" i="2"/>
  <c r="AF344" i="2"/>
  <c r="Y344" i="2"/>
  <c r="R343" i="2"/>
  <c r="K343" i="2"/>
  <c r="AF343" i="2"/>
  <c r="Y343" i="2"/>
  <c r="R342" i="2"/>
  <c r="K342" i="2"/>
  <c r="AF342" i="2"/>
  <c r="Y342" i="2"/>
  <c r="R341" i="2"/>
  <c r="K341" i="2"/>
  <c r="AF341" i="2"/>
  <c r="Y341" i="2"/>
  <c r="R340" i="2"/>
  <c r="K340" i="2"/>
  <c r="AF340" i="2"/>
  <c r="Y340" i="2"/>
  <c r="R339" i="2"/>
  <c r="K339" i="2"/>
  <c r="AF339" i="2"/>
  <c r="Y339" i="2"/>
  <c r="R338" i="2"/>
  <c r="K338" i="2"/>
  <c r="AF338" i="2"/>
  <c r="Y338" i="2"/>
  <c r="R337" i="2"/>
  <c r="K337" i="2"/>
  <c r="AF337" i="2"/>
  <c r="Y337" i="2"/>
  <c r="R336" i="2"/>
  <c r="K336" i="2"/>
  <c r="AF336" i="2"/>
  <c r="Y336" i="2"/>
  <c r="R335" i="2"/>
  <c r="K335" i="2"/>
  <c r="AF335" i="2"/>
  <c r="Y335" i="2"/>
  <c r="R334" i="2"/>
  <c r="K334" i="2"/>
  <c r="AF334" i="2"/>
  <c r="Y334" i="2"/>
  <c r="R333" i="2"/>
  <c r="K333" i="2"/>
  <c r="AF333" i="2"/>
  <c r="Y333" i="2"/>
  <c r="R332" i="2"/>
  <c r="K332" i="2"/>
  <c r="AF332" i="2"/>
  <c r="Y332" i="2"/>
  <c r="R331" i="2"/>
  <c r="K331" i="2"/>
  <c r="AF331" i="2"/>
  <c r="Y331" i="2"/>
  <c r="R330" i="2"/>
  <c r="K330" i="2"/>
  <c r="AF330" i="2"/>
  <c r="Y330" i="2"/>
  <c r="R329" i="2"/>
  <c r="K329" i="2"/>
  <c r="AF329" i="2"/>
  <c r="Y329" i="2"/>
  <c r="R328" i="2"/>
  <c r="K328" i="2"/>
  <c r="AF328" i="2"/>
  <c r="Y328" i="2"/>
  <c r="R327" i="2"/>
  <c r="K327" i="2"/>
  <c r="AF327" i="2"/>
  <c r="Y327" i="2"/>
  <c r="R326" i="2"/>
  <c r="K326" i="2"/>
  <c r="AF326" i="2"/>
  <c r="Y326" i="2"/>
  <c r="R325" i="2"/>
  <c r="K325" i="2"/>
  <c r="AF325" i="2"/>
  <c r="Y325" i="2"/>
  <c r="R324" i="2"/>
  <c r="K324" i="2"/>
  <c r="AF324" i="2"/>
  <c r="Y324" i="2"/>
  <c r="R323" i="2"/>
  <c r="K323" i="2"/>
  <c r="AF323" i="2"/>
  <c r="Y323" i="2"/>
  <c r="R322" i="2"/>
  <c r="K322" i="2"/>
  <c r="AF322" i="2"/>
  <c r="Y322" i="2"/>
  <c r="R321" i="2"/>
  <c r="K321" i="2"/>
  <c r="AF321" i="2"/>
  <c r="Y321" i="2"/>
  <c r="R320" i="2"/>
  <c r="K320" i="2"/>
  <c r="AF320" i="2"/>
  <c r="Y320" i="2"/>
  <c r="R319" i="2"/>
  <c r="K319" i="2"/>
  <c r="AF319" i="2"/>
  <c r="Y319" i="2"/>
  <c r="R318" i="2"/>
  <c r="K318" i="2"/>
  <c r="AF318" i="2"/>
  <c r="Y318" i="2"/>
  <c r="R317" i="2"/>
  <c r="K317" i="2"/>
  <c r="AF317" i="2"/>
  <c r="Y317" i="2"/>
  <c r="R316" i="2"/>
  <c r="K316" i="2"/>
  <c r="AF316" i="2"/>
  <c r="Y316" i="2"/>
  <c r="R315" i="2"/>
  <c r="K315" i="2"/>
  <c r="AF315" i="2"/>
  <c r="Y315" i="2"/>
  <c r="R314" i="2"/>
  <c r="K314" i="2"/>
  <c r="AF314" i="2"/>
  <c r="Y314" i="2"/>
  <c r="R313" i="2"/>
  <c r="K313" i="2"/>
  <c r="AF313" i="2"/>
  <c r="Y313" i="2"/>
  <c r="R312" i="2"/>
  <c r="K312" i="2"/>
  <c r="AF312" i="2"/>
  <c r="Y312" i="2"/>
  <c r="R311" i="2"/>
  <c r="K311" i="2"/>
  <c r="AF311" i="2"/>
  <c r="Y311" i="2"/>
  <c r="R310" i="2"/>
  <c r="K310" i="2"/>
  <c r="AF310" i="2"/>
  <c r="Y310" i="2"/>
  <c r="R309" i="2"/>
  <c r="K309" i="2"/>
  <c r="AF309" i="2"/>
  <c r="Y309" i="2"/>
  <c r="R308" i="2"/>
  <c r="K308" i="2"/>
  <c r="AF308" i="2"/>
  <c r="Y308" i="2"/>
  <c r="R307" i="2"/>
  <c r="K307" i="2"/>
  <c r="AF307" i="2"/>
  <c r="Y307" i="2"/>
  <c r="R306" i="2"/>
  <c r="K306" i="2"/>
  <c r="AF306" i="2"/>
  <c r="Y306" i="2"/>
  <c r="R305" i="2"/>
  <c r="K305" i="2"/>
  <c r="AF305" i="2"/>
  <c r="Y305" i="2"/>
  <c r="R304" i="2"/>
  <c r="K304" i="2"/>
  <c r="AF304" i="2"/>
  <c r="Y304" i="2"/>
  <c r="R303" i="2"/>
  <c r="K303" i="2"/>
  <c r="AF303" i="2"/>
  <c r="Y303" i="2"/>
  <c r="R302" i="2"/>
  <c r="K302" i="2"/>
  <c r="AF302" i="2"/>
  <c r="Y302" i="2"/>
  <c r="R301" i="2"/>
  <c r="K301" i="2"/>
  <c r="AF301" i="2"/>
  <c r="Y301" i="2"/>
  <c r="R300" i="2"/>
  <c r="K300" i="2"/>
  <c r="AF300" i="2"/>
  <c r="Y300" i="2"/>
  <c r="R299" i="2"/>
  <c r="K299" i="2"/>
  <c r="AF299" i="2"/>
  <c r="Y299" i="2"/>
  <c r="R298" i="2"/>
  <c r="K298" i="2"/>
  <c r="AF298" i="2"/>
  <c r="Y298" i="2"/>
  <c r="R297" i="2"/>
  <c r="K297" i="2"/>
  <c r="AF297" i="2"/>
  <c r="Y297" i="2"/>
  <c r="R296" i="2"/>
  <c r="K296" i="2"/>
  <c r="AF296" i="2"/>
  <c r="Y296" i="2"/>
  <c r="R295" i="2"/>
  <c r="K295" i="2"/>
  <c r="AF295" i="2"/>
  <c r="Y295" i="2"/>
  <c r="R294" i="2"/>
  <c r="K294" i="2"/>
  <c r="AF294" i="2"/>
  <c r="Y294" i="2"/>
  <c r="R293" i="2"/>
  <c r="K293" i="2"/>
  <c r="AF293" i="2"/>
  <c r="Y293" i="2"/>
  <c r="R292" i="2"/>
  <c r="K292" i="2"/>
  <c r="AF292" i="2"/>
  <c r="Y292" i="2"/>
  <c r="R291" i="2"/>
  <c r="K291" i="2"/>
  <c r="AF291" i="2"/>
  <c r="Y291" i="2"/>
  <c r="R290" i="2"/>
  <c r="K290" i="2"/>
  <c r="AF290" i="2"/>
  <c r="Y290" i="2"/>
  <c r="R289" i="2"/>
  <c r="K289" i="2"/>
  <c r="AF289" i="2"/>
  <c r="Y289" i="2"/>
  <c r="R288" i="2"/>
  <c r="K288" i="2"/>
  <c r="AF288" i="2"/>
  <c r="Y288" i="2"/>
  <c r="R287" i="2"/>
  <c r="K287" i="2"/>
  <c r="AF287" i="2"/>
  <c r="Y287" i="2"/>
  <c r="R286" i="2"/>
  <c r="K286" i="2"/>
  <c r="AF286" i="2"/>
  <c r="Y286" i="2"/>
  <c r="R285" i="2"/>
  <c r="K285" i="2"/>
  <c r="AF285" i="2"/>
  <c r="Y285" i="2"/>
  <c r="R284" i="2"/>
  <c r="K284" i="2"/>
  <c r="AF284" i="2"/>
  <c r="Y284" i="2"/>
  <c r="R283" i="2"/>
  <c r="K283" i="2"/>
  <c r="AF283" i="2"/>
  <c r="Y283" i="2"/>
  <c r="R282" i="2"/>
  <c r="K282" i="2"/>
  <c r="AF282" i="2"/>
  <c r="Y282" i="2"/>
  <c r="R281" i="2"/>
  <c r="K281" i="2"/>
  <c r="AF281" i="2"/>
  <c r="Y281" i="2"/>
  <c r="R280" i="2"/>
  <c r="K280" i="2"/>
  <c r="AF280" i="2"/>
  <c r="Y280" i="2"/>
  <c r="R279" i="2"/>
  <c r="K279" i="2"/>
  <c r="AF279" i="2"/>
  <c r="Y279" i="2"/>
  <c r="R278" i="2"/>
  <c r="K278" i="2"/>
  <c r="AF278" i="2"/>
  <c r="Y278" i="2"/>
  <c r="R277" i="2"/>
  <c r="K277" i="2"/>
  <c r="AF277" i="2"/>
  <c r="Y277" i="2"/>
  <c r="R276" i="2"/>
  <c r="K276" i="2"/>
  <c r="AF276" i="2"/>
  <c r="Y276" i="2"/>
  <c r="R275" i="2"/>
  <c r="K275" i="2"/>
  <c r="AF275" i="2"/>
  <c r="Y275" i="2"/>
  <c r="R274" i="2"/>
  <c r="K274" i="2"/>
  <c r="AF274" i="2"/>
  <c r="Y274" i="2"/>
  <c r="R273" i="2"/>
  <c r="K273" i="2"/>
  <c r="AF273" i="2"/>
  <c r="Y273" i="2"/>
  <c r="R272" i="2"/>
  <c r="K272" i="2"/>
  <c r="AF272" i="2"/>
  <c r="Y272" i="2"/>
  <c r="R271" i="2"/>
  <c r="K271" i="2"/>
  <c r="AF271" i="2"/>
  <c r="Y271" i="2"/>
  <c r="R270" i="2"/>
  <c r="K270" i="2"/>
  <c r="AF270" i="2"/>
  <c r="Y270" i="2"/>
  <c r="R269" i="2"/>
  <c r="K269" i="2"/>
  <c r="AF269" i="2"/>
  <c r="Y269" i="2"/>
  <c r="R268" i="2"/>
  <c r="K268" i="2"/>
  <c r="AF268" i="2"/>
  <c r="Y268" i="2"/>
  <c r="R267" i="2"/>
  <c r="K267" i="2"/>
  <c r="AF267" i="2"/>
  <c r="Y267" i="2"/>
  <c r="R266" i="2"/>
  <c r="K266" i="2"/>
  <c r="AF266" i="2"/>
  <c r="Y266" i="2"/>
  <c r="R265" i="2"/>
  <c r="K265" i="2"/>
  <c r="AF265" i="2"/>
  <c r="Y265" i="2"/>
  <c r="R264" i="2"/>
  <c r="K264" i="2"/>
  <c r="AF264" i="2"/>
  <c r="Y264" i="2"/>
  <c r="R263" i="2"/>
  <c r="K263" i="2"/>
  <c r="AF263" i="2"/>
  <c r="Y263" i="2"/>
  <c r="R262" i="2"/>
  <c r="K262" i="2"/>
  <c r="AF262" i="2"/>
  <c r="Y262" i="2"/>
  <c r="R261" i="2"/>
  <c r="K261" i="2"/>
  <c r="AF261" i="2"/>
  <c r="Y261" i="2"/>
  <c r="R260" i="2"/>
  <c r="K260" i="2"/>
  <c r="AF260" i="2"/>
  <c r="Y260" i="2"/>
  <c r="R259" i="2"/>
  <c r="K259" i="2"/>
  <c r="AF259" i="2"/>
  <c r="Y259" i="2"/>
  <c r="R258" i="2"/>
  <c r="K258" i="2"/>
  <c r="AF258" i="2"/>
  <c r="Y258" i="2"/>
  <c r="R257" i="2"/>
  <c r="K257" i="2"/>
  <c r="AF257" i="2"/>
  <c r="Y257" i="2"/>
  <c r="R256" i="2"/>
  <c r="K256" i="2"/>
  <c r="AF256" i="2"/>
  <c r="Y256" i="2"/>
  <c r="R255" i="2"/>
  <c r="K255" i="2"/>
  <c r="AF255" i="2"/>
  <c r="Y255" i="2"/>
  <c r="R254" i="2"/>
  <c r="K254" i="2"/>
  <c r="AF254" i="2"/>
  <c r="Y254" i="2"/>
  <c r="R253" i="2"/>
  <c r="K253" i="2"/>
  <c r="AF253" i="2"/>
  <c r="Y253" i="2"/>
  <c r="R252" i="2"/>
  <c r="K252" i="2"/>
  <c r="AF252" i="2"/>
  <c r="Y252" i="2"/>
  <c r="R251" i="2"/>
  <c r="K251" i="2"/>
  <c r="AF251" i="2"/>
  <c r="Y251" i="2"/>
  <c r="R250" i="2"/>
  <c r="K250" i="2"/>
  <c r="AF250" i="2"/>
  <c r="Y250" i="2"/>
  <c r="R249" i="2"/>
  <c r="K249" i="2"/>
  <c r="AF249" i="2"/>
  <c r="Y249" i="2"/>
  <c r="R248" i="2"/>
  <c r="K248" i="2"/>
  <c r="AF248" i="2"/>
  <c r="Y248" i="2"/>
  <c r="R247" i="2"/>
  <c r="K247" i="2"/>
  <c r="AF247" i="2"/>
  <c r="Y247" i="2"/>
  <c r="R246" i="2"/>
  <c r="K246" i="2"/>
  <c r="AF246" i="2"/>
  <c r="Y246" i="2"/>
  <c r="R245" i="2"/>
  <c r="K245" i="2"/>
  <c r="AF245" i="2"/>
  <c r="Y245" i="2"/>
  <c r="R244" i="2"/>
  <c r="K244" i="2"/>
  <c r="AF244" i="2"/>
  <c r="Y244" i="2"/>
  <c r="R243" i="2"/>
  <c r="K243" i="2"/>
  <c r="AF243" i="2"/>
  <c r="Y243" i="2"/>
  <c r="R242" i="2"/>
  <c r="K242" i="2"/>
  <c r="AF242" i="2"/>
  <c r="Y242" i="2"/>
  <c r="R241" i="2"/>
  <c r="K241" i="2"/>
  <c r="AF241" i="2"/>
  <c r="Y241" i="2"/>
  <c r="R240" i="2"/>
  <c r="K240" i="2"/>
  <c r="AF240" i="2"/>
  <c r="Y240" i="2"/>
  <c r="R239" i="2"/>
  <c r="K239" i="2"/>
  <c r="AF239" i="2"/>
  <c r="Y239" i="2"/>
  <c r="R238" i="2"/>
  <c r="K238" i="2"/>
  <c r="AF238" i="2"/>
  <c r="Y238" i="2"/>
  <c r="R237" i="2"/>
  <c r="K237" i="2"/>
  <c r="AF237" i="2"/>
  <c r="Y237" i="2"/>
  <c r="R236" i="2"/>
  <c r="K236" i="2"/>
  <c r="AF236" i="2"/>
  <c r="Y236" i="2"/>
  <c r="R235" i="2"/>
  <c r="K235" i="2"/>
  <c r="AF235" i="2"/>
  <c r="Y235" i="2"/>
  <c r="R234" i="2"/>
  <c r="K234" i="2"/>
  <c r="AF234" i="2"/>
  <c r="Y234" i="2"/>
  <c r="R233" i="2"/>
  <c r="K233" i="2"/>
  <c r="AF233" i="2"/>
  <c r="Y233" i="2"/>
  <c r="R232" i="2"/>
  <c r="K232" i="2"/>
  <c r="AF232" i="2"/>
  <c r="Y232" i="2"/>
  <c r="R231" i="2"/>
  <c r="K231" i="2"/>
  <c r="AF231" i="2"/>
  <c r="Y231" i="2"/>
  <c r="R230" i="2"/>
  <c r="K230" i="2"/>
  <c r="AF230" i="2"/>
  <c r="Y230" i="2"/>
  <c r="R229" i="2"/>
  <c r="K229" i="2"/>
  <c r="AF229" i="2"/>
  <c r="Y229" i="2"/>
  <c r="R228" i="2"/>
  <c r="K228" i="2"/>
  <c r="AF228" i="2"/>
  <c r="Y228" i="2"/>
  <c r="R227" i="2"/>
  <c r="K227" i="2"/>
  <c r="AF227" i="2"/>
  <c r="Y227" i="2"/>
  <c r="R226" i="2"/>
  <c r="K226" i="2"/>
  <c r="AF226" i="2"/>
  <c r="Y226" i="2"/>
  <c r="R225" i="2"/>
  <c r="K225" i="2"/>
  <c r="AF225" i="2"/>
  <c r="Y225" i="2"/>
  <c r="R224" i="2"/>
  <c r="K224" i="2"/>
  <c r="AF224" i="2"/>
  <c r="Y224" i="2"/>
  <c r="R223" i="2"/>
  <c r="K223" i="2"/>
  <c r="AF223" i="2"/>
  <c r="Y223" i="2"/>
  <c r="R222" i="2"/>
  <c r="K222" i="2"/>
  <c r="AF222" i="2"/>
  <c r="Y222" i="2"/>
  <c r="R221" i="2"/>
  <c r="K221" i="2"/>
  <c r="AF221" i="2"/>
  <c r="Y221" i="2"/>
  <c r="R220" i="2"/>
  <c r="K220" i="2"/>
  <c r="AF220" i="2"/>
  <c r="Y220" i="2"/>
  <c r="R219" i="2"/>
  <c r="K219" i="2"/>
  <c r="AF219" i="2"/>
  <c r="Y219" i="2"/>
  <c r="R218" i="2"/>
  <c r="K218" i="2"/>
  <c r="AF218" i="2"/>
  <c r="Y218" i="2"/>
  <c r="R217" i="2"/>
  <c r="K217" i="2"/>
  <c r="AF217" i="2"/>
  <c r="Y217" i="2"/>
  <c r="R216" i="2"/>
  <c r="K216" i="2"/>
  <c r="AF216" i="2"/>
  <c r="Y216" i="2"/>
  <c r="R215" i="2"/>
  <c r="K215" i="2"/>
  <c r="AF215" i="2"/>
  <c r="Y215" i="2"/>
  <c r="R214" i="2"/>
  <c r="K214" i="2"/>
  <c r="AF214" i="2"/>
  <c r="Y214" i="2"/>
  <c r="R213" i="2"/>
  <c r="K213" i="2"/>
  <c r="AF213" i="2"/>
  <c r="Y213" i="2"/>
  <c r="R212" i="2"/>
  <c r="K212" i="2"/>
  <c r="AF212" i="2"/>
  <c r="Y212" i="2"/>
  <c r="R211" i="2"/>
  <c r="K211" i="2"/>
  <c r="AF211" i="2"/>
  <c r="Y211" i="2"/>
  <c r="R210" i="2"/>
  <c r="K210" i="2"/>
  <c r="AF210" i="2"/>
  <c r="Y210" i="2"/>
  <c r="R209" i="2"/>
  <c r="K209" i="2"/>
  <c r="AF209" i="2"/>
  <c r="Y209" i="2"/>
  <c r="R208" i="2"/>
  <c r="K208" i="2"/>
  <c r="AF208" i="2"/>
  <c r="Y208" i="2"/>
  <c r="R207" i="2"/>
  <c r="K207" i="2"/>
  <c r="AF207" i="2"/>
  <c r="Y207" i="2"/>
  <c r="R206" i="2"/>
  <c r="K206" i="2"/>
  <c r="AF206" i="2"/>
  <c r="Y206" i="2"/>
  <c r="R205" i="2"/>
  <c r="K205" i="2"/>
  <c r="AF205" i="2"/>
  <c r="Y205" i="2"/>
  <c r="R204" i="2"/>
  <c r="K204" i="2"/>
  <c r="AF204" i="2"/>
  <c r="Y204" i="2"/>
  <c r="R203" i="2"/>
  <c r="K203" i="2"/>
  <c r="AF203" i="2"/>
  <c r="Y203" i="2"/>
  <c r="R202" i="2"/>
  <c r="K202" i="2"/>
  <c r="AF202" i="2"/>
  <c r="Y202" i="2"/>
  <c r="R201" i="2"/>
  <c r="K201" i="2"/>
  <c r="AF201" i="2"/>
  <c r="Y201" i="2"/>
  <c r="R200" i="2"/>
  <c r="K200" i="2"/>
  <c r="AF200" i="2"/>
  <c r="Y200" i="2"/>
  <c r="R199" i="2"/>
  <c r="K199" i="2"/>
  <c r="AF199" i="2"/>
  <c r="Y199" i="2"/>
  <c r="R198" i="2"/>
  <c r="K198" i="2"/>
  <c r="AF198" i="2"/>
  <c r="Y198" i="2"/>
  <c r="R197" i="2"/>
  <c r="K197" i="2"/>
  <c r="AF197" i="2"/>
  <c r="Y197" i="2"/>
  <c r="R196" i="2"/>
  <c r="K196" i="2"/>
  <c r="AF196" i="2"/>
  <c r="Y196" i="2"/>
  <c r="R195" i="2"/>
  <c r="K195" i="2"/>
  <c r="AF195" i="2"/>
  <c r="Y195" i="2"/>
  <c r="R194" i="2"/>
  <c r="K194" i="2"/>
  <c r="AF194" i="2"/>
  <c r="Y194" i="2"/>
  <c r="R193" i="2"/>
  <c r="K193" i="2"/>
  <c r="AF193" i="2"/>
  <c r="Y193" i="2"/>
  <c r="R192" i="2"/>
  <c r="K192" i="2"/>
  <c r="AF192" i="2"/>
  <c r="Y192" i="2"/>
  <c r="R191" i="2"/>
  <c r="K191" i="2"/>
  <c r="AF191" i="2"/>
  <c r="Y191" i="2"/>
  <c r="R190" i="2"/>
  <c r="K190" i="2"/>
  <c r="AF190" i="2"/>
  <c r="Y190" i="2"/>
  <c r="R189" i="2"/>
  <c r="K189" i="2"/>
  <c r="AF189" i="2"/>
  <c r="Y189" i="2"/>
  <c r="R188" i="2"/>
  <c r="K188" i="2"/>
  <c r="AF188" i="2"/>
  <c r="Y188" i="2"/>
  <c r="R187" i="2"/>
  <c r="K187" i="2"/>
  <c r="AF187" i="2"/>
  <c r="Y187" i="2"/>
  <c r="R186" i="2"/>
  <c r="K186" i="2"/>
  <c r="AF186" i="2"/>
  <c r="Y186" i="2"/>
  <c r="R185" i="2"/>
  <c r="K185" i="2"/>
  <c r="AF185" i="2"/>
  <c r="Y185" i="2"/>
  <c r="R184" i="2"/>
  <c r="K184" i="2"/>
  <c r="AF184" i="2"/>
  <c r="Y184" i="2"/>
  <c r="R183" i="2"/>
  <c r="K183" i="2"/>
  <c r="AF183" i="2"/>
  <c r="Y183" i="2"/>
  <c r="R182" i="2"/>
  <c r="K182" i="2"/>
  <c r="AF182" i="2"/>
  <c r="Y182" i="2"/>
  <c r="R181" i="2"/>
  <c r="K181" i="2"/>
  <c r="AF181" i="2"/>
  <c r="Y181" i="2"/>
  <c r="R180" i="2"/>
  <c r="K180" i="2"/>
  <c r="AF180" i="2"/>
  <c r="Y180" i="2"/>
  <c r="R179" i="2"/>
  <c r="K179" i="2"/>
  <c r="AF179" i="2"/>
  <c r="Y179" i="2"/>
  <c r="R178" i="2"/>
  <c r="K178" i="2"/>
  <c r="AF178" i="2"/>
  <c r="Y178" i="2"/>
  <c r="R177" i="2"/>
  <c r="K177" i="2"/>
  <c r="AF177" i="2"/>
  <c r="Y177" i="2"/>
  <c r="R176" i="2"/>
  <c r="K176" i="2"/>
  <c r="AF176" i="2"/>
  <c r="Y176" i="2"/>
  <c r="R175" i="2"/>
  <c r="K175" i="2"/>
  <c r="AF175" i="2"/>
  <c r="Y175" i="2"/>
  <c r="R174" i="2"/>
  <c r="K174" i="2"/>
  <c r="AF174" i="2"/>
  <c r="Y174" i="2"/>
  <c r="R173" i="2"/>
  <c r="K173" i="2"/>
  <c r="AF173" i="2"/>
  <c r="Y173" i="2"/>
  <c r="R172" i="2"/>
  <c r="K172" i="2"/>
  <c r="AF172" i="2"/>
  <c r="Y172" i="2"/>
  <c r="R171" i="2"/>
  <c r="K171" i="2"/>
  <c r="AF171" i="2"/>
  <c r="Y171" i="2"/>
  <c r="R170" i="2"/>
  <c r="K170" i="2"/>
  <c r="AF170" i="2"/>
  <c r="Y170" i="2"/>
  <c r="R169" i="2"/>
  <c r="K169" i="2"/>
  <c r="AF169" i="2"/>
  <c r="Y169" i="2"/>
  <c r="R168" i="2"/>
  <c r="K168" i="2"/>
  <c r="AF168" i="2"/>
  <c r="Y168" i="2"/>
  <c r="R167" i="2"/>
  <c r="K167" i="2"/>
  <c r="AF167" i="2"/>
  <c r="Y167" i="2"/>
  <c r="R166" i="2"/>
  <c r="K166" i="2"/>
  <c r="AF166" i="2"/>
  <c r="Y166" i="2"/>
  <c r="R165" i="2"/>
  <c r="K165" i="2"/>
  <c r="AF165" i="2"/>
  <c r="Y165" i="2"/>
  <c r="R164" i="2"/>
  <c r="K164" i="2"/>
  <c r="AF164" i="2"/>
  <c r="Y164" i="2"/>
  <c r="R163" i="2"/>
  <c r="K163" i="2"/>
  <c r="AF163" i="2"/>
  <c r="Y163" i="2"/>
  <c r="R162" i="2"/>
  <c r="K162" i="2"/>
  <c r="AF162" i="2"/>
  <c r="Y162" i="2"/>
  <c r="R161" i="2"/>
  <c r="K161" i="2"/>
  <c r="AF161" i="2"/>
  <c r="Y161" i="2"/>
  <c r="R160" i="2"/>
  <c r="K160" i="2"/>
  <c r="AF160" i="2"/>
  <c r="Y160" i="2"/>
  <c r="R159" i="2"/>
  <c r="K159" i="2"/>
  <c r="AF159" i="2"/>
  <c r="Y159" i="2"/>
  <c r="R158" i="2"/>
  <c r="K158" i="2"/>
  <c r="AF158" i="2"/>
  <c r="Y158" i="2"/>
  <c r="R157" i="2"/>
  <c r="K157" i="2"/>
  <c r="AF157" i="2"/>
  <c r="Y157" i="2"/>
  <c r="R156" i="2"/>
  <c r="K156" i="2"/>
  <c r="AF156" i="2"/>
  <c r="Y156" i="2"/>
  <c r="R155" i="2"/>
  <c r="K155" i="2"/>
  <c r="AF155" i="2"/>
  <c r="Y155" i="2"/>
  <c r="R154" i="2"/>
  <c r="K154" i="2"/>
  <c r="AF154" i="2"/>
  <c r="Y154" i="2"/>
  <c r="R153" i="2"/>
  <c r="K153" i="2"/>
  <c r="AF153" i="2"/>
  <c r="Y153" i="2"/>
  <c r="R152" i="2"/>
  <c r="K152" i="2"/>
  <c r="AF152" i="2"/>
  <c r="Y152" i="2"/>
  <c r="R151" i="2"/>
  <c r="K151" i="2"/>
  <c r="AF151" i="2"/>
  <c r="Y151" i="2"/>
  <c r="R150" i="2"/>
  <c r="K150" i="2"/>
  <c r="AF150" i="2"/>
  <c r="Y150" i="2"/>
  <c r="R149" i="2"/>
  <c r="K149" i="2"/>
  <c r="AF149" i="2"/>
  <c r="Y149" i="2"/>
  <c r="R148" i="2"/>
  <c r="K148" i="2"/>
  <c r="AF148" i="2"/>
  <c r="Y148" i="2"/>
  <c r="R147" i="2"/>
  <c r="K147" i="2"/>
  <c r="AF147" i="2"/>
  <c r="Y147" i="2"/>
  <c r="R146" i="2"/>
  <c r="K146" i="2"/>
  <c r="AF146" i="2"/>
  <c r="Y146" i="2"/>
  <c r="R145" i="2"/>
  <c r="K145" i="2"/>
  <c r="AF145" i="2"/>
  <c r="Y145" i="2"/>
  <c r="R144" i="2"/>
  <c r="K144" i="2"/>
  <c r="AF144" i="2"/>
  <c r="Y144" i="2"/>
  <c r="R143" i="2"/>
  <c r="K143" i="2"/>
  <c r="AF143" i="2"/>
  <c r="Y143" i="2"/>
  <c r="R142" i="2"/>
  <c r="K142" i="2"/>
  <c r="AF142" i="2"/>
  <c r="Y142" i="2"/>
  <c r="R141" i="2"/>
  <c r="K141" i="2"/>
  <c r="AF141" i="2"/>
  <c r="Y141" i="2"/>
  <c r="R140" i="2"/>
  <c r="K140" i="2"/>
  <c r="AF140" i="2"/>
  <c r="Y140" i="2"/>
  <c r="R139" i="2"/>
  <c r="K139" i="2"/>
  <c r="AF139" i="2"/>
  <c r="Y139" i="2"/>
  <c r="R138" i="2"/>
  <c r="K138" i="2"/>
  <c r="AF138" i="2"/>
  <c r="Y138" i="2"/>
  <c r="R137" i="2"/>
  <c r="K137" i="2"/>
  <c r="AF137" i="2"/>
  <c r="Y137" i="2"/>
  <c r="R136" i="2"/>
  <c r="K136" i="2"/>
  <c r="AF136" i="2"/>
  <c r="Y136" i="2"/>
  <c r="R135" i="2"/>
  <c r="K135" i="2"/>
  <c r="AF135" i="2"/>
  <c r="Y135" i="2"/>
  <c r="R134" i="2"/>
  <c r="K134" i="2"/>
  <c r="AF134" i="2"/>
  <c r="Y134" i="2"/>
  <c r="R133" i="2"/>
  <c r="K133" i="2"/>
  <c r="AF133" i="2"/>
  <c r="Y133" i="2"/>
  <c r="R132" i="2"/>
  <c r="K132" i="2"/>
  <c r="AF132" i="2"/>
  <c r="Y132" i="2"/>
  <c r="R131" i="2"/>
  <c r="K131" i="2"/>
  <c r="AF131" i="2"/>
  <c r="Y131" i="2"/>
  <c r="R130" i="2"/>
  <c r="K130" i="2"/>
  <c r="AF130" i="2"/>
  <c r="Y130" i="2"/>
  <c r="R129" i="2"/>
  <c r="K129" i="2"/>
  <c r="AF129" i="2"/>
  <c r="Y129" i="2"/>
  <c r="R128" i="2"/>
  <c r="K128" i="2"/>
  <c r="AF128" i="2"/>
  <c r="Y128" i="2"/>
  <c r="R127" i="2"/>
  <c r="K127" i="2"/>
  <c r="AF127" i="2"/>
  <c r="Y127" i="2"/>
  <c r="R126" i="2"/>
  <c r="K126" i="2"/>
  <c r="AF126" i="2"/>
  <c r="Y126" i="2"/>
  <c r="R125" i="2"/>
  <c r="K125" i="2"/>
  <c r="AF125" i="2"/>
  <c r="Y125" i="2"/>
  <c r="R124" i="2"/>
  <c r="K124" i="2"/>
  <c r="AF124" i="2"/>
  <c r="Y124" i="2"/>
  <c r="R123" i="2"/>
  <c r="K123" i="2"/>
  <c r="AF123" i="2"/>
  <c r="Y123" i="2"/>
  <c r="R122" i="2"/>
  <c r="K122" i="2"/>
  <c r="AF122" i="2"/>
  <c r="Y122" i="2"/>
  <c r="R121" i="2"/>
  <c r="K121" i="2"/>
  <c r="AF121" i="2"/>
  <c r="Y121" i="2"/>
  <c r="R120" i="2"/>
  <c r="K120" i="2"/>
  <c r="AF120" i="2"/>
  <c r="Y120" i="2"/>
  <c r="R119" i="2"/>
  <c r="K119" i="2"/>
  <c r="AF119" i="2"/>
  <c r="Y119" i="2"/>
  <c r="R118" i="2"/>
  <c r="K118" i="2"/>
  <c r="AF118" i="2"/>
  <c r="Y118" i="2"/>
  <c r="R117" i="2"/>
  <c r="K117" i="2"/>
  <c r="AF117" i="2"/>
  <c r="Y117" i="2"/>
  <c r="R116" i="2"/>
  <c r="K116" i="2"/>
  <c r="AF116" i="2"/>
  <c r="Y116" i="2"/>
  <c r="R115" i="2"/>
  <c r="K115" i="2"/>
  <c r="AF115" i="2"/>
  <c r="Y115" i="2"/>
  <c r="R114" i="2"/>
  <c r="K114" i="2"/>
  <c r="AF114" i="2"/>
  <c r="Y114" i="2"/>
  <c r="R113" i="2"/>
  <c r="K113" i="2"/>
  <c r="AF113" i="2"/>
  <c r="Y113" i="2"/>
  <c r="R112" i="2"/>
  <c r="K112" i="2"/>
  <c r="AF112" i="2"/>
  <c r="Y112" i="2"/>
  <c r="R111" i="2"/>
  <c r="K111" i="2"/>
  <c r="AF111" i="2"/>
  <c r="Y111" i="2"/>
  <c r="R110" i="2"/>
  <c r="K110" i="2"/>
  <c r="AF110" i="2"/>
  <c r="Y110" i="2"/>
  <c r="R109" i="2"/>
  <c r="K109" i="2"/>
  <c r="AF109" i="2"/>
  <c r="Y109" i="2"/>
  <c r="R108" i="2"/>
  <c r="K108" i="2"/>
  <c r="AF108" i="2"/>
  <c r="Y108" i="2"/>
  <c r="R107" i="2"/>
  <c r="K107" i="2"/>
  <c r="AF107" i="2"/>
  <c r="Y107" i="2"/>
  <c r="R106" i="2"/>
  <c r="K106" i="2"/>
  <c r="AF106" i="2"/>
  <c r="Y106" i="2"/>
  <c r="R105" i="2"/>
  <c r="K105" i="2"/>
  <c r="AF105" i="2"/>
  <c r="Y105" i="2"/>
  <c r="R104" i="2"/>
  <c r="K104" i="2"/>
  <c r="AF104" i="2"/>
  <c r="Y104" i="2"/>
  <c r="R103" i="2"/>
  <c r="K103" i="2"/>
  <c r="AF103" i="2"/>
  <c r="Y103" i="2"/>
  <c r="R102" i="2"/>
  <c r="K102" i="2"/>
  <c r="AF102" i="2"/>
  <c r="Y102" i="2"/>
  <c r="R101" i="2"/>
  <c r="K101" i="2"/>
  <c r="AF101" i="2"/>
  <c r="Y101" i="2"/>
  <c r="R100" i="2"/>
  <c r="K100" i="2"/>
  <c r="AF100" i="2"/>
  <c r="Y100" i="2"/>
  <c r="R99" i="2"/>
  <c r="K99" i="2"/>
  <c r="AF99" i="2"/>
  <c r="Y99" i="2"/>
  <c r="R98" i="2"/>
  <c r="K98" i="2"/>
  <c r="AF98" i="2"/>
  <c r="Y98" i="2"/>
  <c r="R97" i="2"/>
  <c r="K97" i="2"/>
  <c r="AF97" i="2"/>
  <c r="Y97" i="2"/>
  <c r="R96" i="2"/>
  <c r="K96" i="2"/>
  <c r="AF96" i="2"/>
  <c r="Y96" i="2"/>
  <c r="R95" i="2"/>
  <c r="K95" i="2"/>
  <c r="AF95" i="2"/>
  <c r="Y95" i="2"/>
  <c r="R94" i="2"/>
  <c r="K94" i="2"/>
  <c r="AF94" i="2"/>
  <c r="Y94" i="2"/>
  <c r="R93" i="2"/>
  <c r="K93" i="2"/>
  <c r="AF93" i="2"/>
  <c r="Y93" i="2"/>
  <c r="R92" i="2"/>
  <c r="K92" i="2"/>
  <c r="AF92" i="2"/>
  <c r="Y92" i="2"/>
  <c r="R91" i="2"/>
  <c r="K91" i="2"/>
  <c r="AF91" i="2"/>
  <c r="Y91" i="2"/>
  <c r="R90" i="2"/>
  <c r="K90" i="2"/>
  <c r="AF90" i="2"/>
  <c r="Y90" i="2"/>
  <c r="R89" i="2"/>
  <c r="K89" i="2"/>
  <c r="AF89" i="2"/>
  <c r="Y89" i="2"/>
  <c r="R88" i="2"/>
  <c r="K88" i="2"/>
  <c r="AF88" i="2"/>
  <c r="Y88" i="2"/>
  <c r="R87" i="2"/>
  <c r="K87" i="2"/>
  <c r="AF87" i="2"/>
  <c r="Y87" i="2"/>
  <c r="R86" i="2"/>
  <c r="K86" i="2"/>
  <c r="AF86" i="2"/>
  <c r="Y86" i="2"/>
  <c r="R85" i="2"/>
  <c r="K85" i="2"/>
  <c r="AF85" i="2"/>
  <c r="Y85" i="2"/>
  <c r="R84" i="2"/>
  <c r="K84" i="2"/>
  <c r="AF84" i="2"/>
  <c r="Y84" i="2"/>
  <c r="R83" i="2"/>
  <c r="K83" i="2"/>
  <c r="AF83" i="2"/>
  <c r="Y83" i="2"/>
  <c r="R82" i="2"/>
  <c r="K82" i="2"/>
  <c r="AF82" i="2"/>
  <c r="Y82" i="2"/>
  <c r="R81" i="2"/>
  <c r="K81" i="2"/>
  <c r="AF81" i="2"/>
  <c r="Y81" i="2"/>
  <c r="R80" i="2"/>
  <c r="K80" i="2"/>
  <c r="AF80" i="2"/>
  <c r="Y80" i="2"/>
  <c r="R79" i="2"/>
  <c r="K79" i="2"/>
  <c r="AF79" i="2"/>
  <c r="Y79" i="2"/>
  <c r="R78" i="2"/>
  <c r="K78" i="2"/>
  <c r="AF78" i="2"/>
  <c r="Y78" i="2"/>
  <c r="R77" i="2"/>
  <c r="K77" i="2"/>
  <c r="AF77" i="2"/>
  <c r="Y77" i="2"/>
  <c r="R76" i="2"/>
  <c r="K76" i="2"/>
  <c r="AF76" i="2"/>
  <c r="Y76" i="2"/>
  <c r="R75" i="2"/>
  <c r="K75" i="2"/>
  <c r="AF75" i="2"/>
  <c r="Y75" i="2"/>
  <c r="R74" i="2"/>
  <c r="K74" i="2"/>
  <c r="AF74" i="2"/>
  <c r="Y74" i="2"/>
  <c r="R73" i="2"/>
  <c r="K73" i="2"/>
  <c r="AF73" i="2"/>
  <c r="Y73" i="2"/>
  <c r="R72" i="2"/>
  <c r="K72" i="2"/>
  <c r="AF72" i="2"/>
  <c r="Y72" i="2"/>
  <c r="R71" i="2"/>
  <c r="K71" i="2"/>
  <c r="AF71" i="2"/>
  <c r="Y71" i="2"/>
  <c r="R70" i="2"/>
  <c r="K70" i="2"/>
  <c r="AF70" i="2"/>
  <c r="Y70" i="2"/>
  <c r="R69" i="2"/>
  <c r="K69" i="2"/>
  <c r="AF69" i="2"/>
  <c r="Y69" i="2"/>
  <c r="R68" i="2"/>
  <c r="K68" i="2"/>
  <c r="AF68" i="2"/>
  <c r="Y68" i="2"/>
  <c r="R67" i="2"/>
  <c r="K67" i="2"/>
  <c r="AF67" i="2"/>
  <c r="Y67" i="2"/>
  <c r="R66" i="2"/>
  <c r="K66" i="2"/>
  <c r="AF66" i="2"/>
  <c r="Y66" i="2"/>
  <c r="R65" i="2"/>
  <c r="K65" i="2"/>
  <c r="AF65" i="2"/>
  <c r="Y65" i="2"/>
  <c r="R64" i="2"/>
  <c r="K64" i="2"/>
  <c r="AF64" i="2"/>
  <c r="Y64" i="2"/>
  <c r="R63" i="2"/>
  <c r="K63" i="2"/>
  <c r="AF63" i="2"/>
  <c r="Y63" i="2"/>
  <c r="R62" i="2"/>
  <c r="K62" i="2"/>
  <c r="AF62" i="2"/>
  <c r="Y62" i="2"/>
  <c r="R61" i="2"/>
  <c r="K61" i="2"/>
  <c r="AF61" i="2"/>
  <c r="Y61" i="2"/>
  <c r="R60" i="2"/>
  <c r="K60" i="2"/>
  <c r="AF60" i="2"/>
  <c r="Y60" i="2"/>
  <c r="R59" i="2"/>
  <c r="K59" i="2"/>
  <c r="AF59" i="2"/>
  <c r="Y59" i="2"/>
  <c r="R58" i="2"/>
  <c r="K58" i="2"/>
  <c r="AF58" i="2"/>
  <c r="Y58" i="2"/>
  <c r="R57" i="2"/>
  <c r="K57" i="2"/>
  <c r="AF57" i="2"/>
  <c r="Y57" i="2"/>
  <c r="R56" i="2"/>
  <c r="K56" i="2"/>
  <c r="AF56" i="2"/>
  <c r="Y56" i="2"/>
  <c r="R55" i="2"/>
  <c r="K55" i="2"/>
  <c r="AF55" i="2"/>
  <c r="Y55" i="2"/>
  <c r="R54" i="2"/>
  <c r="K54" i="2"/>
  <c r="AF54" i="2"/>
  <c r="Y54" i="2"/>
  <c r="R53" i="2"/>
  <c r="K53" i="2"/>
  <c r="AF53" i="2"/>
  <c r="Y53" i="2"/>
  <c r="R52" i="2"/>
  <c r="K52" i="2"/>
  <c r="AF52" i="2"/>
  <c r="Y52" i="2"/>
  <c r="R51" i="2"/>
  <c r="K51" i="2"/>
  <c r="AF51" i="2"/>
  <c r="Y51" i="2"/>
  <c r="R50" i="2"/>
  <c r="K50" i="2"/>
  <c r="AF50" i="2"/>
  <c r="Y50" i="2"/>
  <c r="R49" i="2"/>
  <c r="K49" i="2"/>
  <c r="AF49" i="2"/>
  <c r="Y49" i="2"/>
  <c r="R48" i="2"/>
  <c r="K48" i="2"/>
  <c r="AF48" i="2"/>
  <c r="Y48" i="2"/>
  <c r="R47" i="2"/>
  <c r="K47" i="2"/>
  <c r="AF47" i="2"/>
  <c r="Y47" i="2"/>
  <c r="R46" i="2"/>
  <c r="K46" i="2"/>
  <c r="AF46" i="2"/>
  <c r="Y46" i="2"/>
  <c r="R45" i="2"/>
  <c r="K45" i="2"/>
  <c r="AF45" i="2"/>
  <c r="Y45" i="2"/>
  <c r="R44" i="2"/>
  <c r="K44" i="2"/>
  <c r="AF44" i="2"/>
  <c r="Y44" i="2"/>
  <c r="R43" i="2"/>
  <c r="K43" i="2"/>
  <c r="AF43" i="2"/>
  <c r="Y43" i="2"/>
  <c r="R42" i="2"/>
  <c r="K42" i="2"/>
  <c r="AF42" i="2"/>
  <c r="Y42" i="2"/>
  <c r="R41" i="2"/>
  <c r="K41" i="2"/>
  <c r="AF41" i="2"/>
  <c r="Y41" i="2"/>
  <c r="R40" i="2"/>
  <c r="K40" i="2"/>
  <c r="AF40" i="2"/>
  <c r="Y40" i="2"/>
  <c r="R39" i="2"/>
  <c r="K39" i="2"/>
  <c r="AF39" i="2"/>
  <c r="Y39" i="2"/>
  <c r="R38" i="2"/>
  <c r="K38" i="2"/>
  <c r="AF38" i="2"/>
  <c r="Y38" i="2"/>
  <c r="R37" i="2"/>
  <c r="K37" i="2"/>
  <c r="AF37" i="2"/>
  <c r="Y37" i="2"/>
  <c r="R36" i="2"/>
  <c r="K36" i="2"/>
  <c r="AF36" i="2"/>
  <c r="Y36" i="2"/>
  <c r="R35" i="2"/>
  <c r="K35" i="2"/>
  <c r="AF35" i="2"/>
  <c r="Y35" i="2"/>
  <c r="R34" i="2"/>
  <c r="K34" i="2"/>
  <c r="AF34" i="2"/>
  <c r="Y34" i="2"/>
  <c r="R33" i="2"/>
  <c r="K33" i="2"/>
  <c r="AF33" i="2"/>
  <c r="Y33" i="2"/>
  <c r="R32" i="2"/>
  <c r="K32" i="2"/>
  <c r="AF32" i="2"/>
  <c r="Y32" i="2"/>
  <c r="R31" i="2"/>
  <c r="K31" i="2"/>
  <c r="AF31" i="2"/>
  <c r="Y31" i="2"/>
  <c r="R30" i="2"/>
  <c r="K30" i="2"/>
  <c r="AF30" i="2"/>
  <c r="Y30" i="2"/>
  <c r="R29" i="2"/>
  <c r="K29" i="2"/>
  <c r="AF29" i="2"/>
  <c r="Y29" i="2"/>
  <c r="R28" i="2"/>
  <c r="K28" i="2"/>
  <c r="AF28" i="2"/>
  <c r="Y28" i="2"/>
  <c r="R27" i="2"/>
  <c r="K27" i="2"/>
  <c r="AF27" i="2"/>
  <c r="Y27" i="2"/>
  <c r="R26" i="2"/>
  <c r="K26" i="2"/>
  <c r="AF26" i="2"/>
  <c r="Y26" i="2"/>
  <c r="R25" i="2"/>
  <c r="K25" i="2"/>
  <c r="AF25" i="2"/>
  <c r="Y25" i="2"/>
  <c r="R24" i="2"/>
  <c r="K24" i="2"/>
  <c r="AF24" i="2"/>
  <c r="Y24" i="2"/>
  <c r="R23" i="2"/>
  <c r="K23" i="2"/>
  <c r="AF23" i="2"/>
  <c r="Y23" i="2"/>
  <c r="R22" i="2"/>
  <c r="K22" i="2"/>
  <c r="AF22" i="2"/>
  <c r="Y22" i="2"/>
  <c r="R21" i="2"/>
  <c r="K21" i="2"/>
  <c r="AF21" i="2"/>
  <c r="Y21" i="2"/>
  <c r="R20" i="2"/>
  <c r="K20" i="2"/>
  <c r="AF20" i="2"/>
  <c r="Y20" i="2"/>
  <c r="R19" i="2"/>
  <c r="K19" i="2"/>
  <c r="AF19" i="2"/>
  <c r="Y19" i="2"/>
  <c r="R18" i="2"/>
  <c r="K18" i="2"/>
  <c r="AF18" i="2"/>
  <c r="Y18" i="2"/>
  <c r="R17" i="2"/>
  <c r="K17" i="2"/>
  <c r="AF17" i="2"/>
  <c r="Y17" i="2"/>
  <c r="R16" i="2"/>
  <c r="K16" i="2"/>
  <c r="AF16" i="2"/>
  <c r="Y16" i="2"/>
  <c r="R15" i="2"/>
  <c r="K15" i="2"/>
  <c r="AF15" i="2"/>
  <c r="Y15" i="2"/>
  <c r="R14" i="2"/>
  <c r="K14" i="2"/>
  <c r="AF14" i="2"/>
  <c r="Y14" i="2"/>
  <c r="R13" i="2"/>
  <c r="K13" i="2"/>
  <c r="AF13" i="2"/>
  <c r="Y13" i="2"/>
  <c r="R12" i="2"/>
  <c r="K12" i="2"/>
  <c r="AF12" i="2"/>
  <c r="Y12" i="2"/>
  <c r="R11" i="2"/>
  <c r="K11" i="2"/>
  <c r="AF11" i="2"/>
  <c r="Y11" i="2"/>
  <c r="R10" i="2"/>
  <c r="K10" i="2"/>
  <c r="AF10" i="2"/>
  <c r="Y10" i="2"/>
  <c r="R9" i="2"/>
  <c r="K9" i="2"/>
  <c r="AF9" i="2"/>
  <c r="Y9" i="2"/>
  <c r="R8" i="2"/>
  <c r="K8" i="2"/>
  <c r="AF8" i="2"/>
  <c r="Y8" i="2"/>
  <c r="R7" i="2"/>
  <c r="K7" i="2"/>
  <c r="AF7" i="2"/>
  <c r="AI7" i="2" s="1"/>
  <c r="Y7" i="2"/>
  <c r="AB5" i="2" s="1"/>
  <c r="U7" i="2"/>
  <c r="U5" i="2"/>
  <c r="AN14" i="2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7" i="1"/>
  <c r="AI5" i="2" l="1"/>
  <c r="AN16" i="2" s="1"/>
  <c r="N7" i="2"/>
  <c r="N5" i="2"/>
  <c r="U9" i="2"/>
  <c r="U11" i="2"/>
  <c r="AO14" i="2" s="1"/>
  <c r="AI9" i="2"/>
  <c r="AI11" i="2"/>
  <c r="AO16" i="2" s="1"/>
  <c r="AB7" i="2"/>
  <c r="AO15" i="2" s="1"/>
  <c r="N9" i="2" l="1"/>
  <c r="AO13" i="2"/>
  <c r="AB9" i="2"/>
  <c r="AB11" i="2"/>
  <c r="AN15" i="2" s="1"/>
  <c r="N11" i="2"/>
  <c r="AN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F897A74D-0DE4-4B22-A86D-A1730885A78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<sst xmlns="http://schemas.openxmlformats.org/spreadsheetml/2006/main" count="59" uniqueCount="30">
  <si>
    <t>End</t>
  </si>
  <si>
    <t>Frequency</t>
  </si>
  <si>
    <t>D</t>
  </si>
  <si>
    <t>Name</t>
  </si>
  <si>
    <t>APPLE</t>
  </si>
  <si>
    <t>AMAZON</t>
  </si>
  <si>
    <t>FACEBOOK CLASS A</t>
  </si>
  <si>
    <t>Portfolio Value [50 2 -20]</t>
  </si>
  <si>
    <t>GAIN</t>
  </si>
  <si>
    <t>LOSS</t>
  </si>
  <si>
    <t>Probability Loss is greater than</t>
  </si>
  <si>
    <t>VaR 95%</t>
  </si>
  <si>
    <t>VaR 99%</t>
  </si>
  <si>
    <t>FACEBOOK</t>
  </si>
  <si>
    <t>Apple e Amazon</t>
  </si>
  <si>
    <t>Apple e Facebook</t>
  </si>
  <si>
    <t>Loss</t>
  </si>
  <si>
    <t>a=</t>
  </si>
  <si>
    <t>p=</t>
  </si>
  <si>
    <t>Loss media=</t>
  </si>
  <si>
    <t>portafogli</t>
  </si>
  <si>
    <t>p</t>
  </si>
  <si>
    <t>Azioni Apple</t>
  </si>
  <si>
    <t>Azioni Amazon</t>
  </si>
  <si>
    <t>Azioni Facebook</t>
  </si>
  <si>
    <t>Loss dev.std=</t>
  </si>
  <si>
    <t>VaR=</t>
  </si>
  <si>
    <t>ES=</t>
  </si>
  <si>
    <t>ES5%</t>
  </si>
  <si>
    <t>ES1%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</si>
</sst>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0"/>
    <numFmt numFmtId="166" formatCode="0.00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40C28"/>
      <name val="Calibri"/>
      <scheme val="minor"/>
    </font>
    <font>
      <sz val="11"/>
      <color rgb="FF040C28"/>
      <name val="Calibri"/>
      <family val="2"/>
      <scheme val="minor"/>
    </font>
    <font>
      <sz val="11"/>
      <color rgb="FF000000"/>
      <name val="Consolas"/>
      <charset val="1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10" fontId="0" fillId="0" borderId="0" xfId="0" applyNumberFormat="1"/>
    <xf numFmtId="0" fontId="0" fillId="4" borderId="0" xfId="0" applyFill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5" borderId="0" xfId="0" applyFill="1"/>
    <xf numFmtId="10" fontId="0" fillId="5" borderId="0" xfId="0" applyNumberFormat="1" applyFill="1"/>
    <xf numFmtId="0" fontId="3" fillId="5" borderId="0" xfId="0" applyFont="1" applyFill="1"/>
    <xf numFmtId="0" fontId="6" fillId="5" borderId="0" xfId="0" applyFont="1" applyFill="1"/>
    <xf numFmtId="0" fontId="1" fillId="0" borderId="0" xfId="0" applyFont="1"/>
    <xf numFmtId="164" fontId="0" fillId="0" borderId="0" xfId="0" applyNumberFormat="1"/>
    <xf numFmtId="1" fontId="1" fillId="3" borderId="0" xfId="0" applyNumberFormat="1" applyFont="1" applyFill="1"/>
    <xf numFmtId="1" fontId="3" fillId="4" borderId="0" xfId="0" applyNumberFormat="1" applyFont="1" applyFill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6" borderId="4" xfId="0" applyNumberFormat="1" applyFill="1" applyBorder="1"/>
    <xf numFmtId="165" fontId="0" fillId="6" borderId="0" xfId="0" applyNumberFormat="1" applyFill="1"/>
    <xf numFmtId="14" fontId="0" fillId="6" borderId="0" xfId="0" applyNumberFormat="1" applyFill="1"/>
    <xf numFmtId="2" fontId="0" fillId="6" borderId="0" xfId="0" applyNumberFormat="1" applyFill="1"/>
    <xf numFmtId="165" fontId="0" fillId="6" borderId="5" xfId="0" applyNumberFormat="1" applyFill="1" applyBorder="1"/>
    <xf numFmtId="14" fontId="0" fillId="6" borderId="6" xfId="0" applyNumberFormat="1" applyFill="1" applyBorder="1"/>
    <xf numFmtId="165" fontId="0" fillId="6" borderId="7" xfId="0" applyNumberFormat="1" applyFill="1" applyBorder="1"/>
    <xf numFmtId="14" fontId="0" fillId="6" borderId="7" xfId="0" applyNumberFormat="1" applyFill="1" applyBorder="1"/>
    <xf numFmtId="165" fontId="0" fillId="6" borderId="8" xfId="0" applyNumberFormat="1" applyFill="1" applyBorder="1"/>
    <xf numFmtId="0" fontId="7" fillId="7" borderId="0" xfId="0" applyFont="1" applyFill="1"/>
    <xf numFmtId="9" fontId="0" fillId="7" borderId="5" xfId="0" applyNumberFormat="1" applyFill="1" applyBorder="1"/>
    <xf numFmtId="14" fontId="0" fillId="7" borderId="4" xfId="0" applyNumberFormat="1" applyFill="1" applyBorder="1"/>
    <xf numFmtId="14" fontId="0" fillId="7" borderId="0" xfId="0" applyNumberFormat="1" applyFill="1"/>
    <xf numFmtId="165" fontId="0" fillId="7" borderId="5" xfId="0" applyNumberFormat="1" applyFill="1" applyBorder="1"/>
    <xf numFmtId="165" fontId="1" fillId="7" borderId="0" xfId="0" applyNumberFormat="1" applyFont="1" applyFill="1"/>
    <xf numFmtId="14" fontId="0" fillId="6" borderId="4" xfId="0" applyNumberForma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165" fontId="0" fillId="6" borderId="5" xfId="0" applyNumberFormat="1" applyFill="1" applyBorder="1" applyAlignment="1">
      <alignment horizontal="center"/>
    </xf>
    <xf numFmtId="0" fontId="8" fillId="7" borderId="0" xfId="0" applyFont="1" applyFill="1"/>
    <xf numFmtId="14" fontId="0" fillId="3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4" fontId="0" fillId="3" borderId="4" xfId="0" applyNumberFormat="1" applyFill="1" applyBorder="1"/>
    <xf numFmtId="165" fontId="0" fillId="3" borderId="0" xfId="0" applyNumberFormat="1" applyFill="1"/>
    <xf numFmtId="14" fontId="0" fillId="3" borderId="0" xfId="0" applyNumberFormat="1" applyFill="1"/>
    <xf numFmtId="2" fontId="0" fillId="3" borderId="0" xfId="0" applyNumberFormat="1" applyFill="1"/>
    <xf numFmtId="165" fontId="0" fillId="3" borderId="5" xfId="0" applyNumberFormat="1" applyFill="1" applyBorder="1"/>
    <xf numFmtId="14" fontId="0" fillId="3" borderId="6" xfId="0" applyNumberFormat="1" applyFill="1" applyBorder="1"/>
    <xf numFmtId="165" fontId="0" fillId="3" borderId="7" xfId="0" applyNumberFormat="1" applyFill="1" applyBorder="1"/>
    <xf numFmtId="14" fontId="0" fillId="3" borderId="7" xfId="0" applyNumberFormat="1" applyFill="1" applyBorder="1"/>
    <xf numFmtId="165" fontId="0" fillId="3" borderId="8" xfId="0" applyNumberFormat="1" applyFill="1" applyBorder="1"/>
    <xf numFmtId="0" fontId="0" fillId="6" borderId="5" xfId="0" applyFill="1" applyBorder="1"/>
    <xf numFmtId="0" fontId="0" fillId="6" borderId="7" xfId="0" applyFill="1" applyBorder="1"/>
    <xf numFmtId="165" fontId="1" fillId="7" borderId="5" xfId="0" applyNumberFormat="1" applyFont="1" applyFill="1" applyBorder="1"/>
    <xf numFmtId="0" fontId="9" fillId="0" borderId="0" xfId="0" applyFont="1"/>
    <xf numFmtId="0" fontId="10" fillId="6" borderId="9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165" fontId="0" fillId="6" borderId="12" xfId="0" applyNumberFormat="1" applyFill="1" applyBorder="1"/>
    <xf numFmtId="0" fontId="0" fillId="6" borderId="20" xfId="0" applyFill="1" applyBorder="1"/>
    <xf numFmtId="165" fontId="0" fillId="6" borderId="17" xfId="0" applyNumberFormat="1" applyFill="1" applyBorder="1"/>
    <xf numFmtId="0" fontId="0" fillId="6" borderId="17" xfId="0" applyFill="1" applyBorder="1"/>
    <xf numFmtId="165" fontId="0" fillId="6" borderId="22" xfId="0" applyNumberFormat="1" applyFill="1" applyBorder="1"/>
    <xf numFmtId="9" fontId="0" fillId="6" borderId="14" xfId="0" applyNumberFormat="1" applyFill="1" applyBorder="1" applyAlignment="1">
      <alignment horizontal="center"/>
    </xf>
    <xf numFmtId="9" fontId="0" fillId="6" borderId="18" xfId="0" applyNumberFormat="1" applyFill="1" applyBorder="1" applyAlignment="1">
      <alignment horizontal="center"/>
    </xf>
    <xf numFmtId="9" fontId="0" fillId="6" borderId="16" xfId="0" applyNumberFormat="1" applyFill="1" applyBorder="1" applyAlignment="1">
      <alignment horizontal="center"/>
    </xf>
    <xf numFmtId="9" fontId="0" fillId="6" borderId="15" xfId="0" applyNumberFormat="1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165" fontId="0" fillId="6" borderId="23" xfId="0" applyNumberFormat="1" applyFill="1" applyBorder="1"/>
    <xf numFmtId="165" fontId="0" fillId="6" borderId="16" xfId="0" applyNumberFormat="1" applyFill="1" applyBorder="1"/>
    <xf numFmtId="165" fontId="0" fillId="6" borderId="14" xfId="0" applyNumberFormat="1" applyFill="1" applyBorder="1"/>
    <xf numFmtId="165" fontId="0" fillId="6" borderId="20" xfId="0" applyNumberFormat="1" applyFill="1" applyBorder="1"/>
    <xf numFmtId="165" fontId="0" fillId="6" borderId="3" xfId="0" applyNumberFormat="1" applyFill="1" applyBorder="1"/>
    <xf numFmtId="0" fontId="2" fillId="5" borderId="0" xfId="0" applyFont="1" applyFill="1" applyAlignment="1">
      <alignment horizontal="center"/>
    </xf>
    <xf numFmtId="14" fontId="0" fillId="6" borderId="9" xfId="0" applyNumberFormat="1" applyFill="1" applyBorder="1" applyAlignment="1">
      <alignment horizontal="center"/>
    </xf>
    <xf numFmtId="14" fontId="0" fillId="6" borderId="10" xfId="0" applyNumberFormat="1" applyFill="1" applyBorder="1" applyAlignment="1">
      <alignment horizontal="center"/>
    </xf>
    <xf numFmtId="14" fontId="0" fillId="6" borderId="1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6" fontId="0" fillId="0" borderId="0" xfId="0" applyNumberFormat="1" applyFill="1" applyBorder="1"/>
    <xf numFmtId="0" fontId="0" fillId="6" borderId="24" xfId="0" applyFill="1" applyBorder="1" applyAlignment="1">
      <alignment horizontal="center"/>
    </xf>
    <xf numFmtId="165" fontId="0" fillId="6" borderId="24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335-B947-4DC3-A863-06FC7F2CCE2E}">
  <dimension ref="A1:AC1352"/>
  <sheetViews>
    <sheetView tabSelected="1" topLeftCell="A4" workbookViewId="0">
      <selection activeCell="E4" sqref="E4"/>
    </sheetView>
  </sheetViews>
  <sheetFormatPr defaultColWidth="8.88671875" defaultRowHeight="14.4" x14ac:dyDescent="0.3"/>
  <cols>
    <col min="1" max="4" width="18.6640625" style="1" customWidth="1"/>
    <col min="5" max="5" width="28.6640625" style="6" customWidth="1"/>
    <col min="6" max="6" width="18.33203125" style="4" customWidth="1"/>
    <col min="7" max="7" width="10.44140625" style="4" customWidth="1"/>
    <col min="9" max="10" width="13.6640625" customWidth="1"/>
    <col min="15" max="15" width="12.33203125" customWidth="1"/>
  </cols>
  <sheetData>
    <row r="1" spans="1:29" x14ac:dyDescent="0.3">
      <c r="A1" s="1">
        <f>_xll.Thomson.Reuters.AFOSpreadsheetFormulas.DSGRID("@AAPL,@AMZN,@FB"," ","-5Y","","D","RowHeader=true;ColHeader=true;Heading=true;LatestFirstValue=true;DispSeriesDescription=false;YearlyTSFormat=false;QuarterlyTSFormat=false","")</f>
        <v>0</v>
      </c>
      <c r="B1" s="2">
        <v>42283</v>
      </c>
    </row>
    <row r="2" spans="1:29" x14ac:dyDescent="0.3">
      <c r="A2" s="1" t="s">
        <v>0</v>
      </c>
      <c r="B2" s="2">
        <v>44110</v>
      </c>
    </row>
    <row r="3" spans="1:29" x14ac:dyDescent="0.3">
      <c r="A3" s="1" t="s">
        <v>1</v>
      </c>
      <c r="B3" s="1" t="s">
        <v>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29" x14ac:dyDescent="0.3">
      <c r="A4" s="9" t="s">
        <v>3</v>
      </c>
      <c r="B4" s="9" t="s">
        <v>4</v>
      </c>
      <c r="C4" s="9" t="s">
        <v>5</v>
      </c>
      <c r="D4" s="9" t="s">
        <v>6</v>
      </c>
      <c r="E4" s="10" t="s">
        <v>7</v>
      </c>
      <c r="F4" s="11" t="s">
        <v>8</v>
      </c>
      <c r="G4" s="11" t="s">
        <v>9</v>
      </c>
    </row>
    <row r="5" spans="1:29" x14ac:dyDescent="0.3">
      <c r="A5" s="2">
        <v>44110</v>
      </c>
      <c r="B5" s="1">
        <v>113.16</v>
      </c>
      <c r="C5" s="1">
        <v>3099.96</v>
      </c>
      <c r="D5" s="1">
        <v>258.65989999999999</v>
      </c>
      <c r="E5" s="3">
        <f>50*B5+2*C5-20*D5</f>
        <v>6684.7219999999998</v>
      </c>
      <c r="F5" s="4">
        <f t="shared" ref="F5:F68" si="0">E5-E6</f>
        <v>-245.68000000000029</v>
      </c>
      <c r="G5" s="4">
        <f t="shared" ref="G5:G68" si="1">-F5</f>
        <v>245.68000000000029</v>
      </c>
      <c r="H5" s="12"/>
      <c r="I5" s="13"/>
      <c r="J5" s="13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3">
      <c r="A6" s="2">
        <v>44109</v>
      </c>
      <c r="B6" s="1">
        <v>116.5</v>
      </c>
      <c r="C6" s="1">
        <v>3199.2</v>
      </c>
      <c r="D6" s="1">
        <v>264.6499</v>
      </c>
      <c r="E6" s="3">
        <f t="shared" ref="E6:E69" si="2">50*B6+2*C6-20*D6</f>
        <v>6930.402</v>
      </c>
      <c r="F6" s="4">
        <f t="shared" si="0"/>
        <v>228.20000000000073</v>
      </c>
      <c r="G6" s="4">
        <f t="shared" si="1"/>
        <v>-228.20000000000073</v>
      </c>
      <c r="H6" s="12"/>
      <c r="I6" s="83" t="s">
        <v>10</v>
      </c>
      <c r="J6" s="83"/>
      <c r="K6" s="12"/>
    </row>
    <row r="7" spans="1:29" x14ac:dyDescent="0.3">
      <c r="A7" s="2">
        <v>44106</v>
      </c>
      <c r="B7" s="1">
        <v>113.02</v>
      </c>
      <c r="C7" s="1">
        <v>3125</v>
      </c>
      <c r="D7" s="1">
        <v>259.93990000000002</v>
      </c>
      <c r="E7" s="3">
        <f t="shared" si="2"/>
        <v>6702.2019999999993</v>
      </c>
      <c r="F7" s="4">
        <f t="shared" si="0"/>
        <v>-247.22000000000116</v>
      </c>
      <c r="G7" s="4">
        <f t="shared" si="1"/>
        <v>247.22000000000116</v>
      </c>
      <c r="H7" s="12"/>
      <c r="I7" s="12">
        <v>0</v>
      </c>
      <c r="J7" s="13">
        <f>COUNTIF($G$5:$G$1304,"&gt;"&amp;I7)/1299</f>
        <v>0.46959199384141648</v>
      </c>
      <c r="K7" s="12"/>
    </row>
    <row r="8" spans="1:29" x14ac:dyDescent="0.3">
      <c r="A8" s="2">
        <v>44105</v>
      </c>
      <c r="B8" s="1">
        <v>116.79</v>
      </c>
      <c r="C8" s="1">
        <v>3221.26</v>
      </c>
      <c r="D8" s="1">
        <v>266.62990000000002</v>
      </c>
      <c r="E8" s="3">
        <f t="shared" si="2"/>
        <v>6949.4220000000005</v>
      </c>
      <c r="F8" s="4">
        <f t="shared" si="0"/>
        <v>99.460000000000946</v>
      </c>
      <c r="G8" s="4">
        <f t="shared" si="1"/>
        <v>-99.460000000000946</v>
      </c>
      <c r="H8" s="12"/>
      <c r="I8" s="12">
        <v>10</v>
      </c>
      <c r="J8" s="13">
        <f t="shared" ref="J8:J52" si="3">COUNTIF($G$5:$G$1304,"&gt;"&amp;I8)/1299</f>
        <v>0.34026173979984603</v>
      </c>
      <c r="K8" s="12"/>
    </row>
    <row r="9" spans="1:29" x14ac:dyDescent="0.3">
      <c r="A9" s="2">
        <v>44104</v>
      </c>
      <c r="B9" s="1">
        <v>115.81</v>
      </c>
      <c r="C9" s="1">
        <v>3148.73</v>
      </c>
      <c r="D9" s="1">
        <v>261.8999</v>
      </c>
      <c r="E9" s="3">
        <f t="shared" si="2"/>
        <v>6849.9619999999995</v>
      </c>
      <c r="F9" s="4">
        <f t="shared" si="0"/>
        <v>91.501999999999498</v>
      </c>
      <c r="G9" s="4">
        <f t="shared" si="1"/>
        <v>-91.501999999999498</v>
      </c>
      <c r="H9" s="12"/>
      <c r="I9" s="12">
        <v>20</v>
      </c>
      <c r="J9" s="13">
        <f t="shared" si="3"/>
        <v>0.26712856043110084</v>
      </c>
      <c r="K9" s="12"/>
    </row>
    <row r="10" spans="1:29" x14ac:dyDescent="0.3">
      <c r="A10" s="2">
        <v>44103</v>
      </c>
      <c r="B10" s="1">
        <v>114.09</v>
      </c>
      <c r="C10" s="1">
        <v>3144.88</v>
      </c>
      <c r="D10" s="1">
        <v>261.79000000000002</v>
      </c>
      <c r="E10" s="3">
        <f t="shared" si="2"/>
        <v>6758.46</v>
      </c>
      <c r="F10" s="4">
        <f t="shared" si="0"/>
        <v>-201.23800000000028</v>
      </c>
      <c r="G10" s="4">
        <f t="shared" si="1"/>
        <v>201.23800000000028</v>
      </c>
      <c r="H10" s="12"/>
      <c r="I10" s="12">
        <v>30</v>
      </c>
      <c r="J10" s="13">
        <f t="shared" si="3"/>
        <v>0.20477290223248654</v>
      </c>
      <c r="K10" s="12"/>
    </row>
    <row r="11" spans="1:29" x14ac:dyDescent="0.3">
      <c r="A11" s="2">
        <v>44102</v>
      </c>
      <c r="B11" s="1">
        <v>114.96</v>
      </c>
      <c r="C11" s="1">
        <v>3174.05</v>
      </c>
      <c r="D11" s="1">
        <v>256.82010000000002</v>
      </c>
      <c r="E11" s="3">
        <f t="shared" si="2"/>
        <v>6959.6980000000003</v>
      </c>
      <c r="F11" s="4">
        <f t="shared" si="0"/>
        <v>251.83799999999974</v>
      </c>
      <c r="G11" s="4">
        <f t="shared" si="1"/>
        <v>-251.83799999999974</v>
      </c>
      <c r="H11" s="12"/>
      <c r="I11" s="12">
        <v>40</v>
      </c>
      <c r="J11" s="13">
        <f t="shared" si="3"/>
        <v>0.16551193225558122</v>
      </c>
      <c r="K11" s="12"/>
    </row>
    <row r="12" spans="1:29" x14ac:dyDescent="0.3">
      <c r="A12" s="2">
        <v>44099</v>
      </c>
      <c r="B12" s="1">
        <v>112.28</v>
      </c>
      <c r="C12" s="1">
        <v>3095.13</v>
      </c>
      <c r="D12" s="1">
        <v>254.82</v>
      </c>
      <c r="E12" s="3">
        <f t="shared" si="2"/>
        <v>6707.8600000000006</v>
      </c>
      <c r="F12" s="4">
        <f t="shared" si="0"/>
        <v>247.88000000000102</v>
      </c>
      <c r="G12" s="4">
        <f t="shared" si="1"/>
        <v>-247.88000000000102</v>
      </c>
      <c r="H12" s="12"/>
      <c r="I12" s="12">
        <v>50</v>
      </c>
      <c r="J12" s="13">
        <f t="shared" si="3"/>
        <v>0.13163972286374134</v>
      </c>
      <c r="K12" s="12"/>
    </row>
    <row r="13" spans="1:29" x14ac:dyDescent="0.3">
      <c r="A13" s="2">
        <v>44098</v>
      </c>
      <c r="B13" s="1">
        <v>108.22</v>
      </c>
      <c r="C13" s="1">
        <v>3019.79</v>
      </c>
      <c r="D13" s="1">
        <v>249.53</v>
      </c>
      <c r="E13" s="3">
        <f t="shared" si="2"/>
        <v>6459.98</v>
      </c>
      <c r="F13" s="4">
        <f t="shared" si="0"/>
        <v>84.659999999998945</v>
      </c>
      <c r="G13" s="4">
        <f t="shared" si="1"/>
        <v>-84.659999999998945</v>
      </c>
      <c r="H13" s="12"/>
      <c r="I13" s="12">
        <v>60</v>
      </c>
      <c r="J13" s="13">
        <f t="shared" si="3"/>
        <v>0.1077752117013087</v>
      </c>
      <c r="K13" s="12"/>
    </row>
    <row r="14" spans="1:29" x14ac:dyDescent="0.3">
      <c r="A14" s="2">
        <v>44097</v>
      </c>
      <c r="B14" s="1">
        <v>107.12</v>
      </c>
      <c r="C14" s="1">
        <v>2999.86</v>
      </c>
      <c r="D14" s="1">
        <v>249.02</v>
      </c>
      <c r="E14" s="3">
        <f t="shared" si="2"/>
        <v>6375.3200000000006</v>
      </c>
      <c r="F14" s="4">
        <f t="shared" si="0"/>
        <v>-378.15999999999894</v>
      </c>
      <c r="G14" s="4">
        <f t="shared" si="1"/>
        <v>378.15999999999894</v>
      </c>
      <c r="H14" s="12"/>
      <c r="I14" s="12">
        <v>70</v>
      </c>
      <c r="J14" s="13">
        <f t="shared" si="3"/>
        <v>9.5458044649730567E-2</v>
      </c>
      <c r="K14" s="12"/>
    </row>
    <row r="15" spans="1:29" x14ac:dyDescent="0.3">
      <c r="A15" s="2">
        <v>44096</v>
      </c>
      <c r="B15" s="1">
        <v>111.81</v>
      </c>
      <c r="C15" s="1">
        <v>3128.99</v>
      </c>
      <c r="D15" s="1">
        <v>254.75</v>
      </c>
      <c r="E15" s="3">
        <f t="shared" si="2"/>
        <v>6753.48</v>
      </c>
      <c r="F15" s="4">
        <f t="shared" si="0"/>
        <v>291.54000000000087</v>
      </c>
      <c r="G15" s="4">
        <f t="shared" si="1"/>
        <v>-291.54000000000087</v>
      </c>
      <c r="H15" s="12"/>
      <c r="I15" s="12">
        <v>80</v>
      </c>
      <c r="J15" s="13">
        <f t="shared" si="3"/>
        <v>8.9299461123941493E-2</v>
      </c>
      <c r="K15" s="12"/>
    </row>
    <row r="16" spans="1:29" x14ac:dyDescent="0.3">
      <c r="A16" s="2">
        <v>44095</v>
      </c>
      <c r="B16" s="1">
        <v>110.08</v>
      </c>
      <c r="C16" s="1">
        <v>2960.47</v>
      </c>
      <c r="D16" s="1">
        <v>248.15</v>
      </c>
      <c r="E16" s="3">
        <f t="shared" si="2"/>
        <v>6461.9399999999987</v>
      </c>
      <c r="F16" s="4">
        <f t="shared" si="0"/>
        <v>260.71999999999935</v>
      </c>
      <c r="G16" s="4">
        <f t="shared" si="1"/>
        <v>-260.71999999999935</v>
      </c>
      <c r="H16" s="12"/>
      <c r="I16" s="12">
        <v>90</v>
      </c>
      <c r="J16" s="13">
        <f t="shared" si="3"/>
        <v>7.3903002309468821E-2</v>
      </c>
      <c r="K16" s="12"/>
      <c r="M16" s="5" t="s">
        <v>11</v>
      </c>
      <c r="N16" s="18">
        <f>I20</f>
        <v>112</v>
      </c>
    </row>
    <row r="17" spans="1:14" x14ac:dyDescent="0.3">
      <c r="A17" s="2">
        <v>44092</v>
      </c>
      <c r="B17" s="1">
        <v>106.84</v>
      </c>
      <c r="C17" s="1">
        <v>2954.91</v>
      </c>
      <c r="D17" s="1">
        <v>252.53</v>
      </c>
      <c r="E17" s="3">
        <f t="shared" si="2"/>
        <v>6201.2199999999993</v>
      </c>
      <c r="F17" s="4">
        <f t="shared" si="0"/>
        <v>-236.84000000000015</v>
      </c>
      <c r="G17" s="4">
        <f t="shared" si="1"/>
        <v>236.84000000000015</v>
      </c>
      <c r="H17" s="12"/>
      <c r="I17" s="12">
        <v>100</v>
      </c>
      <c r="J17" s="13">
        <f t="shared" si="3"/>
        <v>6.1585835257890686E-2</v>
      </c>
      <c r="K17" s="12"/>
      <c r="M17" s="8" t="s">
        <v>12</v>
      </c>
      <c r="N17" s="19">
        <f>I42</f>
        <v>242</v>
      </c>
    </row>
    <row r="18" spans="1:14" x14ac:dyDescent="0.3">
      <c r="A18" s="2">
        <v>44091</v>
      </c>
      <c r="B18" s="1">
        <v>110.34</v>
      </c>
      <c r="C18" s="1">
        <v>3008.73</v>
      </c>
      <c r="D18" s="1">
        <v>254.82</v>
      </c>
      <c r="E18" s="3">
        <f t="shared" si="2"/>
        <v>6438.0599999999995</v>
      </c>
      <c r="F18" s="4">
        <f t="shared" si="0"/>
        <v>-54.240000000001601</v>
      </c>
      <c r="G18" s="4">
        <f t="shared" si="1"/>
        <v>54.240000000001601</v>
      </c>
      <c r="H18" s="12"/>
      <c r="I18" s="15">
        <v>110</v>
      </c>
      <c r="J18" s="13">
        <f t="shared" si="3"/>
        <v>5.2347959969207082E-2</v>
      </c>
      <c r="K18" s="12"/>
    </row>
    <row r="19" spans="1:14" x14ac:dyDescent="0.3">
      <c r="A19" s="2">
        <v>44090</v>
      </c>
      <c r="B19" s="1">
        <v>112.13</v>
      </c>
      <c r="C19" s="1">
        <v>3078.1</v>
      </c>
      <c r="D19" s="1">
        <v>263.52</v>
      </c>
      <c r="E19" s="3">
        <f t="shared" si="2"/>
        <v>6492.3000000000011</v>
      </c>
      <c r="F19" s="4">
        <f t="shared" si="0"/>
        <v>-148.5619999999999</v>
      </c>
      <c r="G19" s="4">
        <f t="shared" si="1"/>
        <v>148.5619999999999</v>
      </c>
      <c r="H19" s="12"/>
      <c r="I19" s="15">
        <v>111</v>
      </c>
      <c r="J19" s="13">
        <f t="shared" si="3"/>
        <v>5.0808314087759814E-2</v>
      </c>
      <c r="K19" s="12"/>
    </row>
    <row r="20" spans="1:14" x14ac:dyDescent="0.3">
      <c r="A20" s="2">
        <v>44089</v>
      </c>
      <c r="B20" s="1">
        <v>115.54</v>
      </c>
      <c r="C20" s="1">
        <v>3156.13</v>
      </c>
      <c r="D20" s="1">
        <v>272.41989999999998</v>
      </c>
      <c r="E20" s="3">
        <f t="shared" si="2"/>
        <v>6640.862000000001</v>
      </c>
      <c r="F20" s="4">
        <f t="shared" si="0"/>
        <v>-9.8299999999981083</v>
      </c>
      <c r="G20" s="4">
        <f t="shared" si="1"/>
        <v>9.8299999999981083</v>
      </c>
      <c r="H20" s="12"/>
      <c r="I20" s="15">
        <v>112</v>
      </c>
      <c r="J20" s="13">
        <f t="shared" si="3"/>
        <v>5.0038491147036179E-2</v>
      </c>
      <c r="K20" s="12"/>
    </row>
    <row r="21" spans="1:14" x14ac:dyDescent="0.3">
      <c r="A21" s="2">
        <v>44088</v>
      </c>
      <c r="B21" s="1">
        <v>115.355</v>
      </c>
      <c r="C21" s="1">
        <v>3102.97</v>
      </c>
      <c r="D21" s="1">
        <v>266.1499</v>
      </c>
      <c r="E21" s="3">
        <f t="shared" si="2"/>
        <v>6650.6919999999991</v>
      </c>
      <c r="F21" s="4">
        <f t="shared" si="0"/>
        <v>150.45399999999972</v>
      </c>
      <c r="G21" s="4">
        <f t="shared" si="1"/>
        <v>-150.45399999999972</v>
      </c>
      <c r="H21" s="12"/>
      <c r="I21" s="15">
        <v>113</v>
      </c>
      <c r="J21" s="13">
        <f t="shared" si="3"/>
        <v>5.0038491147036179E-2</v>
      </c>
      <c r="K21" s="12"/>
    </row>
    <row r="22" spans="1:14" x14ac:dyDescent="0.3">
      <c r="A22" s="2">
        <v>44085</v>
      </c>
      <c r="B22" s="1">
        <v>112</v>
      </c>
      <c r="C22" s="1">
        <v>3116.22</v>
      </c>
      <c r="D22" s="1">
        <v>266.61009999999999</v>
      </c>
      <c r="E22" s="3">
        <f t="shared" si="2"/>
        <v>6500.2379999999994</v>
      </c>
      <c r="F22" s="4">
        <f t="shared" si="0"/>
        <v>-162.68000000000211</v>
      </c>
      <c r="G22" s="4">
        <f t="shared" si="1"/>
        <v>162.68000000000211</v>
      </c>
      <c r="H22" s="12"/>
      <c r="I22" s="15">
        <v>114</v>
      </c>
      <c r="J22" s="13">
        <f t="shared" si="3"/>
        <v>4.9268668206312545E-2</v>
      </c>
      <c r="K22" s="12"/>
    </row>
    <row r="23" spans="1:14" x14ac:dyDescent="0.3">
      <c r="A23" s="2">
        <v>44084</v>
      </c>
      <c r="B23" s="1">
        <v>113.49</v>
      </c>
      <c r="C23" s="1">
        <v>3175.11</v>
      </c>
      <c r="D23" s="1">
        <v>268.09010000000001</v>
      </c>
      <c r="E23" s="3">
        <f t="shared" si="2"/>
        <v>6662.9180000000015</v>
      </c>
      <c r="F23" s="4">
        <f t="shared" si="0"/>
        <v>-265.90199999999913</v>
      </c>
      <c r="G23" s="4">
        <f t="shared" si="1"/>
        <v>265.90199999999913</v>
      </c>
      <c r="H23" s="12"/>
      <c r="I23" s="15">
        <v>115</v>
      </c>
      <c r="J23" s="13">
        <f t="shared" si="3"/>
        <v>4.8498845265588918E-2</v>
      </c>
      <c r="K23" s="12"/>
    </row>
    <row r="24" spans="1:14" x14ac:dyDescent="0.3">
      <c r="A24" s="2">
        <v>44083</v>
      </c>
      <c r="B24" s="1">
        <v>117.32</v>
      </c>
      <c r="C24" s="1">
        <v>3268.61</v>
      </c>
      <c r="D24" s="1">
        <v>273.72000000000003</v>
      </c>
      <c r="E24" s="3">
        <f t="shared" si="2"/>
        <v>6928.8200000000006</v>
      </c>
      <c r="F24" s="4">
        <f t="shared" si="0"/>
        <v>411.33800000000065</v>
      </c>
      <c r="G24" s="4">
        <f t="shared" si="1"/>
        <v>-411.33800000000065</v>
      </c>
      <c r="H24" s="12"/>
      <c r="I24" s="12">
        <v>116</v>
      </c>
      <c r="J24" s="13">
        <f t="shared" si="3"/>
        <v>4.7729022324865283E-2</v>
      </c>
      <c r="K24" s="12"/>
    </row>
    <row r="25" spans="1:14" x14ac:dyDescent="0.3">
      <c r="A25" s="2">
        <v>44082</v>
      </c>
      <c r="B25" s="1">
        <v>112.82</v>
      </c>
      <c r="C25" s="1">
        <v>3149.84</v>
      </c>
      <c r="D25" s="1">
        <v>271.15989999999999</v>
      </c>
      <c r="E25" s="3">
        <f t="shared" si="2"/>
        <v>6517.482</v>
      </c>
      <c r="F25" s="4">
        <f t="shared" si="0"/>
        <v>-465.15799999999945</v>
      </c>
      <c r="G25" s="4">
        <f t="shared" si="1"/>
        <v>465.15799999999945</v>
      </c>
      <c r="H25" s="12"/>
      <c r="I25" s="12">
        <v>117</v>
      </c>
      <c r="J25" s="13">
        <f t="shared" si="3"/>
        <v>4.6959199384141649E-2</v>
      </c>
      <c r="K25" s="12"/>
    </row>
    <row r="26" spans="1:14" x14ac:dyDescent="0.3">
      <c r="A26" s="2">
        <v>44078</v>
      </c>
      <c r="B26" s="1">
        <v>120.96</v>
      </c>
      <c r="C26" s="1">
        <v>3294.62</v>
      </c>
      <c r="D26" s="1">
        <v>282.73</v>
      </c>
      <c r="E26" s="3">
        <f t="shared" si="2"/>
        <v>6982.6399999999994</v>
      </c>
      <c r="F26" s="4">
        <f t="shared" si="0"/>
        <v>25.041999999999462</v>
      </c>
      <c r="G26" s="4">
        <f t="shared" si="1"/>
        <v>-25.041999999999462</v>
      </c>
      <c r="H26" s="12"/>
      <c r="I26" s="12">
        <v>118</v>
      </c>
      <c r="J26" s="13">
        <f t="shared" si="3"/>
        <v>4.6959199384141649E-2</v>
      </c>
      <c r="K26" s="12"/>
    </row>
    <row r="27" spans="1:14" x14ac:dyDescent="0.3">
      <c r="A27" s="2">
        <v>44077</v>
      </c>
      <c r="B27" s="1">
        <v>120.88</v>
      </c>
      <c r="C27" s="1">
        <v>3368</v>
      </c>
      <c r="D27" s="1">
        <v>291.12009999999998</v>
      </c>
      <c r="E27" s="3">
        <f t="shared" si="2"/>
        <v>6957.598</v>
      </c>
      <c r="F27" s="4">
        <f t="shared" si="0"/>
        <v>-625.30199999999968</v>
      </c>
      <c r="G27" s="4">
        <f t="shared" si="1"/>
        <v>625.30199999999968</v>
      </c>
      <c r="H27" s="12"/>
      <c r="I27" s="12">
        <v>119</v>
      </c>
      <c r="J27" s="13">
        <f t="shared" si="3"/>
        <v>4.6189376443418015E-2</v>
      </c>
      <c r="K27" s="12"/>
    </row>
    <row r="28" spans="1:14" x14ac:dyDescent="0.3">
      <c r="A28" s="2">
        <v>44076</v>
      </c>
      <c r="B28" s="1">
        <v>131.4</v>
      </c>
      <c r="C28" s="1">
        <v>3531.45</v>
      </c>
      <c r="D28" s="1">
        <v>302.5</v>
      </c>
      <c r="E28" s="3">
        <f t="shared" si="2"/>
        <v>7582.9</v>
      </c>
      <c r="F28" s="4">
        <f t="shared" si="0"/>
        <v>-215.54199999999946</v>
      </c>
      <c r="G28" s="4">
        <f t="shared" si="1"/>
        <v>215.54199999999946</v>
      </c>
      <c r="H28" s="12"/>
      <c r="I28" s="12">
        <v>120</v>
      </c>
      <c r="J28" s="13">
        <f t="shared" si="3"/>
        <v>4.6189376443418015E-2</v>
      </c>
      <c r="K28" s="12"/>
    </row>
    <row r="29" spans="1:14" x14ac:dyDescent="0.3">
      <c r="A29" s="2">
        <v>44075</v>
      </c>
      <c r="B29" s="1">
        <v>134.18</v>
      </c>
      <c r="C29" s="1">
        <v>3499.12</v>
      </c>
      <c r="D29" s="1">
        <v>295.43990000000002</v>
      </c>
      <c r="E29" s="3">
        <f t="shared" si="2"/>
        <v>7798.4419999999991</v>
      </c>
      <c r="F29" s="4">
        <f t="shared" si="0"/>
        <v>308.52199999999903</v>
      </c>
      <c r="G29" s="4">
        <f t="shared" si="1"/>
        <v>-308.52199999999903</v>
      </c>
      <c r="H29" s="12"/>
      <c r="I29" s="12">
        <v>130</v>
      </c>
      <c r="J29" s="13">
        <f t="shared" si="3"/>
        <v>4.0030792917628948E-2</v>
      </c>
      <c r="K29" s="12"/>
    </row>
    <row r="30" spans="1:14" x14ac:dyDescent="0.3">
      <c r="A30" s="2">
        <v>44074</v>
      </c>
      <c r="B30" s="1">
        <v>129.04</v>
      </c>
      <c r="C30" s="1">
        <v>3450.96</v>
      </c>
      <c r="D30" s="1">
        <v>293.2</v>
      </c>
      <c r="E30" s="3">
        <f t="shared" si="2"/>
        <v>7489.92</v>
      </c>
      <c r="F30" s="4">
        <f t="shared" si="0"/>
        <v>319.14300000000003</v>
      </c>
      <c r="G30" s="4">
        <f t="shared" si="1"/>
        <v>-319.14300000000003</v>
      </c>
      <c r="H30" s="12"/>
      <c r="I30" s="12">
        <v>140</v>
      </c>
      <c r="J30" s="13">
        <f t="shared" si="3"/>
        <v>3.7721324095458045E-2</v>
      </c>
      <c r="K30" s="12"/>
    </row>
    <row r="31" spans="1:14" x14ac:dyDescent="0.3">
      <c r="A31" s="2">
        <v>44071</v>
      </c>
      <c r="B31" s="1">
        <v>124.8075</v>
      </c>
      <c r="C31" s="1">
        <v>3401.8</v>
      </c>
      <c r="D31" s="1">
        <v>293.65989999999999</v>
      </c>
      <c r="E31" s="3">
        <f t="shared" si="2"/>
        <v>7170.777</v>
      </c>
      <c r="F31" s="4">
        <f t="shared" si="0"/>
        <v>-15.322999999999411</v>
      </c>
      <c r="G31" s="4">
        <f t="shared" si="1"/>
        <v>15.322999999999411</v>
      </c>
      <c r="H31" s="12"/>
      <c r="I31" s="12">
        <v>150</v>
      </c>
      <c r="J31" s="13">
        <f t="shared" si="3"/>
        <v>3.3872209391839873E-2</v>
      </c>
      <c r="K31" s="12"/>
    </row>
    <row r="32" spans="1:14" x14ac:dyDescent="0.3">
      <c r="A32" s="2">
        <v>44070</v>
      </c>
      <c r="B32" s="1">
        <v>125.01</v>
      </c>
      <c r="C32" s="1">
        <v>3400</v>
      </c>
      <c r="D32" s="1">
        <v>293.22000000000003</v>
      </c>
      <c r="E32" s="3">
        <f t="shared" si="2"/>
        <v>7186.0999999999995</v>
      </c>
      <c r="F32" s="4">
        <f t="shared" si="0"/>
        <v>54.472999999999047</v>
      </c>
      <c r="G32" s="4">
        <f t="shared" si="1"/>
        <v>-54.472999999999047</v>
      </c>
      <c r="H32" s="12"/>
      <c r="I32" s="12">
        <v>160</v>
      </c>
      <c r="J32" s="13">
        <f t="shared" si="3"/>
        <v>3.2332563510392612E-2</v>
      </c>
      <c r="K32" s="12"/>
    </row>
    <row r="33" spans="1:13" x14ac:dyDescent="0.3">
      <c r="A33" s="2">
        <v>44069</v>
      </c>
      <c r="B33" s="1">
        <v>126.52249999999999</v>
      </c>
      <c r="C33" s="1">
        <v>3441.85</v>
      </c>
      <c r="D33" s="1">
        <v>303.90989999999999</v>
      </c>
      <c r="E33" s="3">
        <f t="shared" si="2"/>
        <v>7131.6270000000004</v>
      </c>
      <c r="F33" s="4">
        <f t="shared" si="0"/>
        <v>-186.20099999999911</v>
      </c>
      <c r="G33" s="4">
        <f t="shared" si="1"/>
        <v>186.20099999999911</v>
      </c>
      <c r="H33" s="12"/>
      <c r="I33" s="12">
        <v>170</v>
      </c>
      <c r="J33" s="13">
        <f t="shared" si="3"/>
        <v>2.6173979984603541E-2</v>
      </c>
      <c r="K33" s="12"/>
    </row>
    <row r="34" spans="1:13" x14ac:dyDescent="0.3">
      <c r="A34" s="2">
        <v>44068</v>
      </c>
      <c r="B34" s="1">
        <v>124.825</v>
      </c>
      <c r="C34" s="1">
        <v>3346.49</v>
      </c>
      <c r="D34" s="1">
        <v>280.82010000000002</v>
      </c>
      <c r="E34" s="3">
        <f t="shared" si="2"/>
        <v>7317.8279999999995</v>
      </c>
      <c r="F34" s="4">
        <f t="shared" si="0"/>
        <v>-162.16899999999987</v>
      </c>
      <c r="G34" s="4">
        <f t="shared" si="1"/>
        <v>162.16899999999987</v>
      </c>
      <c r="H34" s="12"/>
      <c r="I34" s="12">
        <v>180</v>
      </c>
      <c r="J34" s="13">
        <f t="shared" si="3"/>
        <v>2.2324865280985373E-2</v>
      </c>
      <c r="K34" s="12"/>
    </row>
    <row r="35" spans="1:13" x14ac:dyDescent="0.3">
      <c r="A35" s="2">
        <v>44067</v>
      </c>
      <c r="B35" s="1">
        <v>125.8575</v>
      </c>
      <c r="C35" s="1">
        <v>3307.46</v>
      </c>
      <c r="D35" s="1">
        <v>271.38990000000001</v>
      </c>
      <c r="E35" s="3">
        <f t="shared" si="2"/>
        <v>7479.9969999999994</v>
      </c>
      <c r="F35" s="4">
        <f t="shared" si="0"/>
        <v>32.257000000000517</v>
      </c>
      <c r="G35" s="4">
        <f t="shared" si="1"/>
        <v>-32.257000000000517</v>
      </c>
      <c r="H35" s="12"/>
      <c r="I35" s="12">
        <v>190</v>
      </c>
      <c r="J35" s="13">
        <f t="shared" si="3"/>
        <v>2.0015396458814474E-2</v>
      </c>
      <c r="K35" s="12"/>
    </row>
    <row r="36" spans="1:13" x14ac:dyDescent="0.3">
      <c r="A36" s="2">
        <v>44064</v>
      </c>
      <c r="B36" s="1">
        <v>124.37</v>
      </c>
      <c r="C36" s="1">
        <v>3284.72</v>
      </c>
      <c r="D36" s="1">
        <v>267.01</v>
      </c>
      <c r="E36" s="3">
        <f t="shared" si="2"/>
        <v>7447.7399999999989</v>
      </c>
      <c r="F36" s="4">
        <f t="shared" si="0"/>
        <v>319.44999999999891</v>
      </c>
      <c r="G36" s="4">
        <f t="shared" si="1"/>
        <v>-319.44999999999891</v>
      </c>
      <c r="H36" s="12"/>
      <c r="I36" s="12">
        <v>200</v>
      </c>
      <c r="J36" s="13">
        <f t="shared" si="3"/>
        <v>1.7705927636643571E-2</v>
      </c>
      <c r="K36" s="12"/>
    </row>
    <row r="37" spans="1:13" x14ac:dyDescent="0.3">
      <c r="A37" s="2">
        <v>44063</v>
      </c>
      <c r="B37" s="1">
        <v>118.27500000000001</v>
      </c>
      <c r="C37" s="1">
        <v>3297.37</v>
      </c>
      <c r="D37" s="1">
        <v>269.01</v>
      </c>
      <c r="E37" s="3">
        <f t="shared" si="2"/>
        <v>7128.29</v>
      </c>
      <c r="F37" s="4">
        <f t="shared" si="0"/>
        <v>73.757000000000517</v>
      </c>
      <c r="G37" s="4">
        <f t="shared" si="1"/>
        <v>-73.757000000000517</v>
      </c>
      <c r="H37" s="12"/>
      <c r="I37" s="12">
        <v>210</v>
      </c>
      <c r="J37" s="13">
        <f t="shared" si="3"/>
        <v>1.6166281755196306E-2</v>
      </c>
      <c r="K37" s="12"/>
      <c r="M37" s="17"/>
    </row>
    <row r="38" spans="1:13" x14ac:dyDescent="0.3">
      <c r="A38" s="2">
        <v>44062</v>
      </c>
      <c r="B38" s="1">
        <v>115.7075</v>
      </c>
      <c r="C38" s="1">
        <v>3260.48</v>
      </c>
      <c r="D38" s="1">
        <v>262.59010000000001</v>
      </c>
      <c r="E38" s="3">
        <f t="shared" si="2"/>
        <v>7054.5329999999994</v>
      </c>
      <c r="F38" s="4">
        <f t="shared" si="0"/>
        <v>-101.77000000000044</v>
      </c>
      <c r="G38" s="4">
        <f t="shared" si="1"/>
        <v>101.77000000000044</v>
      </c>
      <c r="H38" s="12"/>
      <c r="I38" s="12">
        <v>220</v>
      </c>
      <c r="J38" s="13">
        <f t="shared" si="3"/>
        <v>1.3086989992301771E-2</v>
      </c>
      <c r="K38" s="12"/>
    </row>
    <row r="39" spans="1:13" x14ac:dyDescent="0.3">
      <c r="A39" s="2">
        <v>44061</v>
      </c>
      <c r="B39" s="1">
        <v>115.5625</v>
      </c>
      <c r="C39" s="1">
        <v>3312.49</v>
      </c>
      <c r="D39" s="1">
        <v>262.34010000000001</v>
      </c>
      <c r="E39" s="3">
        <f t="shared" si="2"/>
        <v>7156.3029999999999</v>
      </c>
      <c r="F39" s="4">
        <f t="shared" si="0"/>
        <v>284.30600000000049</v>
      </c>
      <c r="G39" s="4">
        <f t="shared" si="1"/>
        <v>-284.30600000000049</v>
      </c>
      <c r="H39" s="12"/>
      <c r="I39" s="12">
        <v>230</v>
      </c>
      <c r="J39" s="13">
        <f t="shared" si="3"/>
        <v>1.3086989992301771E-2</v>
      </c>
      <c r="K39" s="12"/>
    </row>
    <row r="40" spans="1:13" x14ac:dyDescent="0.3">
      <c r="A40" s="2">
        <v>44060</v>
      </c>
      <c r="B40" s="1">
        <v>114.6075</v>
      </c>
      <c r="C40" s="1">
        <v>3182.41</v>
      </c>
      <c r="D40" s="1">
        <v>261.15989999999999</v>
      </c>
      <c r="E40" s="3">
        <f t="shared" si="2"/>
        <v>6871.9969999999994</v>
      </c>
      <c r="F40" s="4">
        <f t="shared" si="0"/>
        <v>55.381999999998698</v>
      </c>
      <c r="G40" s="4">
        <f t="shared" si="1"/>
        <v>-55.381999999998698</v>
      </c>
      <c r="H40" s="12"/>
      <c r="I40" s="12">
        <v>240</v>
      </c>
      <c r="J40" s="13">
        <f t="shared" si="3"/>
        <v>1.0777521170130869E-2</v>
      </c>
      <c r="K40" s="12"/>
    </row>
    <row r="41" spans="1:13" x14ac:dyDescent="0.3">
      <c r="A41" s="2">
        <v>44057</v>
      </c>
      <c r="B41" s="1">
        <v>114.9075</v>
      </c>
      <c r="C41" s="1">
        <v>3148.02</v>
      </c>
      <c r="D41" s="1">
        <v>261.24</v>
      </c>
      <c r="E41" s="3">
        <f t="shared" si="2"/>
        <v>6816.6150000000007</v>
      </c>
      <c r="F41" s="4">
        <f t="shared" si="0"/>
        <v>-29.925000000000182</v>
      </c>
      <c r="G41" s="4">
        <f t="shared" si="1"/>
        <v>29.925000000000182</v>
      </c>
      <c r="H41" s="12"/>
      <c r="I41" s="12">
        <v>241</v>
      </c>
      <c r="J41" s="13">
        <f t="shared" si="3"/>
        <v>1.0777521170130869E-2</v>
      </c>
      <c r="K41" s="12"/>
    </row>
    <row r="42" spans="1:13" x14ac:dyDescent="0.3">
      <c r="A42" s="2">
        <v>44056</v>
      </c>
      <c r="B42" s="1">
        <v>115.01</v>
      </c>
      <c r="C42" s="1">
        <v>3161.02</v>
      </c>
      <c r="D42" s="1">
        <v>261.3</v>
      </c>
      <c r="E42" s="3">
        <f t="shared" si="2"/>
        <v>6846.5400000000009</v>
      </c>
      <c r="F42" s="4">
        <f t="shared" si="0"/>
        <v>69.358000000001994</v>
      </c>
      <c r="G42" s="4">
        <f t="shared" si="1"/>
        <v>-69.358000000001994</v>
      </c>
      <c r="H42" s="12"/>
      <c r="I42" s="14">
        <v>242</v>
      </c>
      <c r="J42" s="13">
        <f t="shared" si="3"/>
        <v>1.0007698229407237E-2</v>
      </c>
      <c r="K42" s="12"/>
    </row>
    <row r="43" spans="1:13" x14ac:dyDescent="0.3">
      <c r="A43" s="2">
        <v>44055</v>
      </c>
      <c r="B43" s="1">
        <v>113.01</v>
      </c>
      <c r="C43" s="1">
        <v>3162.24</v>
      </c>
      <c r="D43" s="1">
        <v>259.88990000000001</v>
      </c>
      <c r="E43" s="3">
        <f t="shared" si="2"/>
        <v>6777.1819999999989</v>
      </c>
      <c r="F43" s="4">
        <f t="shared" si="0"/>
        <v>269.68999999999869</v>
      </c>
      <c r="G43" s="4">
        <f t="shared" si="1"/>
        <v>-269.68999999999869</v>
      </c>
      <c r="H43" s="12"/>
      <c r="I43" s="14">
        <v>243</v>
      </c>
      <c r="J43" s="13">
        <f t="shared" si="3"/>
        <v>1.0007698229407237E-2</v>
      </c>
      <c r="K43" s="12"/>
    </row>
    <row r="44" spans="1:13" x14ac:dyDescent="0.3">
      <c r="A44" s="2">
        <v>44054</v>
      </c>
      <c r="B44" s="1">
        <v>109.375</v>
      </c>
      <c r="C44" s="1">
        <v>3080.67</v>
      </c>
      <c r="D44" s="1">
        <v>256.12990000000002</v>
      </c>
      <c r="E44" s="3">
        <f t="shared" si="2"/>
        <v>6507.4920000000002</v>
      </c>
      <c r="F44" s="4">
        <f t="shared" si="0"/>
        <v>-165.1979999999985</v>
      </c>
      <c r="G44" s="4">
        <f t="shared" si="1"/>
        <v>165.1979999999985</v>
      </c>
      <c r="H44" s="12"/>
      <c r="I44" s="14">
        <v>244</v>
      </c>
      <c r="J44" s="13">
        <f t="shared" si="3"/>
        <v>1.0007698229407237E-2</v>
      </c>
      <c r="K44" s="12"/>
    </row>
    <row r="45" spans="1:13" x14ac:dyDescent="0.3">
      <c r="A45" s="2">
        <v>44053</v>
      </c>
      <c r="B45" s="1">
        <v>112.7274</v>
      </c>
      <c r="C45" s="1">
        <v>3148.16</v>
      </c>
      <c r="D45" s="1">
        <v>263</v>
      </c>
      <c r="E45" s="3">
        <f t="shared" si="2"/>
        <v>6672.6899999999987</v>
      </c>
      <c r="F45" s="4">
        <f t="shared" si="0"/>
        <v>150.9429999999993</v>
      </c>
      <c r="G45" s="4">
        <f t="shared" si="1"/>
        <v>-150.9429999999993</v>
      </c>
      <c r="H45" s="12"/>
      <c r="I45" s="14">
        <v>245</v>
      </c>
      <c r="J45" s="13">
        <f t="shared" si="3"/>
        <v>1.0007698229407237E-2</v>
      </c>
      <c r="K45" s="12"/>
    </row>
    <row r="46" spans="1:13" x14ac:dyDescent="0.3">
      <c r="A46" s="2">
        <v>44050</v>
      </c>
      <c r="B46" s="1">
        <v>111.1125</v>
      </c>
      <c r="C46" s="1">
        <v>3167.46</v>
      </c>
      <c r="D46" s="1">
        <v>268.43990000000002</v>
      </c>
      <c r="E46" s="3">
        <f t="shared" si="2"/>
        <v>6521.7469999999994</v>
      </c>
      <c r="F46" s="4">
        <f t="shared" si="0"/>
        <v>-317.77800000000116</v>
      </c>
      <c r="G46" s="4">
        <f t="shared" si="1"/>
        <v>317.77800000000116</v>
      </c>
      <c r="H46" s="12"/>
      <c r="I46" s="12">
        <v>246</v>
      </c>
      <c r="J46" s="13">
        <f t="shared" si="3"/>
        <v>9.2378752886836026E-3</v>
      </c>
      <c r="K46" s="12"/>
    </row>
    <row r="47" spans="1:13" x14ac:dyDescent="0.3">
      <c r="A47" s="2">
        <v>44049</v>
      </c>
      <c r="B47" s="1">
        <v>113.9025</v>
      </c>
      <c r="C47" s="1">
        <v>3225</v>
      </c>
      <c r="D47" s="1">
        <v>265.27999999999997</v>
      </c>
      <c r="E47" s="3">
        <f t="shared" si="2"/>
        <v>6839.5250000000005</v>
      </c>
      <c r="F47" s="4">
        <f t="shared" si="0"/>
        <v>-91.260000000001128</v>
      </c>
      <c r="G47" s="4">
        <f t="shared" si="1"/>
        <v>91.260000000001128</v>
      </c>
      <c r="H47" s="12"/>
      <c r="I47" s="12">
        <v>247</v>
      </c>
      <c r="J47" s="13">
        <f t="shared" si="3"/>
        <v>8.4680523479599683E-3</v>
      </c>
      <c r="K47" s="12"/>
    </row>
    <row r="48" spans="1:13" x14ac:dyDescent="0.3">
      <c r="A48" s="2">
        <v>44048</v>
      </c>
      <c r="B48" s="1">
        <v>110.0625</v>
      </c>
      <c r="C48" s="1">
        <v>3205.03</v>
      </c>
      <c r="D48" s="1">
        <v>249.12</v>
      </c>
      <c r="E48" s="3">
        <f t="shared" si="2"/>
        <v>6930.7850000000017</v>
      </c>
      <c r="F48" s="4">
        <f t="shared" si="0"/>
        <v>166.47500000000218</v>
      </c>
      <c r="G48" s="4">
        <f t="shared" si="1"/>
        <v>-166.47500000000218</v>
      </c>
      <c r="H48" s="12"/>
      <c r="I48" s="12">
        <v>248</v>
      </c>
      <c r="J48" s="13">
        <f t="shared" si="3"/>
        <v>7.6982294072363358E-3</v>
      </c>
      <c r="K48" s="12"/>
    </row>
    <row r="49" spans="1:11" x14ac:dyDescent="0.3">
      <c r="A49" s="2">
        <v>44047</v>
      </c>
      <c r="B49" s="1">
        <v>109.66500000000001</v>
      </c>
      <c r="C49" s="1">
        <v>3138.83</v>
      </c>
      <c r="D49" s="1">
        <v>249.83</v>
      </c>
      <c r="E49" s="3">
        <f t="shared" si="2"/>
        <v>6764.3099999999995</v>
      </c>
      <c r="F49" s="4">
        <f t="shared" si="0"/>
        <v>132.85500000000047</v>
      </c>
      <c r="G49" s="4">
        <f t="shared" si="1"/>
        <v>-132.85500000000047</v>
      </c>
      <c r="H49" s="12"/>
      <c r="I49" s="12">
        <v>249</v>
      </c>
      <c r="J49" s="13">
        <f t="shared" si="3"/>
        <v>7.6982294072363358E-3</v>
      </c>
      <c r="K49" s="12"/>
    </row>
    <row r="50" spans="1:11" x14ac:dyDescent="0.3">
      <c r="A50" s="2">
        <v>44046</v>
      </c>
      <c r="B50" s="1">
        <v>108.9375</v>
      </c>
      <c r="C50" s="1">
        <v>3111.89</v>
      </c>
      <c r="D50" s="1">
        <v>251.96</v>
      </c>
      <c r="E50" s="3">
        <f t="shared" si="2"/>
        <v>6631.454999999999</v>
      </c>
      <c r="F50" s="4">
        <f t="shared" si="0"/>
        <v>62.494999999998072</v>
      </c>
      <c r="G50" s="4">
        <f t="shared" si="1"/>
        <v>-62.494999999998072</v>
      </c>
      <c r="H50" s="12"/>
      <c r="I50" s="12">
        <v>250</v>
      </c>
      <c r="J50" s="13">
        <f t="shared" si="3"/>
        <v>7.6982294072363358E-3</v>
      </c>
      <c r="K50" s="12"/>
    </row>
    <row r="51" spans="1:11" x14ac:dyDescent="0.3">
      <c r="A51" s="2">
        <v>44043</v>
      </c>
      <c r="B51" s="1">
        <v>106.26</v>
      </c>
      <c r="C51" s="1">
        <v>3164.68</v>
      </c>
      <c r="D51" s="1">
        <v>253.67</v>
      </c>
      <c r="E51" s="3">
        <f t="shared" si="2"/>
        <v>6568.9600000000009</v>
      </c>
      <c r="F51" s="4">
        <f t="shared" si="0"/>
        <v>345.70000000000073</v>
      </c>
      <c r="G51" s="4">
        <f t="shared" si="1"/>
        <v>-345.70000000000073</v>
      </c>
      <c r="H51" s="12"/>
      <c r="I51" s="12">
        <v>260</v>
      </c>
      <c r="J51" s="13">
        <f t="shared" si="3"/>
        <v>6.9284064665127024E-3</v>
      </c>
      <c r="K51" s="12"/>
    </row>
    <row r="52" spans="1:11" x14ac:dyDescent="0.3">
      <c r="A52" s="2">
        <v>44042</v>
      </c>
      <c r="B52" s="1">
        <v>96.19</v>
      </c>
      <c r="C52" s="1">
        <v>3051.88</v>
      </c>
      <c r="D52" s="1">
        <v>234.5</v>
      </c>
      <c r="E52" s="3">
        <f t="shared" si="2"/>
        <v>6223.26</v>
      </c>
      <c r="F52" s="4">
        <f t="shared" si="0"/>
        <v>69.999999999999091</v>
      </c>
      <c r="G52" s="4">
        <f t="shared" si="1"/>
        <v>-69.999999999999091</v>
      </c>
      <c r="H52" s="12"/>
      <c r="I52" s="12">
        <v>270</v>
      </c>
      <c r="J52" s="13">
        <f t="shared" si="3"/>
        <v>6.1585835257890681E-3</v>
      </c>
      <c r="K52" s="12"/>
    </row>
    <row r="53" spans="1:11" x14ac:dyDescent="0.3">
      <c r="A53" s="2">
        <v>44041</v>
      </c>
      <c r="B53" s="1">
        <v>95.04</v>
      </c>
      <c r="C53" s="1">
        <v>3033.53</v>
      </c>
      <c r="D53" s="1">
        <v>233.29</v>
      </c>
      <c r="E53" s="3">
        <f t="shared" si="2"/>
        <v>6153.2600000000011</v>
      </c>
      <c r="F53" s="4">
        <f t="shared" si="0"/>
        <v>92.375000000000909</v>
      </c>
      <c r="G53" s="4">
        <f t="shared" si="1"/>
        <v>-92.375000000000909</v>
      </c>
      <c r="H53" s="12"/>
      <c r="I53" s="12"/>
      <c r="J53" s="12"/>
      <c r="K53" s="12"/>
    </row>
    <row r="54" spans="1:11" x14ac:dyDescent="0.3">
      <c r="A54" s="2">
        <v>44040</v>
      </c>
      <c r="B54" s="1">
        <v>93.252499999999998</v>
      </c>
      <c r="C54" s="1">
        <v>3000.33</v>
      </c>
      <c r="D54" s="1">
        <v>230.12</v>
      </c>
      <c r="E54" s="3">
        <f t="shared" si="2"/>
        <v>6060.8850000000002</v>
      </c>
      <c r="F54" s="4">
        <f t="shared" si="0"/>
        <v>-120.03499999999985</v>
      </c>
      <c r="G54" s="4">
        <f t="shared" si="1"/>
        <v>120.03499999999985</v>
      </c>
    </row>
    <row r="55" spans="1:11" x14ac:dyDescent="0.3">
      <c r="A55" s="2">
        <v>44039</v>
      </c>
      <c r="B55" s="1">
        <v>94.81</v>
      </c>
      <c r="C55" s="1">
        <v>3055.21</v>
      </c>
      <c r="D55" s="1">
        <v>233.5</v>
      </c>
      <c r="E55" s="3">
        <f t="shared" si="2"/>
        <v>6180.92</v>
      </c>
      <c r="F55" s="4">
        <f t="shared" si="0"/>
        <v>146.55000000000018</v>
      </c>
      <c r="G55" s="4">
        <f t="shared" si="1"/>
        <v>-146.55000000000018</v>
      </c>
    </row>
    <row r="56" spans="1:11" x14ac:dyDescent="0.3">
      <c r="A56" s="2">
        <v>44036</v>
      </c>
      <c r="B56" s="1">
        <v>92.614999999999995</v>
      </c>
      <c r="C56" s="1">
        <v>3008.91</v>
      </c>
      <c r="D56" s="1">
        <v>230.71</v>
      </c>
      <c r="E56" s="3">
        <f t="shared" si="2"/>
        <v>6034.37</v>
      </c>
      <c r="F56" s="4">
        <f t="shared" si="0"/>
        <v>71.019999999999527</v>
      </c>
      <c r="G56" s="4">
        <f t="shared" si="1"/>
        <v>-71.019999999999527</v>
      </c>
    </row>
    <row r="57" spans="1:11" x14ac:dyDescent="0.3">
      <c r="A57" s="2">
        <v>44035</v>
      </c>
      <c r="B57" s="1">
        <v>92.844999999999999</v>
      </c>
      <c r="C57" s="1">
        <v>2986.55</v>
      </c>
      <c r="D57" s="1">
        <v>232.6</v>
      </c>
      <c r="E57" s="3">
        <f t="shared" si="2"/>
        <v>5963.35</v>
      </c>
      <c r="F57" s="4">
        <f t="shared" si="0"/>
        <v>-302.69499999999971</v>
      </c>
      <c r="G57" s="4">
        <f t="shared" si="1"/>
        <v>302.69499999999971</v>
      </c>
    </row>
    <row r="58" spans="1:11" x14ac:dyDescent="0.3">
      <c r="A58" s="2">
        <v>44034</v>
      </c>
      <c r="B58" s="1">
        <v>97.272499999999994</v>
      </c>
      <c r="C58" s="1">
        <v>3099.91</v>
      </c>
      <c r="D58" s="1">
        <v>239.87</v>
      </c>
      <c r="E58" s="3">
        <f t="shared" si="2"/>
        <v>6266.0450000000001</v>
      </c>
      <c r="F58" s="4">
        <f t="shared" si="0"/>
        <v>-25.534999999999854</v>
      </c>
      <c r="G58" s="4">
        <f t="shared" si="1"/>
        <v>25.534999999999854</v>
      </c>
    </row>
    <row r="59" spans="1:11" x14ac:dyDescent="0.3">
      <c r="A59" s="2">
        <v>44033</v>
      </c>
      <c r="B59" s="1">
        <v>97</v>
      </c>
      <c r="C59" s="1">
        <v>3138.29</v>
      </c>
      <c r="D59" s="1">
        <v>241.75</v>
      </c>
      <c r="E59" s="3">
        <f t="shared" si="2"/>
        <v>6291.58</v>
      </c>
      <c r="F59" s="4">
        <f t="shared" si="0"/>
        <v>-111.57500000000073</v>
      </c>
      <c r="G59" s="4">
        <f t="shared" si="1"/>
        <v>111.57500000000073</v>
      </c>
    </row>
    <row r="60" spans="1:11" x14ac:dyDescent="0.3">
      <c r="A60" s="2">
        <v>44032</v>
      </c>
      <c r="B60" s="1">
        <v>98.357500000000002</v>
      </c>
      <c r="C60" s="1">
        <v>3196.84</v>
      </c>
      <c r="D60" s="1">
        <v>245.42</v>
      </c>
      <c r="E60" s="3">
        <f t="shared" si="2"/>
        <v>6403.1550000000007</v>
      </c>
      <c r="F60" s="4">
        <f t="shared" si="0"/>
        <v>503.44000000000233</v>
      </c>
      <c r="G60" s="4">
        <f t="shared" si="1"/>
        <v>-503.44000000000233</v>
      </c>
    </row>
    <row r="61" spans="1:11" x14ac:dyDescent="0.3">
      <c r="A61" s="2">
        <v>44029</v>
      </c>
      <c r="B61" s="1">
        <v>96.327500000000001</v>
      </c>
      <c r="C61" s="1">
        <v>2961.97</v>
      </c>
      <c r="D61" s="1">
        <v>242.03</v>
      </c>
      <c r="E61" s="3">
        <f t="shared" si="2"/>
        <v>5899.7149999999983</v>
      </c>
      <c r="F61" s="4">
        <f t="shared" si="0"/>
        <v>-107.61000000000058</v>
      </c>
      <c r="G61" s="4">
        <f t="shared" si="1"/>
        <v>107.61000000000058</v>
      </c>
    </row>
    <row r="62" spans="1:11" x14ac:dyDescent="0.3">
      <c r="A62" s="2">
        <v>44028</v>
      </c>
      <c r="B62" s="1">
        <v>96.522499999999994</v>
      </c>
      <c r="C62" s="1">
        <v>2999.9</v>
      </c>
      <c r="D62" s="1">
        <v>240.93</v>
      </c>
      <c r="E62" s="3">
        <f t="shared" si="2"/>
        <v>6007.3249999999989</v>
      </c>
      <c r="F62" s="4">
        <f t="shared" si="0"/>
        <v>-91.065000000000509</v>
      </c>
      <c r="G62" s="4">
        <f t="shared" si="1"/>
        <v>91.065000000000509</v>
      </c>
    </row>
    <row r="63" spans="1:11" x14ac:dyDescent="0.3">
      <c r="A63" s="2">
        <v>44027</v>
      </c>
      <c r="B63" s="1">
        <v>97.724999999999994</v>
      </c>
      <c r="C63" s="1">
        <v>3008.87</v>
      </c>
      <c r="D63" s="1">
        <v>240.28</v>
      </c>
      <c r="E63" s="3">
        <f t="shared" si="2"/>
        <v>6098.3899999999994</v>
      </c>
      <c r="F63" s="4">
        <f t="shared" si="0"/>
        <v>-127.88500000000113</v>
      </c>
      <c r="G63" s="4">
        <f t="shared" si="1"/>
        <v>127.88500000000113</v>
      </c>
    </row>
    <row r="64" spans="1:11" x14ac:dyDescent="0.3">
      <c r="A64" s="2">
        <v>44026</v>
      </c>
      <c r="B64" s="1">
        <v>97.057500000000005</v>
      </c>
      <c r="C64" s="1">
        <v>3084</v>
      </c>
      <c r="D64" s="1">
        <v>239.73</v>
      </c>
      <c r="E64" s="3">
        <f t="shared" si="2"/>
        <v>6226.2750000000005</v>
      </c>
      <c r="F64" s="4">
        <f t="shared" si="0"/>
        <v>24.400000000000546</v>
      </c>
      <c r="G64" s="4">
        <f t="shared" si="1"/>
        <v>-24.400000000000546</v>
      </c>
    </row>
    <row r="65" spans="1:7" x14ac:dyDescent="0.3">
      <c r="A65" s="2">
        <v>44025</v>
      </c>
      <c r="B65" s="1">
        <v>95.477500000000006</v>
      </c>
      <c r="C65" s="1">
        <v>3104</v>
      </c>
      <c r="D65" s="1">
        <v>239</v>
      </c>
      <c r="E65" s="3">
        <f t="shared" si="2"/>
        <v>6201.875</v>
      </c>
      <c r="F65" s="4">
        <f t="shared" si="0"/>
        <v>-92.725000000000364</v>
      </c>
      <c r="G65" s="4">
        <f t="shared" si="1"/>
        <v>92.725000000000364</v>
      </c>
    </row>
    <row r="66" spans="1:7" x14ac:dyDescent="0.3">
      <c r="A66" s="2">
        <v>44022</v>
      </c>
      <c r="B66" s="1">
        <v>95.92</v>
      </c>
      <c r="C66" s="1">
        <v>3200</v>
      </c>
      <c r="D66" s="1">
        <v>245.07</v>
      </c>
      <c r="E66" s="3">
        <f t="shared" si="2"/>
        <v>6294.6</v>
      </c>
      <c r="F66" s="4">
        <f t="shared" si="0"/>
        <v>35.215000000000146</v>
      </c>
      <c r="G66" s="4">
        <f t="shared" si="1"/>
        <v>-35.215000000000146</v>
      </c>
    </row>
    <row r="67" spans="1:7" x14ac:dyDescent="0.3">
      <c r="A67" s="2">
        <v>44021</v>
      </c>
      <c r="B67" s="1">
        <v>95.682500000000005</v>
      </c>
      <c r="C67" s="1">
        <v>3182.63</v>
      </c>
      <c r="D67" s="1">
        <v>244.5</v>
      </c>
      <c r="E67" s="3">
        <f t="shared" si="2"/>
        <v>6259.3850000000002</v>
      </c>
      <c r="F67" s="4">
        <f t="shared" si="0"/>
        <v>201.63999999999942</v>
      </c>
      <c r="G67" s="4">
        <f t="shared" si="1"/>
        <v>-201.63999999999942</v>
      </c>
    </row>
    <row r="68" spans="1:7" x14ac:dyDescent="0.3">
      <c r="A68" s="2">
        <v>44020</v>
      </c>
      <c r="B68" s="1">
        <v>95.342500000000001</v>
      </c>
      <c r="C68" s="1">
        <v>3081.11</v>
      </c>
      <c r="D68" s="1">
        <v>243.58</v>
      </c>
      <c r="E68" s="3">
        <f t="shared" si="2"/>
        <v>6057.7450000000008</v>
      </c>
      <c r="F68" s="4">
        <f t="shared" si="0"/>
        <v>216.08000000000175</v>
      </c>
      <c r="G68" s="4">
        <f t="shared" si="1"/>
        <v>-216.08000000000175</v>
      </c>
    </row>
    <row r="69" spans="1:7" x14ac:dyDescent="0.3">
      <c r="A69" s="2">
        <v>44019</v>
      </c>
      <c r="B69" s="1">
        <v>93.172499999999999</v>
      </c>
      <c r="C69" s="1">
        <v>3000.12</v>
      </c>
      <c r="D69" s="1">
        <v>240.86</v>
      </c>
      <c r="E69" s="3">
        <f t="shared" si="2"/>
        <v>5841.6649999999991</v>
      </c>
      <c r="F69" s="4">
        <f t="shared" ref="F69:F132" si="4">E69-E70</f>
        <v>-139.94000000000051</v>
      </c>
      <c r="G69" s="4">
        <f t="shared" ref="G69:G132" si="5">-F69</f>
        <v>139.94000000000051</v>
      </c>
    </row>
    <row r="70" spans="1:7" x14ac:dyDescent="0.3">
      <c r="A70" s="2">
        <v>44018</v>
      </c>
      <c r="B70" s="1">
        <v>93.462500000000006</v>
      </c>
      <c r="C70" s="1">
        <v>3057.04</v>
      </c>
      <c r="D70" s="1">
        <v>240.28</v>
      </c>
      <c r="E70" s="3">
        <f t="shared" ref="E70:E133" si="6">50*B70+2*C70-20*D70</f>
        <v>5981.6049999999996</v>
      </c>
      <c r="F70" s="4">
        <f t="shared" si="4"/>
        <v>318.02999999999884</v>
      </c>
      <c r="G70" s="4">
        <f t="shared" si="5"/>
        <v>-318.02999999999884</v>
      </c>
    </row>
    <row r="71" spans="1:7" x14ac:dyDescent="0.3">
      <c r="A71" s="2">
        <v>44014</v>
      </c>
      <c r="B71" s="1">
        <v>91.027500000000003</v>
      </c>
      <c r="C71" s="1">
        <v>2890.3</v>
      </c>
      <c r="D71" s="1">
        <v>233.42</v>
      </c>
      <c r="E71" s="3">
        <f t="shared" si="6"/>
        <v>5663.5750000000007</v>
      </c>
      <c r="F71" s="4">
        <f t="shared" si="4"/>
        <v>105.80000000000109</v>
      </c>
      <c r="G71" s="4">
        <f t="shared" si="5"/>
        <v>-105.80000000000109</v>
      </c>
    </row>
    <row r="72" spans="1:7" x14ac:dyDescent="0.3">
      <c r="A72" s="2">
        <v>44013</v>
      </c>
      <c r="B72" s="1">
        <v>91.027500000000003</v>
      </c>
      <c r="C72" s="1">
        <v>2878.7</v>
      </c>
      <c r="D72" s="1">
        <v>237.55</v>
      </c>
      <c r="E72" s="3">
        <f t="shared" si="6"/>
        <v>5557.7749999999996</v>
      </c>
      <c r="F72" s="4">
        <f t="shared" si="4"/>
        <v>21.534999999999854</v>
      </c>
      <c r="G72" s="4">
        <f t="shared" si="5"/>
        <v>-21.534999999999854</v>
      </c>
    </row>
    <row r="73" spans="1:7" x14ac:dyDescent="0.3">
      <c r="A73" s="2">
        <v>44012</v>
      </c>
      <c r="B73" s="1">
        <v>91.2</v>
      </c>
      <c r="C73" s="1">
        <v>2758.82</v>
      </c>
      <c r="D73" s="1">
        <v>227.07</v>
      </c>
      <c r="E73" s="3">
        <f t="shared" si="6"/>
        <v>5536.24</v>
      </c>
      <c r="F73" s="4">
        <f t="shared" si="4"/>
        <v>66.029999999998836</v>
      </c>
      <c r="G73" s="4">
        <f t="shared" si="5"/>
        <v>-66.029999999998836</v>
      </c>
    </row>
    <row r="74" spans="1:7" x14ac:dyDescent="0.3">
      <c r="A74" s="2">
        <v>44011</v>
      </c>
      <c r="B74" s="1">
        <v>90.444999999999993</v>
      </c>
      <c r="C74" s="1">
        <v>2680.38</v>
      </c>
      <c r="D74" s="1">
        <v>220.64</v>
      </c>
      <c r="E74" s="3">
        <f t="shared" si="6"/>
        <v>5470.2100000000009</v>
      </c>
      <c r="F74" s="4">
        <f t="shared" si="4"/>
        <v>-14.304999999998472</v>
      </c>
      <c r="G74" s="4">
        <f t="shared" si="5"/>
        <v>14.304999999998472</v>
      </c>
    </row>
    <row r="75" spans="1:7" x14ac:dyDescent="0.3">
      <c r="A75" s="2">
        <v>44008</v>
      </c>
      <c r="B75" s="1">
        <v>88.407499999999999</v>
      </c>
      <c r="C75" s="1">
        <v>2692.87</v>
      </c>
      <c r="D75" s="1">
        <v>216.08</v>
      </c>
      <c r="E75" s="3">
        <f t="shared" si="6"/>
        <v>5484.5149999999994</v>
      </c>
      <c r="F75" s="4">
        <f t="shared" si="4"/>
        <v>128.45499999999993</v>
      </c>
      <c r="G75" s="4">
        <f t="shared" si="5"/>
        <v>-128.45499999999993</v>
      </c>
    </row>
    <row r="76" spans="1:7" x14ac:dyDescent="0.3">
      <c r="A76" s="2">
        <v>44007</v>
      </c>
      <c r="B76" s="1">
        <v>91.21</v>
      </c>
      <c r="C76" s="1">
        <v>2754.58</v>
      </c>
      <c r="D76" s="1">
        <v>235.68</v>
      </c>
      <c r="E76" s="3">
        <f t="shared" si="6"/>
        <v>5356.0599999999995</v>
      </c>
      <c r="F76" s="4">
        <f t="shared" si="4"/>
        <v>66.910000000000764</v>
      </c>
      <c r="G76" s="4">
        <f t="shared" si="5"/>
        <v>-66.910000000000764</v>
      </c>
    </row>
    <row r="77" spans="1:7" x14ac:dyDescent="0.3">
      <c r="A77" s="2">
        <v>44006</v>
      </c>
      <c r="B77" s="1">
        <v>90.015000000000001</v>
      </c>
      <c r="C77" s="1">
        <v>2734.4</v>
      </c>
      <c r="D77" s="1">
        <v>234.02</v>
      </c>
      <c r="E77" s="3">
        <f t="shared" si="6"/>
        <v>5289.1499999999987</v>
      </c>
      <c r="F77" s="4">
        <f t="shared" si="4"/>
        <v>23.5049999999992</v>
      </c>
      <c r="G77" s="4">
        <f t="shared" si="5"/>
        <v>-23.5049999999992</v>
      </c>
    </row>
    <row r="78" spans="1:7" x14ac:dyDescent="0.3">
      <c r="A78" s="2">
        <v>44005</v>
      </c>
      <c r="B78" s="1">
        <v>91.632499999999993</v>
      </c>
      <c r="C78" s="1">
        <v>2764.41</v>
      </c>
      <c r="D78" s="1">
        <v>242.24</v>
      </c>
      <c r="E78" s="3">
        <f t="shared" si="6"/>
        <v>5265.6449999999995</v>
      </c>
      <c r="F78" s="4">
        <f t="shared" si="4"/>
        <v>136.52999999999975</v>
      </c>
      <c r="G78" s="4">
        <f t="shared" si="5"/>
        <v>-136.52999999999975</v>
      </c>
    </row>
    <row r="79" spans="1:7" x14ac:dyDescent="0.3">
      <c r="A79" s="2">
        <v>44004</v>
      </c>
      <c r="B79" s="1">
        <v>89.717500000000001</v>
      </c>
      <c r="C79" s="1">
        <v>2713.82</v>
      </c>
      <c r="D79" s="1">
        <v>239.22</v>
      </c>
      <c r="E79" s="3">
        <f t="shared" si="6"/>
        <v>5129.1149999999998</v>
      </c>
      <c r="F79" s="4">
        <f t="shared" si="4"/>
        <v>183.39499999999953</v>
      </c>
      <c r="G79" s="4">
        <f t="shared" si="5"/>
        <v>-183.39499999999953</v>
      </c>
    </row>
    <row r="80" spans="1:7" x14ac:dyDescent="0.3">
      <c r="A80" s="2">
        <v>44001</v>
      </c>
      <c r="B80" s="1">
        <v>87.43</v>
      </c>
      <c r="C80" s="1">
        <v>2675.01</v>
      </c>
      <c r="D80" s="1">
        <v>238.79</v>
      </c>
      <c r="E80" s="3">
        <f t="shared" si="6"/>
        <v>4945.72</v>
      </c>
      <c r="F80" s="4">
        <f t="shared" si="4"/>
        <v>-40.06499999999869</v>
      </c>
      <c r="G80" s="4">
        <f t="shared" si="5"/>
        <v>40.06499999999869</v>
      </c>
    </row>
    <row r="81" spans="1:7" x14ac:dyDescent="0.3">
      <c r="A81" s="2">
        <v>44000</v>
      </c>
      <c r="B81" s="1">
        <v>87.932500000000005</v>
      </c>
      <c r="C81" s="1">
        <v>2653.98</v>
      </c>
      <c r="D81" s="1">
        <v>235.94</v>
      </c>
      <c r="E81" s="3">
        <f t="shared" si="6"/>
        <v>4985.7849999999989</v>
      </c>
      <c r="F81" s="4">
        <f t="shared" si="4"/>
        <v>19.550000000000182</v>
      </c>
      <c r="G81" s="4">
        <f t="shared" si="5"/>
        <v>-19.550000000000182</v>
      </c>
    </row>
    <row r="82" spans="1:7" x14ac:dyDescent="0.3">
      <c r="A82" s="2">
        <v>43999</v>
      </c>
      <c r="B82" s="1">
        <v>87.897499999999994</v>
      </c>
      <c r="C82" s="1">
        <v>2640.98</v>
      </c>
      <c r="D82" s="1">
        <v>235.53</v>
      </c>
      <c r="E82" s="3">
        <f t="shared" si="6"/>
        <v>4966.2349999999988</v>
      </c>
      <c r="F82" s="4">
        <f t="shared" si="4"/>
        <v>47.69499999999789</v>
      </c>
      <c r="G82" s="4">
        <f t="shared" si="5"/>
        <v>-47.69499999999789</v>
      </c>
    </row>
    <row r="83" spans="1:7" x14ac:dyDescent="0.3">
      <c r="A83" s="2">
        <v>43998</v>
      </c>
      <c r="B83" s="1">
        <v>88.02</v>
      </c>
      <c r="C83" s="1">
        <v>2615.27</v>
      </c>
      <c r="D83" s="1">
        <v>235.65</v>
      </c>
      <c r="E83" s="3">
        <f t="shared" si="6"/>
        <v>4918.5400000000009</v>
      </c>
      <c r="F83" s="4">
        <f t="shared" si="4"/>
        <v>135.80500000000029</v>
      </c>
      <c r="G83" s="4">
        <f t="shared" si="5"/>
        <v>-135.80500000000029</v>
      </c>
    </row>
    <row r="84" spans="1:7" x14ac:dyDescent="0.3">
      <c r="A84" s="2">
        <v>43997</v>
      </c>
      <c r="B84" s="1">
        <v>85.747500000000002</v>
      </c>
      <c r="C84" s="1">
        <v>2572.6799999999998</v>
      </c>
      <c r="D84" s="1">
        <v>232.5</v>
      </c>
      <c r="E84" s="3">
        <f t="shared" si="6"/>
        <v>4782.7350000000006</v>
      </c>
      <c r="F84" s="4">
        <f t="shared" si="4"/>
        <v>29.295000000000073</v>
      </c>
      <c r="G84" s="4">
        <f t="shared" si="5"/>
        <v>-29.295000000000073</v>
      </c>
    </row>
    <row r="85" spans="1:7" x14ac:dyDescent="0.3">
      <c r="A85" s="2">
        <v>43994</v>
      </c>
      <c r="B85" s="1">
        <v>84.7</v>
      </c>
      <c r="C85" s="1">
        <v>2545.02</v>
      </c>
      <c r="D85" s="1">
        <v>228.58</v>
      </c>
      <c r="E85" s="3">
        <f t="shared" si="6"/>
        <v>4753.4400000000005</v>
      </c>
      <c r="F85" s="4">
        <f t="shared" si="4"/>
        <v>-72.6299999999992</v>
      </c>
      <c r="G85" s="4">
        <f t="shared" si="5"/>
        <v>72.6299999999992</v>
      </c>
    </row>
    <row r="86" spans="1:7" x14ac:dyDescent="0.3">
      <c r="A86" s="2">
        <v>43993</v>
      </c>
      <c r="B86" s="1">
        <v>83.974999999999994</v>
      </c>
      <c r="C86" s="1">
        <v>2557.96</v>
      </c>
      <c r="D86" s="1">
        <v>224.43</v>
      </c>
      <c r="E86" s="3">
        <f t="shared" si="6"/>
        <v>4826.07</v>
      </c>
      <c r="F86" s="4">
        <f t="shared" si="4"/>
        <v>-144.73000000000047</v>
      </c>
      <c r="G86" s="4">
        <f t="shared" si="5"/>
        <v>144.73000000000047</v>
      </c>
    </row>
    <row r="87" spans="1:7" x14ac:dyDescent="0.3">
      <c r="A87" s="2">
        <v>43992</v>
      </c>
      <c r="B87" s="1">
        <v>88.21</v>
      </c>
      <c r="C87" s="1">
        <v>2647.45</v>
      </c>
      <c r="D87" s="1">
        <v>236.73</v>
      </c>
      <c r="E87" s="3">
        <f t="shared" si="6"/>
        <v>4970.8</v>
      </c>
      <c r="F87" s="4">
        <f t="shared" si="4"/>
        <v>242.60499999999865</v>
      </c>
      <c r="G87" s="4">
        <f t="shared" si="5"/>
        <v>-242.60499999999865</v>
      </c>
    </row>
    <row r="88" spans="1:7" x14ac:dyDescent="0.3">
      <c r="A88" s="2">
        <v>43991</v>
      </c>
      <c r="B88" s="1">
        <v>85.997500000000002</v>
      </c>
      <c r="C88" s="1">
        <v>2600.86</v>
      </c>
      <c r="D88" s="1">
        <v>238.67</v>
      </c>
      <c r="E88" s="3">
        <f t="shared" si="6"/>
        <v>4728.1950000000015</v>
      </c>
      <c r="F88" s="4">
        <f t="shared" si="4"/>
        <v>139.82500000000255</v>
      </c>
      <c r="G88" s="4">
        <f t="shared" si="5"/>
        <v>-139.82500000000255</v>
      </c>
    </row>
    <row r="89" spans="1:7" x14ac:dyDescent="0.3">
      <c r="A89" s="2">
        <v>43990</v>
      </c>
      <c r="B89" s="1">
        <v>83.364999999999995</v>
      </c>
      <c r="C89" s="1">
        <v>2524.06</v>
      </c>
      <c r="D89" s="1">
        <v>231.4</v>
      </c>
      <c r="E89" s="3">
        <f t="shared" si="6"/>
        <v>4588.369999999999</v>
      </c>
      <c r="F89" s="4">
        <f t="shared" si="4"/>
        <v>94.019999999999527</v>
      </c>
      <c r="G89" s="4">
        <f t="shared" si="5"/>
        <v>-94.019999999999527</v>
      </c>
    </row>
    <row r="90" spans="1:7" x14ac:dyDescent="0.3">
      <c r="A90" s="2">
        <v>43987</v>
      </c>
      <c r="B90" s="1">
        <v>82.875</v>
      </c>
      <c r="C90" s="1">
        <v>2483</v>
      </c>
      <c r="D90" s="1">
        <v>230.77</v>
      </c>
      <c r="E90" s="3">
        <f t="shared" si="6"/>
        <v>4494.3499999999995</v>
      </c>
      <c r="F90" s="4">
        <f t="shared" si="4"/>
        <v>69.949999999998909</v>
      </c>
      <c r="G90" s="4">
        <f t="shared" si="5"/>
        <v>-69.949999999998909</v>
      </c>
    </row>
    <row r="91" spans="1:7" x14ac:dyDescent="0.3">
      <c r="A91" s="2">
        <v>43986</v>
      </c>
      <c r="B91" s="1">
        <v>80.58</v>
      </c>
      <c r="C91" s="1">
        <v>2460.6</v>
      </c>
      <c r="D91" s="1">
        <v>226.29</v>
      </c>
      <c r="E91" s="3">
        <f t="shared" si="6"/>
        <v>4424.4000000000005</v>
      </c>
      <c r="F91" s="4">
        <f t="shared" si="4"/>
        <v>6.8000000000010914</v>
      </c>
      <c r="G91" s="4">
        <f t="shared" si="5"/>
        <v>-6.8000000000010914</v>
      </c>
    </row>
    <row r="92" spans="1:7" x14ac:dyDescent="0.3">
      <c r="A92" s="2">
        <v>43985</v>
      </c>
      <c r="B92" s="1">
        <v>81.28</v>
      </c>
      <c r="C92" s="1">
        <v>2478.4</v>
      </c>
      <c r="D92" s="1">
        <v>230.16</v>
      </c>
      <c r="E92" s="3">
        <f t="shared" si="6"/>
        <v>4417.5999999999995</v>
      </c>
      <c r="F92" s="4">
        <f t="shared" si="4"/>
        <v>85.429999999999382</v>
      </c>
      <c r="G92" s="4">
        <f t="shared" si="5"/>
        <v>-85.429999999999382</v>
      </c>
    </row>
    <row r="93" spans="1:7" x14ac:dyDescent="0.3">
      <c r="A93" s="2">
        <v>43984</v>
      </c>
      <c r="B93" s="1">
        <v>80.834999999999994</v>
      </c>
      <c r="C93" s="1">
        <v>2472.41</v>
      </c>
      <c r="D93" s="1">
        <v>232.72</v>
      </c>
      <c r="E93" s="3">
        <f t="shared" si="6"/>
        <v>4332.17</v>
      </c>
      <c r="F93" s="4">
        <f t="shared" si="4"/>
        <v>5.1649999999999636</v>
      </c>
      <c r="G93" s="4">
        <f t="shared" si="5"/>
        <v>-5.1649999999999636</v>
      </c>
    </row>
    <row r="94" spans="1:7" x14ac:dyDescent="0.3">
      <c r="A94" s="2">
        <v>43983</v>
      </c>
      <c r="B94" s="1">
        <v>80.462500000000006</v>
      </c>
      <c r="C94" s="1">
        <v>2471.04</v>
      </c>
      <c r="D94" s="1">
        <v>231.91</v>
      </c>
      <c r="E94" s="3">
        <f t="shared" si="6"/>
        <v>4327.0050000000001</v>
      </c>
      <c r="F94" s="4">
        <f t="shared" si="4"/>
        <v>-30.184999999999491</v>
      </c>
      <c r="G94" s="4">
        <f t="shared" si="5"/>
        <v>30.184999999999491</v>
      </c>
    </row>
    <row r="95" spans="1:7" x14ac:dyDescent="0.3">
      <c r="A95" s="2">
        <v>43980</v>
      </c>
      <c r="B95" s="1">
        <v>79.484999999999999</v>
      </c>
      <c r="C95" s="1">
        <v>2442.37</v>
      </c>
      <c r="D95" s="1">
        <v>225.09</v>
      </c>
      <c r="E95" s="3">
        <f t="shared" si="6"/>
        <v>4357.1899999999996</v>
      </c>
      <c r="F95" s="4">
        <f t="shared" si="4"/>
        <v>86.06499999999869</v>
      </c>
      <c r="G95" s="4">
        <f t="shared" si="5"/>
        <v>-86.06499999999869</v>
      </c>
    </row>
    <row r="96" spans="1:7" x14ac:dyDescent="0.3">
      <c r="A96" s="2">
        <v>43979</v>
      </c>
      <c r="B96" s="1">
        <v>79.5625</v>
      </c>
      <c r="C96" s="1">
        <v>2401.1</v>
      </c>
      <c r="D96" s="1">
        <v>225.46</v>
      </c>
      <c r="E96" s="3">
        <f t="shared" si="6"/>
        <v>4271.1250000000009</v>
      </c>
      <c r="F96" s="4">
        <f t="shared" si="4"/>
        <v>56.770000000001346</v>
      </c>
      <c r="G96" s="4">
        <f t="shared" si="5"/>
        <v>-56.770000000001346</v>
      </c>
    </row>
    <row r="97" spans="1:7" x14ac:dyDescent="0.3">
      <c r="A97" s="2">
        <v>43978</v>
      </c>
      <c r="B97" s="1">
        <v>79.527500000000003</v>
      </c>
      <c r="C97" s="1">
        <v>2410.39</v>
      </c>
      <c r="D97" s="1">
        <v>229.14</v>
      </c>
      <c r="E97" s="3">
        <f t="shared" si="6"/>
        <v>4214.3549999999996</v>
      </c>
      <c r="F97" s="4">
        <f t="shared" si="4"/>
        <v>55.509999999998399</v>
      </c>
      <c r="G97" s="4">
        <f t="shared" si="5"/>
        <v>-55.509999999998399</v>
      </c>
    </row>
    <row r="98" spans="1:7" x14ac:dyDescent="0.3">
      <c r="A98" s="2">
        <v>43977</v>
      </c>
      <c r="B98" s="1">
        <v>79.182500000000005</v>
      </c>
      <c r="C98" s="1">
        <v>2421.86</v>
      </c>
      <c r="D98" s="1">
        <v>232.2</v>
      </c>
      <c r="E98" s="3">
        <f t="shared" si="6"/>
        <v>4158.8450000000012</v>
      </c>
      <c r="F98" s="4">
        <f t="shared" si="4"/>
        <v>-2.839999999999236</v>
      </c>
      <c r="G98" s="4">
        <f t="shared" si="5"/>
        <v>2.839999999999236</v>
      </c>
    </row>
    <row r="99" spans="1:7" x14ac:dyDescent="0.3">
      <c r="A99" s="2">
        <v>43973</v>
      </c>
      <c r="B99" s="1">
        <v>79.722499999999997</v>
      </c>
      <c r="C99" s="1">
        <v>2436.88</v>
      </c>
      <c r="D99" s="1">
        <v>234.91</v>
      </c>
      <c r="E99" s="3">
        <f t="shared" si="6"/>
        <v>4161.6850000000004</v>
      </c>
      <c r="F99" s="4">
        <f t="shared" si="4"/>
        <v>-64.619999999999891</v>
      </c>
      <c r="G99" s="4">
        <f t="shared" si="5"/>
        <v>64.619999999999891</v>
      </c>
    </row>
    <row r="100" spans="1:7" x14ac:dyDescent="0.3">
      <c r="A100" s="2">
        <v>43972</v>
      </c>
      <c r="B100" s="1">
        <v>79.212500000000006</v>
      </c>
      <c r="C100" s="1">
        <v>2446.7399999999998</v>
      </c>
      <c r="D100" s="1">
        <v>231.39</v>
      </c>
      <c r="E100" s="3">
        <f t="shared" si="6"/>
        <v>4226.3050000000003</v>
      </c>
      <c r="F100" s="4">
        <f t="shared" si="4"/>
        <v>-160.55000000000109</v>
      </c>
      <c r="G100" s="4">
        <f t="shared" si="5"/>
        <v>160.55000000000109</v>
      </c>
    </row>
    <row r="101" spans="1:7" x14ac:dyDescent="0.3">
      <c r="A101" s="2">
        <v>43971</v>
      </c>
      <c r="B101" s="1">
        <v>79.807500000000005</v>
      </c>
      <c r="C101" s="1">
        <v>2497.94</v>
      </c>
      <c r="D101" s="1">
        <v>229.97</v>
      </c>
      <c r="E101" s="3">
        <f t="shared" si="6"/>
        <v>4386.8550000000014</v>
      </c>
      <c r="F101" s="4">
        <f t="shared" si="4"/>
        <v>-88.454999999998108</v>
      </c>
      <c r="G101" s="4">
        <f t="shared" si="5"/>
        <v>88.454999999998108</v>
      </c>
    </row>
    <row r="102" spans="1:7" x14ac:dyDescent="0.3">
      <c r="A102" s="2">
        <v>43970</v>
      </c>
      <c r="B102" s="1">
        <v>78.284999999999997</v>
      </c>
      <c r="C102" s="1">
        <v>2449.33</v>
      </c>
      <c r="D102" s="1">
        <v>216.88</v>
      </c>
      <c r="E102" s="3">
        <f t="shared" si="6"/>
        <v>4475.3099999999995</v>
      </c>
      <c r="F102" s="4">
        <f t="shared" si="4"/>
        <v>-50.410000000000764</v>
      </c>
      <c r="G102" s="4">
        <f t="shared" si="5"/>
        <v>50.410000000000764</v>
      </c>
    </row>
    <row r="103" spans="1:7" x14ac:dyDescent="0.3">
      <c r="A103" s="2">
        <v>43969</v>
      </c>
      <c r="B103" s="1">
        <v>78.739999999999995</v>
      </c>
      <c r="C103" s="1">
        <v>2426.2600000000002</v>
      </c>
      <c r="D103" s="1">
        <v>213.19</v>
      </c>
      <c r="E103" s="3">
        <f t="shared" si="6"/>
        <v>4525.72</v>
      </c>
      <c r="F103" s="4">
        <f t="shared" si="4"/>
        <v>77.385000000001128</v>
      </c>
      <c r="G103" s="4">
        <f t="shared" si="5"/>
        <v>-77.385000000001128</v>
      </c>
    </row>
    <row r="104" spans="1:7" x14ac:dyDescent="0.3">
      <c r="A104" s="2">
        <v>43966</v>
      </c>
      <c r="B104" s="1">
        <v>76.927499999999995</v>
      </c>
      <c r="C104" s="1">
        <v>2409.7800000000002</v>
      </c>
      <c r="D104" s="1">
        <v>210.88</v>
      </c>
      <c r="E104" s="3">
        <f t="shared" si="6"/>
        <v>4448.3349999999991</v>
      </c>
      <c r="F104" s="4">
        <f t="shared" si="4"/>
        <v>-62.415000000001783</v>
      </c>
      <c r="G104" s="4">
        <f t="shared" si="5"/>
        <v>62.415000000001783</v>
      </c>
    </row>
    <row r="105" spans="1:7" x14ac:dyDescent="0.3">
      <c r="A105" s="2">
        <v>43965</v>
      </c>
      <c r="B105" s="1">
        <v>77.385000000000005</v>
      </c>
      <c r="C105" s="1">
        <v>2388.85</v>
      </c>
      <c r="D105" s="1">
        <v>206.81</v>
      </c>
      <c r="E105" s="3">
        <f t="shared" si="6"/>
        <v>4510.7500000000009</v>
      </c>
      <c r="F105" s="4">
        <f t="shared" si="4"/>
        <v>31.285000000000764</v>
      </c>
      <c r="G105" s="4">
        <f t="shared" si="5"/>
        <v>-31.285000000000764</v>
      </c>
    </row>
    <row r="106" spans="1:7" x14ac:dyDescent="0.3">
      <c r="A106" s="2">
        <v>43964</v>
      </c>
      <c r="B106" s="1">
        <v>76.912499999999994</v>
      </c>
      <c r="C106" s="1">
        <v>2367.92</v>
      </c>
      <c r="D106" s="1">
        <v>205.1</v>
      </c>
      <c r="E106" s="3">
        <f t="shared" si="6"/>
        <v>4479.4650000000001</v>
      </c>
      <c r="F106" s="4">
        <f t="shared" si="4"/>
        <v>74.940000000000509</v>
      </c>
      <c r="G106" s="4">
        <f t="shared" si="5"/>
        <v>-74.940000000000509</v>
      </c>
    </row>
    <row r="107" spans="1:7" x14ac:dyDescent="0.3">
      <c r="A107" s="2">
        <v>43963</v>
      </c>
      <c r="B107" s="1">
        <v>77.852500000000006</v>
      </c>
      <c r="C107" s="1">
        <v>2356.9499999999998</v>
      </c>
      <c r="D107" s="1">
        <v>210.1</v>
      </c>
      <c r="E107" s="3">
        <f t="shared" si="6"/>
        <v>4404.5249999999996</v>
      </c>
      <c r="F107" s="4">
        <f t="shared" si="4"/>
        <v>-87.5</v>
      </c>
      <c r="G107" s="4">
        <f t="shared" si="5"/>
        <v>87.5</v>
      </c>
    </row>
    <row r="108" spans="1:7" x14ac:dyDescent="0.3">
      <c r="A108" s="2">
        <v>43962</v>
      </c>
      <c r="B108" s="1">
        <v>78.752499999999998</v>
      </c>
      <c r="C108" s="1">
        <v>2409</v>
      </c>
      <c r="D108" s="1">
        <v>213.18</v>
      </c>
      <c r="E108" s="3">
        <f t="shared" si="6"/>
        <v>4492.0249999999996</v>
      </c>
      <c r="F108" s="4">
        <f t="shared" si="4"/>
        <v>103.18499999999949</v>
      </c>
      <c r="G108" s="4">
        <f t="shared" si="5"/>
        <v>-103.18499999999949</v>
      </c>
    </row>
    <row r="109" spans="1:7" x14ac:dyDescent="0.3">
      <c r="A109" s="2">
        <v>43959</v>
      </c>
      <c r="B109" s="1">
        <v>77.532399999999996</v>
      </c>
      <c r="C109" s="1">
        <v>2379.61</v>
      </c>
      <c r="D109" s="1">
        <v>212.35</v>
      </c>
      <c r="E109" s="3">
        <f t="shared" si="6"/>
        <v>4388.84</v>
      </c>
      <c r="F109" s="4">
        <f t="shared" si="4"/>
        <v>82.069999999998799</v>
      </c>
      <c r="G109" s="4">
        <f t="shared" si="5"/>
        <v>-82.069999999998799</v>
      </c>
    </row>
    <row r="110" spans="1:7" x14ac:dyDescent="0.3">
      <c r="A110" s="2">
        <v>43958</v>
      </c>
      <c r="B110" s="1">
        <v>75.935000000000002</v>
      </c>
      <c r="C110" s="1">
        <v>2367.61</v>
      </c>
      <c r="D110" s="1">
        <v>211.26</v>
      </c>
      <c r="E110" s="3">
        <f t="shared" si="6"/>
        <v>4306.7700000000013</v>
      </c>
      <c r="F110" s="4">
        <f t="shared" si="4"/>
        <v>15.775000000000546</v>
      </c>
      <c r="G110" s="4">
        <f t="shared" si="5"/>
        <v>-15.775000000000546</v>
      </c>
    </row>
    <row r="111" spans="1:7" x14ac:dyDescent="0.3">
      <c r="A111" s="2">
        <v>43957</v>
      </c>
      <c r="B111" s="1">
        <v>75.157499999999999</v>
      </c>
      <c r="C111" s="1">
        <v>2351.2600000000002</v>
      </c>
      <c r="D111" s="1">
        <v>208.47</v>
      </c>
      <c r="E111" s="3">
        <f t="shared" si="6"/>
        <v>4290.9950000000008</v>
      </c>
      <c r="F111" s="4">
        <f t="shared" si="4"/>
        <v>77.295000000000073</v>
      </c>
      <c r="G111" s="4">
        <f t="shared" si="5"/>
        <v>-77.295000000000073</v>
      </c>
    </row>
    <row r="112" spans="1:7" x14ac:dyDescent="0.3">
      <c r="A112" s="2">
        <v>43956</v>
      </c>
      <c r="B112" s="1">
        <v>74.39</v>
      </c>
      <c r="C112" s="1">
        <v>2317.8000000000002</v>
      </c>
      <c r="D112" s="1">
        <v>207.07</v>
      </c>
      <c r="E112" s="3">
        <f t="shared" si="6"/>
        <v>4213.7000000000007</v>
      </c>
      <c r="F112" s="4">
        <f t="shared" si="4"/>
        <v>22.420000000000982</v>
      </c>
      <c r="G112" s="4">
        <f t="shared" si="5"/>
        <v>-22.420000000000982</v>
      </c>
    </row>
    <row r="113" spans="1:7" x14ac:dyDescent="0.3">
      <c r="A113" s="2">
        <v>43955</v>
      </c>
      <c r="B113" s="1">
        <v>73.290000000000006</v>
      </c>
      <c r="C113" s="1">
        <v>2315.9899999999998</v>
      </c>
      <c r="D113" s="1">
        <v>205.26</v>
      </c>
      <c r="E113" s="3">
        <f t="shared" si="6"/>
        <v>4191.28</v>
      </c>
      <c r="F113" s="4">
        <f t="shared" si="4"/>
        <v>51.224999999999454</v>
      </c>
      <c r="G113" s="4">
        <f t="shared" si="5"/>
        <v>-51.224999999999454</v>
      </c>
    </row>
    <row r="114" spans="1:7" x14ac:dyDescent="0.3">
      <c r="A114" s="2">
        <v>43952</v>
      </c>
      <c r="B114" s="1">
        <v>72.267499999999998</v>
      </c>
      <c r="C114" s="1">
        <v>2286.04</v>
      </c>
      <c r="D114" s="1">
        <v>202.27</v>
      </c>
      <c r="E114" s="3">
        <f t="shared" si="6"/>
        <v>4140.0550000000003</v>
      </c>
      <c r="F114" s="4">
        <f t="shared" si="4"/>
        <v>-386.24499999999898</v>
      </c>
      <c r="G114" s="4">
        <f t="shared" si="5"/>
        <v>386.24499999999898</v>
      </c>
    </row>
    <row r="115" spans="1:7" x14ac:dyDescent="0.3">
      <c r="A115" s="2">
        <v>43951</v>
      </c>
      <c r="B115" s="1">
        <v>73.45</v>
      </c>
      <c r="C115" s="1">
        <v>2474</v>
      </c>
      <c r="D115" s="1">
        <v>204.71</v>
      </c>
      <c r="E115" s="3">
        <f t="shared" si="6"/>
        <v>4526.2999999999993</v>
      </c>
      <c r="F115" s="4">
        <f t="shared" si="4"/>
        <v>68.054999999999382</v>
      </c>
      <c r="G115" s="4">
        <f t="shared" si="5"/>
        <v>-68.054999999999382</v>
      </c>
    </row>
    <row r="116" spans="1:7" x14ac:dyDescent="0.3">
      <c r="A116" s="2">
        <v>43950</v>
      </c>
      <c r="B116" s="1">
        <v>71.932500000000005</v>
      </c>
      <c r="C116" s="1">
        <v>2372.71</v>
      </c>
      <c r="D116" s="1">
        <v>194.19</v>
      </c>
      <c r="E116" s="3">
        <f t="shared" si="6"/>
        <v>4458.2449999999999</v>
      </c>
      <c r="F116" s="4">
        <f t="shared" si="4"/>
        <v>6.0349999999998545</v>
      </c>
      <c r="G116" s="4">
        <f t="shared" si="5"/>
        <v>-6.0349999999998545</v>
      </c>
    </row>
    <row r="117" spans="1:7" x14ac:dyDescent="0.3">
      <c r="A117" s="2">
        <v>43949</v>
      </c>
      <c r="B117" s="1">
        <v>69.644999999999996</v>
      </c>
      <c r="C117" s="1">
        <v>2314.08</v>
      </c>
      <c r="D117" s="1">
        <v>182.91</v>
      </c>
      <c r="E117" s="3">
        <f t="shared" si="6"/>
        <v>4452.21</v>
      </c>
      <c r="F117" s="4">
        <f t="shared" si="4"/>
        <v>-89.414999999999964</v>
      </c>
      <c r="G117" s="4">
        <f t="shared" si="5"/>
        <v>89.414999999999964</v>
      </c>
    </row>
    <row r="118" spans="1:7" x14ac:dyDescent="0.3">
      <c r="A118" s="2">
        <v>43948</v>
      </c>
      <c r="B118" s="1">
        <v>70.792500000000004</v>
      </c>
      <c r="C118" s="1">
        <v>2376</v>
      </c>
      <c r="D118" s="1">
        <v>187.5</v>
      </c>
      <c r="E118" s="3">
        <f t="shared" si="6"/>
        <v>4541.625</v>
      </c>
      <c r="F118" s="4">
        <f t="shared" si="4"/>
        <v>-14.540000000000873</v>
      </c>
      <c r="G118" s="4">
        <f t="shared" si="5"/>
        <v>14.540000000000873</v>
      </c>
    </row>
    <row r="119" spans="1:7" x14ac:dyDescent="0.3">
      <c r="A119" s="2">
        <v>43945</v>
      </c>
      <c r="B119" s="1">
        <v>70.742500000000007</v>
      </c>
      <c r="C119" s="1">
        <v>2410.2199999999998</v>
      </c>
      <c r="D119" s="1">
        <v>190.07</v>
      </c>
      <c r="E119" s="3">
        <f t="shared" si="6"/>
        <v>4556.1650000000009</v>
      </c>
      <c r="F119" s="4">
        <f t="shared" si="4"/>
        <v>21.990000000001601</v>
      </c>
      <c r="G119" s="4">
        <f t="shared" si="5"/>
        <v>-21.990000000001601</v>
      </c>
    </row>
    <row r="120" spans="1:7" x14ac:dyDescent="0.3">
      <c r="A120" s="2">
        <v>43944</v>
      </c>
      <c r="B120" s="1">
        <v>68.757499999999993</v>
      </c>
      <c r="C120" s="1">
        <v>2399.4499999999998</v>
      </c>
      <c r="D120" s="1">
        <v>185.13</v>
      </c>
      <c r="E120" s="3">
        <f t="shared" si="6"/>
        <v>4534.1749999999993</v>
      </c>
      <c r="F120" s="4">
        <f t="shared" si="4"/>
        <v>1.5450000000000728</v>
      </c>
      <c r="G120" s="4">
        <f t="shared" si="5"/>
        <v>-1.5450000000000728</v>
      </c>
    </row>
    <row r="121" spans="1:7" x14ac:dyDescent="0.3">
      <c r="A121" s="2">
        <v>43943</v>
      </c>
      <c r="B121" s="1">
        <v>69.025000000000006</v>
      </c>
      <c r="C121" s="1">
        <v>2363.4899999999998</v>
      </c>
      <c r="D121" s="1">
        <v>182.28</v>
      </c>
      <c r="E121" s="3">
        <f t="shared" si="6"/>
        <v>4532.6299999999992</v>
      </c>
      <c r="F121" s="4">
        <f t="shared" si="4"/>
        <v>-62.235000000000582</v>
      </c>
      <c r="G121" s="4">
        <f t="shared" si="5"/>
        <v>62.235000000000582</v>
      </c>
    </row>
    <row r="122" spans="1:7" x14ac:dyDescent="0.3">
      <c r="A122" s="2">
        <v>43942</v>
      </c>
      <c r="B122" s="1">
        <v>67.092500000000001</v>
      </c>
      <c r="C122" s="1">
        <v>2328.12</v>
      </c>
      <c r="D122" s="1">
        <v>170.8</v>
      </c>
      <c r="E122" s="3">
        <f t="shared" si="6"/>
        <v>4594.8649999999998</v>
      </c>
      <c r="F122" s="4">
        <f t="shared" si="4"/>
        <v>-89.180000000001201</v>
      </c>
      <c r="G122" s="4">
        <f t="shared" si="5"/>
        <v>89.180000000001201</v>
      </c>
    </row>
    <row r="123" spans="1:7" x14ac:dyDescent="0.3">
      <c r="A123" s="2">
        <v>43941</v>
      </c>
      <c r="B123" s="1">
        <v>69.232500000000002</v>
      </c>
      <c r="C123" s="1">
        <v>2393.61</v>
      </c>
      <c r="D123" s="1">
        <v>178.24</v>
      </c>
      <c r="E123" s="3">
        <f t="shared" si="6"/>
        <v>4684.045000000001</v>
      </c>
      <c r="F123" s="4">
        <f t="shared" si="4"/>
        <v>-16.154999999998836</v>
      </c>
      <c r="G123" s="4">
        <f t="shared" si="5"/>
        <v>16.154999999998836</v>
      </c>
    </row>
    <row r="124" spans="1:7" x14ac:dyDescent="0.3">
      <c r="A124" s="2">
        <v>43938</v>
      </c>
      <c r="B124" s="1">
        <v>70.7</v>
      </c>
      <c r="C124" s="1">
        <v>2375</v>
      </c>
      <c r="D124" s="1">
        <v>179.24</v>
      </c>
      <c r="E124" s="3">
        <f t="shared" si="6"/>
        <v>4700.2</v>
      </c>
      <c r="F124" s="4">
        <f t="shared" si="4"/>
        <v>-174.8050000000012</v>
      </c>
      <c r="G124" s="4">
        <f t="shared" si="5"/>
        <v>174.8050000000012</v>
      </c>
    </row>
    <row r="125" spans="1:7" x14ac:dyDescent="0.3">
      <c r="A125" s="2">
        <v>43937</v>
      </c>
      <c r="B125" s="1">
        <v>71.672499999999999</v>
      </c>
      <c r="C125" s="1">
        <v>2408.19</v>
      </c>
      <c r="D125" s="1">
        <v>176.25</v>
      </c>
      <c r="E125" s="3">
        <f t="shared" si="6"/>
        <v>4875.005000000001</v>
      </c>
      <c r="F125" s="4">
        <f t="shared" si="4"/>
        <v>243.67000000000189</v>
      </c>
      <c r="G125" s="4">
        <f t="shared" si="5"/>
        <v>-243.67000000000189</v>
      </c>
    </row>
    <row r="126" spans="1:7" x14ac:dyDescent="0.3">
      <c r="A126" s="2">
        <v>43936</v>
      </c>
      <c r="B126" s="1">
        <v>71.107500000000002</v>
      </c>
      <c r="C126" s="1">
        <v>2307.6799999999998</v>
      </c>
      <c r="D126" s="1">
        <v>176.97</v>
      </c>
      <c r="E126" s="3">
        <f t="shared" si="6"/>
        <v>4631.3349999999991</v>
      </c>
      <c r="F126" s="4">
        <f t="shared" si="4"/>
        <v>39.969999999998436</v>
      </c>
      <c r="G126" s="4">
        <f t="shared" si="5"/>
        <v>-39.969999999998436</v>
      </c>
    </row>
    <row r="127" spans="1:7" x14ac:dyDescent="0.3">
      <c r="A127" s="2">
        <v>43935</v>
      </c>
      <c r="B127" s="1">
        <v>71.762500000000003</v>
      </c>
      <c r="C127" s="1">
        <v>2283.3200000000002</v>
      </c>
      <c r="D127" s="1">
        <v>178.17</v>
      </c>
      <c r="E127" s="3">
        <f t="shared" si="6"/>
        <v>4591.3650000000007</v>
      </c>
      <c r="F127" s="4">
        <f t="shared" si="4"/>
        <v>333.80000000000018</v>
      </c>
      <c r="G127" s="4">
        <f t="shared" si="5"/>
        <v>-333.80000000000018</v>
      </c>
    </row>
    <row r="128" spans="1:7" x14ac:dyDescent="0.3">
      <c r="A128" s="2">
        <v>43934</v>
      </c>
      <c r="B128" s="1">
        <v>68.3125</v>
      </c>
      <c r="C128" s="1">
        <v>2168.87</v>
      </c>
      <c r="D128" s="1">
        <v>174.79</v>
      </c>
      <c r="E128" s="3">
        <f t="shared" si="6"/>
        <v>4257.5650000000005</v>
      </c>
      <c r="F128" s="4">
        <f t="shared" si="4"/>
        <v>325.97000000000025</v>
      </c>
      <c r="G128" s="4">
        <f t="shared" si="5"/>
        <v>-325.97000000000025</v>
      </c>
    </row>
    <row r="129" spans="1:7" x14ac:dyDescent="0.3">
      <c r="A129" s="2">
        <v>43930</v>
      </c>
      <c r="B129" s="1">
        <v>66.997500000000002</v>
      </c>
      <c r="C129" s="1">
        <v>2042.76</v>
      </c>
      <c r="D129" s="1">
        <v>175.19</v>
      </c>
      <c r="E129" s="3">
        <f t="shared" si="6"/>
        <v>3931.5950000000003</v>
      </c>
      <c r="F129" s="4">
        <f t="shared" si="4"/>
        <v>5.3200000000001637</v>
      </c>
      <c r="G129" s="4">
        <f t="shared" si="5"/>
        <v>-5.3200000000001637</v>
      </c>
    </row>
    <row r="130" spans="1:7" x14ac:dyDescent="0.3">
      <c r="A130" s="2">
        <v>43929</v>
      </c>
      <c r="B130" s="1">
        <v>66.517499999999998</v>
      </c>
      <c r="C130" s="1">
        <v>2043</v>
      </c>
      <c r="D130" s="1">
        <v>174.28</v>
      </c>
      <c r="E130" s="3">
        <f t="shared" si="6"/>
        <v>3926.2750000000001</v>
      </c>
      <c r="F130" s="4">
        <f t="shared" si="4"/>
        <v>36.800000000000637</v>
      </c>
      <c r="G130" s="4">
        <f t="shared" si="5"/>
        <v>-36.800000000000637</v>
      </c>
    </row>
    <row r="131" spans="1:7" x14ac:dyDescent="0.3">
      <c r="A131" s="2">
        <v>43928</v>
      </c>
      <c r="B131" s="1">
        <v>64.857500000000002</v>
      </c>
      <c r="C131" s="1">
        <v>2011.6</v>
      </c>
      <c r="D131" s="1">
        <v>168.83</v>
      </c>
      <c r="E131" s="3">
        <f t="shared" si="6"/>
        <v>3889.4749999999995</v>
      </c>
      <c r="F131" s="4">
        <f t="shared" si="4"/>
        <v>-75.580000000000837</v>
      </c>
      <c r="G131" s="4">
        <f t="shared" si="5"/>
        <v>75.580000000000837</v>
      </c>
    </row>
    <row r="132" spans="1:7" x14ac:dyDescent="0.3">
      <c r="A132" s="2">
        <v>43927</v>
      </c>
      <c r="B132" s="1">
        <v>65.617500000000007</v>
      </c>
      <c r="C132" s="1">
        <v>1997.59</v>
      </c>
      <c r="D132" s="1">
        <v>165.55</v>
      </c>
      <c r="E132" s="3">
        <f t="shared" si="6"/>
        <v>3965.0550000000003</v>
      </c>
      <c r="F132" s="4">
        <f t="shared" si="4"/>
        <v>217.85000000000036</v>
      </c>
      <c r="G132" s="4">
        <f t="shared" si="5"/>
        <v>-217.85000000000036</v>
      </c>
    </row>
    <row r="133" spans="1:7" x14ac:dyDescent="0.3">
      <c r="A133" s="2">
        <v>43924</v>
      </c>
      <c r="B133" s="1">
        <v>60.352499999999999</v>
      </c>
      <c r="C133" s="1">
        <v>1906.59</v>
      </c>
      <c r="D133" s="1">
        <v>154.18</v>
      </c>
      <c r="E133" s="3">
        <f t="shared" si="6"/>
        <v>3747.2049999999999</v>
      </c>
      <c r="F133" s="4">
        <f t="shared" ref="F133:F196" si="7">E133-E134</f>
        <v>11.720000000000255</v>
      </c>
      <c r="G133" s="4">
        <f t="shared" ref="G133:G196" si="8">-F133</f>
        <v>-11.720000000000255</v>
      </c>
    </row>
    <row r="134" spans="1:7" x14ac:dyDescent="0.3">
      <c r="A134" s="2">
        <v>43923</v>
      </c>
      <c r="B134" s="1">
        <v>61.232500000000002</v>
      </c>
      <c r="C134" s="1">
        <v>1918.83</v>
      </c>
      <c r="D134" s="1">
        <v>158.19</v>
      </c>
      <c r="E134" s="3">
        <f t="shared" ref="E134:E197" si="9">50*B134+2*C134-20*D134</f>
        <v>3735.4849999999997</v>
      </c>
      <c r="F134" s="4">
        <f t="shared" si="7"/>
        <v>100.71000000000004</v>
      </c>
      <c r="G134" s="4">
        <f t="shared" si="8"/>
        <v>-100.71000000000004</v>
      </c>
    </row>
    <row r="135" spans="1:7" x14ac:dyDescent="0.3">
      <c r="A135" s="2">
        <v>43922</v>
      </c>
      <c r="B135" s="1">
        <v>60.227499999999999</v>
      </c>
      <c r="C135" s="1">
        <v>1907.7</v>
      </c>
      <c r="D135" s="1">
        <v>159.6</v>
      </c>
      <c r="E135" s="3">
        <f t="shared" si="9"/>
        <v>3634.7749999999996</v>
      </c>
      <c r="F135" s="4">
        <f t="shared" si="7"/>
        <v>-107.29000000000087</v>
      </c>
      <c r="G135" s="4">
        <f t="shared" si="8"/>
        <v>107.29000000000087</v>
      </c>
    </row>
    <row r="136" spans="1:7" x14ac:dyDescent="0.3">
      <c r="A136" s="2">
        <v>43921</v>
      </c>
      <c r="B136" s="1">
        <v>63.572499999999998</v>
      </c>
      <c r="C136" s="1">
        <v>1949.72</v>
      </c>
      <c r="D136" s="1">
        <v>166.8</v>
      </c>
      <c r="E136" s="3">
        <f t="shared" si="9"/>
        <v>3742.0650000000005</v>
      </c>
      <c r="F136" s="4">
        <f t="shared" si="7"/>
        <v>-51.959999999999127</v>
      </c>
      <c r="G136" s="4">
        <f t="shared" si="8"/>
        <v>51.959999999999127</v>
      </c>
    </row>
    <row r="137" spans="1:7" x14ac:dyDescent="0.3">
      <c r="A137" s="2">
        <v>43920</v>
      </c>
      <c r="B137" s="1">
        <v>63.702500000000001</v>
      </c>
      <c r="C137" s="1">
        <v>1963.95</v>
      </c>
      <c r="D137" s="1">
        <v>165.95</v>
      </c>
      <c r="E137" s="3">
        <f t="shared" si="9"/>
        <v>3794.0249999999996</v>
      </c>
      <c r="F137" s="4">
        <f t="shared" si="7"/>
        <v>32.874999999999545</v>
      </c>
      <c r="G137" s="4">
        <f t="shared" si="8"/>
        <v>-32.874999999999545</v>
      </c>
    </row>
    <row r="138" spans="1:7" x14ac:dyDescent="0.3">
      <c r="A138" s="2">
        <v>43917</v>
      </c>
      <c r="B138" s="1">
        <v>61.935000000000002</v>
      </c>
      <c r="C138" s="1">
        <v>1900.1</v>
      </c>
      <c r="D138" s="1">
        <v>156.79</v>
      </c>
      <c r="E138" s="3">
        <f t="shared" si="9"/>
        <v>3761.15</v>
      </c>
      <c r="F138" s="4">
        <f t="shared" si="7"/>
        <v>-113.52999999999929</v>
      </c>
      <c r="G138" s="4">
        <f t="shared" si="8"/>
        <v>113.52999999999929</v>
      </c>
    </row>
    <row r="139" spans="1:7" x14ac:dyDescent="0.3">
      <c r="A139" s="2">
        <v>43916</v>
      </c>
      <c r="B139" s="1">
        <v>64.61</v>
      </c>
      <c r="C139" s="1">
        <v>1955.49</v>
      </c>
      <c r="D139" s="1">
        <v>163.34</v>
      </c>
      <c r="E139" s="3">
        <f t="shared" si="9"/>
        <v>3874.6799999999994</v>
      </c>
      <c r="F139" s="4">
        <f t="shared" si="7"/>
        <v>158.19999999999936</v>
      </c>
      <c r="G139" s="4">
        <f t="shared" si="8"/>
        <v>-158.19999999999936</v>
      </c>
    </row>
    <row r="140" spans="1:7" x14ac:dyDescent="0.3">
      <c r="A140" s="2">
        <v>43915</v>
      </c>
      <c r="B140" s="1">
        <v>61.38</v>
      </c>
      <c r="C140" s="1">
        <v>1885.84</v>
      </c>
      <c r="D140" s="1">
        <v>156.21</v>
      </c>
      <c r="E140" s="3">
        <f t="shared" si="9"/>
        <v>3716.48</v>
      </c>
      <c r="F140" s="4">
        <f t="shared" si="7"/>
        <v>-30.119999999999891</v>
      </c>
      <c r="G140" s="4">
        <f t="shared" si="8"/>
        <v>30.119999999999891</v>
      </c>
    </row>
    <row r="141" spans="1:7" x14ac:dyDescent="0.3">
      <c r="A141" s="2">
        <v>43914</v>
      </c>
      <c r="B141" s="1">
        <v>61.72</v>
      </c>
      <c r="C141" s="1">
        <v>1940.1</v>
      </c>
      <c r="D141" s="1">
        <v>160.97999999999999</v>
      </c>
      <c r="E141" s="3">
        <f t="shared" si="9"/>
        <v>3746.6</v>
      </c>
      <c r="F141" s="4">
        <f t="shared" si="7"/>
        <v>98.315000000000055</v>
      </c>
      <c r="G141" s="4">
        <f t="shared" si="8"/>
        <v>-98.315000000000055</v>
      </c>
    </row>
    <row r="142" spans="1:7" x14ac:dyDescent="0.3">
      <c r="A142" s="2">
        <v>43913</v>
      </c>
      <c r="B142" s="1">
        <v>56.092500000000001</v>
      </c>
      <c r="C142" s="1">
        <v>1902.83</v>
      </c>
      <c r="D142" s="1">
        <v>148.1</v>
      </c>
      <c r="E142" s="3">
        <f t="shared" si="9"/>
        <v>3648.2849999999999</v>
      </c>
      <c r="F142" s="4">
        <f t="shared" si="7"/>
        <v>85.204999999999472</v>
      </c>
      <c r="G142" s="4">
        <f t="shared" si="8"/>
        <v>-85.204999999999472</v>
      </c>
    </row>
    <row r="143" spans="1:7" x14ac:dyDescent="0.3">
      <c r="A143" s="2">
        <v>43910</v>
      </c>
      <c r="B143" s="1">
        <v>57.31</v>
      </c>
      <c r="C143" s="1">
        <v>1846.09</v>
      </c>
      <c r="D143" s="1">
        <v>149.72999999999999</v>
      </c>
      <c r="E143" s="3">
        <f t="shared" si="9"/>
        <v>3563.0800000000004</v>
      </c>
      <c r="F143" s="4">
        <f t="shared" si="7"/>
        <v>-195.93000000000029</v>
      </c>
      <c r="G143" s="4">
        <f t="shared" si="8"/>
        <v>195.93000000000029</v>
      </c>
    </row>
    <row r="144" spans="1:7" x14ac:dyDescent="0.3">
      <c r="A144" s="2">
        <v>43909</v>
      </c>
      <c r="B144" s="1">
        <v>61.195</v>
      </c>
      <c r="C144" s="1">
        <v>1880.93</v>
      </c>
      <c r="D144" s="1">
        <v>153.13</v>
      </c>
      <c r="E144" s="3">
        <f t="shared" si="9"/>
        <v>3759.0100000000007</v>
      </c>
      <c r="F144" s="4">
        <f t="shared" si="7"/>
        <v>-45.164999999999054</v>
      </c>
      <c r="G144" s="4">
        <f t="shared" si="8"/>
        <v>45.164999999999054</v>
      </c>
    </row>
    <row r="145" spans="1:7" x14ac:dyDescent="0.3">
      <c r="A145" s="2">
        <v>43908</v>
      </c>
      <c r="B145" s="1">
        <v>61.667499999999997</v>
      </c>
      <c r="C145" s="1">
        <v>1830</v>
      </c>
      <c r="D145" s="1">
        <v>146.96</v>
      </c>
      <c r="E145" s="3">
        <f t="shared" si="9"/>
        <v>3804.1749999999997</v>
      </c>
      <c r="F145" s="4">
        <f t="shared" si="7"/>
        <v>16.144999999999072</v>
      </c>
      <c r="G145" s="4">
        <f t="shared" si="8"/>
        <v>-16.144999999999072</v>
      </c>
    </row>
    <row r="146" spans="1:7" x14ac:dyDescent="0.3">
      <c r="A146" s="2">
        <v>43907</v>
      </c>
      <c r="B146" s="1">
        <v>63.215000000000003</v>
      </c>
      <c r="C146" s="1">
        <v>1807.84</v>
      </c>
      <c r="D146" s="1">
        <v>149.41999999999999</v>
      </c>
      <c r="E146" s="3">
        <f t="shared" si="9"/>
        <v>3788.0300000000007</v>
      </c>
      <c r="F146" s="4">
        <f t="shared" si="7"/>
        <v>302.30500000000029</v>
      </c>
      <c r="G146" s="4">
        <f t="shared" si="8"/>
        <v>-302.30500000000029</v>
      </c>
    </row>
    <row r="147" spans="1:7" x14ac:dyDescent="0.3">
      <c r="A147" s="2">
        <v>43906</v>
      </c>
      <c r="B147" s="1">
        <v>60.552500000000002</v>
      </c>
      <c r="C147" s="1">
        <v>1689.15</v>
      </c>
      <c r="D147" s="1">
        <v>146.01</v>
      </c>
      <c r="E147" s="3">
        <f t="shared" si="9"/>
        <v>3485.7250000000004</v>
      </c>
      <c r="F147" s="4">
        <f t="shared" si="7"/>
        <v>-153.29999999999973</v>
      </c>
      <c r="G147" s="4">
        <f t="shared" si="8"/>
        <v>153.29999999999973</v>
      </c>
    </row>
    <row r="148" spans="1:7" x14ac:dyDescent="0.3">
      <c r="A148" s="2">
        <v>43903</v>
      </c>
      <c r="B148" s="1">
        <v>69.492500000000007</v>
      </c>
      <c r="C148" s="1">
        <v>1785</v>
      </c>
      <c r="D148" s="1">
        <v>170.28</v>
      </c>
      <c r="E148" s="3">
        <f t="shared" si="9"/>
        <v>3639.0250000000001</v>
      </c>
      <c r="F148" s="4">
        <f t="shared" si="7"/>
        <v>272.33000000000084</v>
      </c>
      <c r="G148" s="4">
        <f t="shared" si="8"/>
        <v>-272.33000000000084</v>
      </c>
    </row>
    <row r="149" spans="1:7" x14ac:dyDescent="0.3">
      <c r="A149" s="2">
        <v>43902</v>
      </c>
      <c r="B149" s="1">
        <v>62.057499999999997</v>
      </c>
      <c r="C149" s="1">
        <v>1676.61</v>
      </c>
      <c r="D149" s="1">
        <v>154.47</v>
      </c>
      <c r="E149" s="3">
        <f t="shared" si="9"/>
        <v>3366.6949999999993</v>
      </c>
      <c r="F149" s="4">
        <f t="shared" si="7"/>
        <v>-313.09999999999991</v>
      </c>
      <c r="G149" s="4">
        <f t="shared" si="8"/>
        <v>313.09999999999991</v>
      </c>
    </row>
    <row r="150" spans="1:7" x14ac:dyDescent="0.3">
      <c r="A150" s="2">
        <v>43901</v>
      </c>
      <c r="B150" s="1">
        <v>68.857500000000002</v>
      </c>
      <c r="C150" s="1">
        <v>1820.86</v>
      </c>
      <c r="D150" s="1">
        <v>170.24</v>
      </c>
      <c r="E150" s="3">
        <f t="shared" si="9"/>
        <v>3679.7949999999992</v>
      </c>
      <c r="F150" s="4">
        <f t="shared" si="7"/>
        <v>-106.79500000000007</v>
      </c>
      <c r="G150" s="4">
        <f t="shared" si="8"/>
        <v>106.79500000000007</v>
      </c>
    </row>
    <row r="151" spans="1:7" x14ac:dyDescent="0.3">
      <c r="A151" s="2">
        <v>43900</v>
      </c>
      <c r="B151" s="1">
        <v>71.334999999999994</v>
      </c>
      <c r="C151" s="1">
        <v>1891.82</v>
      </c>
      <c r="D151" s="1">
        <v>178.19</v>
      </c>
      <c r="E151" s="3">
        <f t="shared" si="9"/>
        <v>3786.5899999999992</v>
      </c>
      <c r="F151" s="4">
        <f t="shared" si="7"/>
        <v>248.24999999999909</v>
      </c>
      <c r="G151" s="4">
        <f t="shared" si="8"/>
        <v>-248.24999999999909</v>
      </c>
    </row>
    <row r="152" spans="1:7" x14ac:dyDescent="0.3">
      <c r="A152" s="2">
        <v>43899</v>
      </c>
      <c r="B152" s="1">
        <v>66.542400000000001</v>
      </c>
      <c r="C152" s="1">
        <v>1800.61</v>
      </c>
      <c r="D152" s="1">
        <v>169.5</v>
      </c>
      <c r="E152" s="3">
        <f t="shared" si="9"/>
        <v>3538.34</v>
      </c>
      <c r="F152" s="4">
        <f t="shared" si="7"/>
        <v>-254.91499999999905</v>
      </c>
      <c r="G152" s="4">
        <f t="shared" si="8"/>
        <v>254.91499999999905</v>
      </c>
    </row>
    <row r="153" spans="1:7" x14ac:dyDescent="0.3">
      <c r="A153" s="2">
        <v>43896</v>
      </c>
      <c r="B153" s="1">
        <v>72.257499999999993</v>
      </c>
      <c r="C153" s="1">
        <v>1901.09</v>
      </c>
      <c r="D153" s="1">
        <v>181.09</v>
      </c>
      <c r="E153" s="3">
        <f t="shared" si="9"/>
        <v>3793.2549999999992</v>
      </c>
      <c r="F153" s="4">
        <f t="shared" si="7"/>
        <v>-12.905000000000655</v>
      </c>
      <c r="G153" s="4">
        <f t="shared" si="8"/>
        <v>12.905000000000655</v>
      </c>
    </row>
    <row r="154" spans="1:7" x14ac:dyDescent="0.3">
      <c r="A154" s="2">
        <v>43895</v>
      </c>
      <c r="B154" s="1">
        <v>73.23</v>
      </c>
      <c r="C154" s="1">
        <v>1924.03</v>
      </c>
      <c r="D154" s="1">
        <v>185.17</v>
      </c>
      <c r="E154" s="3">
        <f t="shared" si="9"/>
        <v>3806.16</v>
      </c>
      <c r="F154" s="4">
        <f t="shared" si="7"/>
        <v>-94.550000000000182</v>
      </c>
      <c r="G154" s="4">
        <f t="shared" si="8"/>
        <v>94.550000000000182</v>
      </c>
    </row>
    <row r="155" spans="1:7" x14ac:dyDescent="0.3">
      <c r="A155" s="2">
        <v>43894</v>
      </c>
      <c r="B155" s="1">
        <v>75.685000000000002</v>
      </c>
      <c r="C155" s="1">
        <v>1975.83</v>
      </c>
      <c r="D155" s="1">
        <v>191.76</v>
      </c>
      <c r="E155" s="3">
        <f t="shared" si="9"/>
        <v>3900.71</v>
      </c>
      <c r="F155" s="4">
        <f t="shared" si="7"/>
        <v>184.0300000000002</v>
      </c>
      <c r="G155" s="4">
        <f t="shared" si="8"/>
        <v>-184.0300000000002</v>
      </c>
    </row>
    <row r="156" spans="1:7" x14ac:dyDescent="0.3">
      <c r="A156" s="2">
        <v>43893</v>
      </c>
      <c r="B156" s="1">
        <v>72.33</v>
      </c>
      <c r="C156" s="1">
        <v>1908.99</v>
      </c>
      <c r="D156" s="1">
        <v>185.89</v>
      </c>
      <c r="E156" s="3">
        <f t="shared" si="9"/>
        <v>3716.68</v>
      </c>
      <c r="F156" s="4">
        <f t="shared" si="7"/>
        <v>2.455000000000382</v>
      </c>
      <c r="G156" s="4">
        <f t="shared" si="8"/>
        <v>-2.455000000000382</v>
      </c>
    </row>
    <row r="157" spans="1:7" x14ac:dyDescent="0.3">
      <c r="A157" s="2">
        <v>43892</v>
      </c>
      <c r="B157" s="1">
        <v>74.702500000000001</v>
      </c>
      <c r="C157" s="1">
        <v>1953.95</v>
      </c>
      <c r="D157" s="1">
        <v>196.44</v>
      </c>
      <c r="E157" s="3">
        <f t="shared" si="9"/>
        <v>3714.2249999999995</v>
      </c>
      <c r="F157" s="4">
        <f t="shared" si="7"/>
        <v>379.12499999999955</v>
      </c>
      <c r="G157" s="4">
        <f t="shared" si="8"/>
        <v>-379.12499999999955</v>
      </c>
    </row>
    <row r="158" spans="1:7" x14ac:dyDescent="0.3">
      <c r="A158" s="2">
        <v>43889</v>
      </c>
      <c r="B158" s="1">
        <v>68.34</v>
      </c>
      <c r="C158" s="1">
        <v>1883.75</v>
      </c>
      <c r="D158" s="1">
        <v>192.47</v>
      </c>
      <c r="E158" s="3">
        <f t="shared" si="9"/>
        <v>3335.1</v>
      </c>
      <c r="F158" s="4">
        <f t="shared" si="7"/>
        <v>-57.500000000000455</v>
      </c>
      <c r="G158" s="4">
        <f t="shared" si="8"/>
        <v>57.500000000000455</v>
      </c>
    </row>
    <row r="159" spans="1:7" x14ac:dyDescent="0.3">
      <c r="A159" s="2">
        <v>43888</v>
      </c>
      <c r="B159" s="1">
        <v>68.38</v>
      </c>
      <c r="C159" s="1">
        <v>1884.3</v>
      </c>
      <c r="D159" s="1">
        <v>189.75</v>
      </c>
      <c r="E159" s="3">
        <f t="shared" si="9"/>
        <v>3392.6000000000004</v>
      </c>
      <c r="F159" s="4">
        <f t="shared" si="7"/>
        <v>-280.69999999999982</v>
      </c>
      <c r="G159" s="4">
        <f t="shared" si="8"/>
        <v>280.69999999999982</v>
      </c>
    </row>
    <row r="160" spans="1:7" x14ac:dyDescent="0.3">
      <c r="A160" s="2">
        <v>43887</v>
      </c>
      <c r="B160" s="1">
        <v>73.162400000000005</v>
      </c>
      <c r="C160" s="1">
        <v>1979.59</v>
      </c>
      <c r="D160" s="1">
        <v>197.2</v>
      </c>
      <c r="E160" s="3">
        <f t="shared" si="9"/>
        <v>3673.3</v>
      </c>
      <c r="F160" s="4">
        <f t="shared" si="7"/>
        <v>62.220000000000709</v>
      </c>
      <c r="G160" s="4">
        <f t="shared" si="8"/>
        <v>-62.220000000000709</v>
      </c>
    </row>
    <row r="161" spans="1:7" x14ac:dyDescent="0.3">
      <c r="A161" s="2">
        <v>43886</v>
      </c>
      <c r="B161" s="1">
        <v>72.02</v>
      </c>
      <c r="C161" s="1">
        <v>1972.74</v>
      </c>
      <c r="D161" s="1">
        <v>196.77</v>
      </c>
      <c r="E161" s="3">
        <f t="shared" si="9"/>
        <v>3611.0799999999995</v>
      </c>
      <c r="F161" s="4">
        <f t="shared" si="7"/>
        <v>-120.35000000000036</v>
      </c>
      <c r="G161" s="4">
        <f t="shared" si="8"/>
        <v>120.35000000000036</v>
      </c>
    </row>
    <row r="162" spans="1:7" x14ac:dyDescent="0.3">
      <c r="A162" s="2">
        <v>43885</v>
      </c>
      <c r="B162" s="1">
        <v>74.545000000000002</v>
      </c>
      <c r="C162" s="1">
        <v>2009.29</v>
      </c>
      <c r="D162" s="1">
        <v>200.72</v>
      </c>
      <c r="E162" s="3">
        <f t="shared" si="9"/>
        <v>3731.43</v>
      </c>
      <c r="F162" s="4">
        <f t="shared" si="7"/>
        <v>-170.0349999999994</v>
      </c>
      <c r="G162" s="4">
        <f t="shared" si="8"/>
        <v>170.0349999999994</v>
      </c>
    </row>
    <row r="163" spans="1:7" x14ac:dyDescent="0.3">
      <c r="A163" s="2">
        <v>43882</v>
      </c>
      <c r="B163" s="1">
        <v>78.262500000000003</v>
      </c>
      <c r="C163" s="1">
        <v>2095.9699999999998</v>
      </c>
      <c r="D163" s="1">
        <v>210.18</v>
      </c>
      <c r="E163" s="3">
        <f t="shared" si="9"/>
        <v>3901.4649999999992</v>
      </c>
      <c r="F163" s="4">
        <f t="shared" si="7"/>
        <v>-116.88500000000113</v>
      </c>
      <c r="G163" s="4">
        <f t="shared" si="8"/>
        <v>116.88500000000113</v>
      </c>
    </row>
    <row r="164" spans="1:7" x14ac:dyDescent="0.3">
      <c r="A164" s="2">
        <v>43881</v>
      </c>
      <c r="B164" s="1">
        <v>80.075000000000003</v>
      </c>
      <c r="C164" s="1">
        <v>2153.1</v>
      </c>
      <c r="D164" s="1">
        <v>214.58</v>
      </c>
      <c r="E164" s="3">
        <f t="shared" si="9"/>
        <v>4018.3500000000004</v>
      </c>
      <c r="F164" s="4">
        <f t="shared" si="7"/>
        <v>-17.539999999998145</v>
      </c>
      <c r="G164" s="4">
        <f t="shared" si="8"/>
        <v>17.539999999998145</v>
      </c>
    </row>
    <row r="165" spans="1:7" x14ac:dyDescent="0.3">
      <c r="A165" s="2">
        <v>43880</v>
      </c>
      <c r="B165" s="1">
        <v>80.905000000000001</v>
      </c>
      <c r="C165" s="1">
        <v>2170.2199999999998</v>
      </c>
      <c r="D165" s="1">
        <v>217.49</v>
      </c>
      <c r="E165" s="3">
        <f t="shared" si="9"/>
        <v>4035.8899999999985</v>
      </c>
      <c r="F165" s="4">
        <f t="shared" si="7"/>
        <v>93.049999999998363</v>
      </c>
      <c r="G165" s="4">
        <f t="shared" si="8"/>
        <v>-93.049999999998363</v>
      </c>
    </row>
    <row r="166" spans="1:7" x14ac:dyDescent="0.3">
      <c r="A166" s="2">
        <v>43879</v>
      </c>
      <c r="B166" s="1">
        <v>79.75</v>
      </c>
      <c r="C166" s="1">
        <v>2155.67</v>
      </c>
      <c r="D166" s="1">
        <v>217.8</v>
      </c>
      <c r="E166" s="3">
        <f t="shared" si="9"/>
        <v>3942.84</v>
      </c>
      <c r="F166" s="4">
        <f t="shared" si="7"/>
        <v>-105.17499999999927</v>
      </c>
      <c r="G166" s="4">
        <f t="shared" si="8"/>
        <v>105.17499999999927</v>
      </c>
    </row>
    <row r="167" spans="1:7" x14ac:dyDescent="0.3">
      <c r="A167" s="2">
        <v>43875</v>
      </c>
      <c r="B167" s="1">
        <v>81.237499999999997</v>
      </c>
      <c r="C167" s="1">
        <v>2134.87</v>
      </c>
      <c r="D167" s="1">
        <v>214.18</v>
      </c>
      <c r="E167" s="3">
        <f t="shared" si="9"/>
        <v>4048.0149999999994</v>
      </c>
      <c r="F167" s="4">
        <f t="shared" si="7"/>
        <v>-49.800000000001091</v>
      </c>
      <c r="G167" s="4">
        <f t="shared" si="8"/>
        <v>49.800000000001091</v>
      </c>
    </row>
    <row r="168" spans="1:7" x14ac:dyDescent="0.3">
      <c r="A168" s="2">
        <v>43874</v>
      </c>
      <c r="B168" s="1">
        <v>81.217500000000001</v>
      </c>
      <c r="C168" s="1">
        <v>2149.87</v>
      </c>
      <c r="D168" s="1">
        <v>213.14</v>
      </c>
      <c r="E168" s="3">
        <f t="shared" si="9"/>
        <v>4097.8150000000005</v>
      </c>
      <c r="F168" s="4">
        <f t="shared" si="7"/>
        <v>-96.984999999999673</v>
      </c>
      <c r="G168" s="4">
        <f t="shared" si="8"/>
        <v>96.984999999999673</v>
      </c>
    </row>
    <row r="169" spans="1:7" x14ac:dyDescent="0.3">
      <c r="A169" s="2">
        <v>43873</v>
      </c>
      <c r="B169" s="1">
        <v>81.8</v>
      </c>
      <c r="C169" s="1">
        <v>2160</v>
      </c>
      <c r="D169" s="1">
        <v>210.76</v>
      </c>
      <c r="E169" s="3">
        <f t="shared" si="9"/>
        <v>4194.8</v>
      </c>
      <c r="F169" s="4">
        <f t="shared" si="7"/>
        <v>41.875</v>
      </c>
      <c r="G169" s="4">
        <f t="shared" si="8"/>
        <v>-41.875</v>
      </c>
    </row>
    <row r="170" spans="1:7" x14ac:dyDescent="0.3">
      <c r="A170" s="2">
        <v>43872</v>
      </c>
      <c r="B170" s="1">
        <v>79.902500000000003</v>
      </c>
      <c r="C170" s="1">
        <v>2150.8000000000002</v>
      </c>
      <c r="D170" s="1">
        <v>207.19</v>
      </c>
      <c r="E170" s="3">
        <f t="shared" si="9"/>
        <v>4152.9250000000002</v>
      </c>
      <c r="F170" s="4">
        <f t="shared" si="7"/>
        <v>126.93000000000029</v>
      </c>
      <c r="G170" s="4">
        <f t="shared" si="8"/>
        <v>-126.93000000000029</v>
      </c>
    </row>
    <row r="171" spans="1:7" x14ac:dyDescent="0.3">
      <c r="A171" s="2">
        <v>43871</v>
      </c>
      <c r="B171" s="1">
        <v>80.387500000000003</v>
      </c>
      <c r="C171" s="1">
        <v>2133.91</v>
      </c>
      <c r="D171" s="1">
        <v>213.06</v>
      </c>
      <c r="E171" s="3">
        <f t="shared" si="9"/>
        <v>4025.9949999999999</v>
      </c>
      <c r="F171" s="4">
        <f t="shared" si="7"/>
        <v>113.66000000000076</v>
      </c>
      <c r="G171" s="4">
        <f t="shared" si="8"/>
        <v>-113.66000000000076</v>
      </c>
    </row>
    <row r="172" spans="1:7" x14ac:dyDescent="0.3">
      <c r="A172" s="2">
        <v>43868</v>
      </c>
      <c r="B172" s="1">
        <v>80.007499999999993</v>
      </c>
      <c r="C172" s="1">
        <v>2079.2800000000002</v>
      </c>
      <c r="D172" s="1">
        <v>212.33</v>
      </c>
      <c r="E172" s="3">
        <f t="shared" si="9"/>
        <v>3912.3349999999991</v>
      </c>
      <c r="F172" s="4">
        <f t="shared" si="7"/>
        <v>-36.25</v>
      </c>
      <c r="G172" s="4">
        <f t="shared" si="8"/>
        <v>36.25</v>
      </c>
    </row>
    <row r="173" spans="1:7" x14ac:dyDescent="0.3">
      <c r="A173" s="2">
        <v>43867</v>
      </c>
      <c r="B173" s="1">
        <v>81.302499999999995</v>
      </c>
      <c r="C173" s="1">
        <v>2050.23</v>
      </c>
      <c r="D173" s="1">
        <v>210.85</v>
      </c>
      <c r="E173" s="3">
        <f t="shared" si="9"/>
        <v>3948.5849999999991</v>
      </c>
      <c r="F173" s="4">
        <f t="shared" si="7"/>
        <v>52.920000000000073</v>
      </c>
      <c r="G173" s="4">
        <f t="shared" si="8"/>
        <v>-52.920000000000073</v>
      </c>
    </row>
    <row r="174" spans="1:7" x14ac:dyDescent="0.3">
      <c r="A174" s="2">
        <v>43866</v>
      </c>
      <c r="B174" s="1">
        <v>80.362499999999997</v>
      </c>
      <c r="C174" s="1">
        <v>2039.87</v>
      </c>
      <c r="D174" s="1">
        <v>210.11</v>
      </c>
      <c r="E174" s="3">
        <f t="shared" si="9"/>
        <v>3895.6649999999991</v>
      </c>
      <c r="F174" s="4">
        <f t="shared" si="7"/>
        <v>7.2999999999992724</v>
      </c>
      <c r="G174" s="4">
        <f t="shared" si="8"/>
        <v>-7.2999999999992724</v>
      </c>
    </row>
    <row r="175" spans="1:7" x14ac:dyDescent="0.3">
      <c r="A175" s="2">
        <v>43865</v>
      </c>
      <c r="B175" s="1">
        <v>79.712500000000006</v>
      </c>
      <c r="C175" s="1">
        <v>2049.67</v>
      </c>
      <c r="D175" s="1">
        <v>209.83</v>
      </c>
      <c r="E175" s="3">
        <f t="shared" si="9"/>
        <v>3888.3649999999998</v>
      </c>
      <c r="F175" s="4">
        <f t="shared" si="7"/>
        <v>105.51499999999942</v>
      </c>
      <c r="G175" s="4">
        <f t="shared" si="8"/>
        <v>-105.51499999999942</v>
      </c>
    </row>
    <row r="176" spans="1:7" x14ac:dyDescent="0.3">
      <c r="A176" s="2">
        <v>43864</v>
      </c>
      <c r="B176" s="1">
        <v>77.165000000000006</v>
      </c>
      <c r="C176" s="1">
        <v>2004.2</v>
      </c>
      <c r="D176" s="1">
        <v>204.19</v>
      </c>
      <c r="E176" s="3">
        <f t="shared" si="9"/>
        <v>3782.8500000000004</v>
      </c>
      <c r="F176" s="4">
        <f t="shared" si="7"/>
        <v>-65.265000000000327</v>
      </c>
      <c r="G176" s="4">
        <f t="shared" si="8"/>
        <v>65.265000000000327</v>
      </c>
    </row>
    <row r="177" spans="1:7" x14ac:dyDescent="0.3">
      <c r="A177" s="2">
        <v>43861</v>
      </c>
      <c r="B177" s="1">
        <v>77.377499999999998</v>
      </c>
      <c r="C177" s="1">
        <v>2008.72</v>
      </c>
      <c r="D177" s="1">
        <v>201.91</v>
      </c>
      <c r="E177" s="3">
        <f t="shared" si="9"/>
        <v>3848.1150000000007</v>
      </c>
      <c r="F177" s="4">
        <f t="shared" si="7"/>
        <v>248.98000000000047</v>
      </c>
      <c r="G177" s="4">
        <f t="shared" si="8"/>
        <v>-248.98000000000047</v>
      </c>
    </row>
    <row r="178" spans="1:7" x14ac:dyDescent="0.3">
      <c r="A178" s="2">
        <v>43860</v>
      </c>
      <c r="B178" s="1">
        <v>80.967500000000001</v>
      </c>
      <c r="C178" s="1">
        <v>1870.68</v>
      </c>
      <c r="D178" s="1">
        <v>209.53</v>
      </c>
      <c r="E178" s="3">
        <f t="shared" si="9"/>
        <v>3599.1350000000002</v>
      </c>
      <c r="F178" s="4">
        <f t="shared" si="7"/>
        <v>293.48499999999967</v>
      </c>
      <c r="G178" s="4">
        <f t="shared" si="8"/>
        <v>-293.48499999999967</v>
      </c>
    </row>
    <row r="179" spans="1:7" x14ac:dyDescent="0.3">
      <c r="A179" s="2">
        <v>43859</v>
      </c>
      <c r="B179" s="1">
        <v>81.084999999999994</v>
      </c>
      <c r="C179" s="1">
        <v>1858</v>
      </c>
      <c r="D179" s="1">
        <v>223.23</v>
      </c>
      <c r="E179" s="3">
        <f t="shared" si="9"/>
        <v>3305.6500000000005</v>
      </c>
      <c r="F179" s="4">
        <f t="shared" si="7"/>
        <v>-16.174999999999272</v>
      </c>
      <c r="G179" s="4">
        <f t="shared" si="8"/>
        <v>16.174999999999272</v>
      </c>
    </row>
    <row r="180" spans="1:7" x14ac:dyDescent="0.3">
      <c r="A180" s="2">
        <v>43858</v>
      </c>
      <c r="B180" s="1">
        <v>79.422499999999999</v>
      </c>
      <c r="C180" s="1">
        <v>1853.25</v>
      </c>
      <c r="D180" s="1">
        <v>217.79</v>
      </c>
      <c r="E180" s="3">
        <f t="shared" si="9"/>
        <v>3321.8249999999998</v>
      </c>
      <c r="F180" s="4">
        <f t="shared" si="7"/>
        <v>100.66999999999916</v>
      </c>
      <c r="G180" s="4">
        <f t="shared" si="8"/>
        <v>-100.66999999999916</v>
      </c>
    </row>
    <row r="181" spans="1:7" x14ac:dyDescent="0.3">
      <c r="A181" s="2">
        <v>43857</v>
      </c>
      <c r="B181" s="1">
        <v>77.237499999999997</v>
      </c>
      <c r="C181" s="1">
        <v>1828.34</v>
      </c>
      <c r="D181" s="1">
        <v>214.87</v>
      </c>
      <c r="E181" s="3">
        <f t="shared" si="9"/>
        <v>3221.1550000000007</v>
      </c>
      <c r="F181" s="4">
        <f t="shared" si="7"/>
        <v>-122.19999999999982</v>
      </c>
      <c r="G181" s="4">
        <f t="shared" si="8"/>
        <v>122.19999999999982</v>
      </c>
    </row>
    <row r="182" spans="1:7" x14ac:dyDescent="0.3">
      <c r="A182" s="2">
        <v>43854</v>
      </c>
      <c r="B182" s="1">
        <v>79.577500000000001</v>
      </c>
      <c r="C182" s="1">
        <v>1861.64</v>
      </c>
      <c r="D182" s="1">
        <v>217.94</v>
      </c>
      <c r="E182" s="3">
        <f t="shared" si="9"/>
        <v>3343.3550000000005</v>
      </c>
      <c r="F182" s="4">
        <f t="shared" si="7"/>
        <v>-20.979999999999563</v>
      </c>
      <c r="G182" s="4">
        <f t="shared" si="8"/>
        <v>20.979999999999563</v>
      </c>
    </row>
    <row r="183" spans="1:7" x14ac:dyDescent="0.3">
      <c r="A183" s="2">
        <v>43853</v>
      </c>
      <c r="B183" s="1">
        <v>79.807500000000005</v>
      </c>
      <c r="C183" s="1">
        <v>1884.58</v>
      </c>
      <c r="D183" s="1">
        <v>219.76</v>
      </c>
      <c r="E183" s="3">
        <f t="shared" si="9"/>
        <v>3364.335</v>
      </c>
      <c r="F183" s="4">
        <f t="shared" si="7"/>
        <v>44.5649999999996</v>
      </c>
      <c r="G183" s="4">
        <f t="shared" si="8"/>
        <v>-44.5649999999996</v>
      </c>
    </row>
    <row r="184" spans="1:7" x14ac:dyDescent="0.3">
      <c r="A184" s="2">
        <v>43852</v>
      </c>
      <c r="B184" s="1">
        <v>79.424999999999997</v>
      </c>
      <c r="C184" s="1">
        <v>1887.46</v>
      </c>
      <c r="D184" s="1">
        <v>221.32</v>
      </c>
      <c r="E184" s="3">
        <f t="shared" si="9"/>
        <v>3319.7700000000004</v>
      </c>
      <c r="F184" s="4">
        <f t="shared" si="7"/>
        <v>7.4450000000006185</v>
      </c>
      <c r="G184" s="4">
        <f t="shared" si="8"/>
        <v>-7.4450000000006185</v>
      </c>
    </row>
    <row r="185" spans="1:7" x14ac:dyDescent="0.3">
      <c r="A185" s="2">
        <v>43851</v>
      </c>
      <c r="B185" s="1">
        <v>79.142499999999998</v>
      </c>
      <c r="C185" s="1">
        <v>1892</v>
      </c>
      <c r="D185" s="1">
        <v>221.44</v>
      </c>
      <c r="E185" s="3">
        <f t="shared" si="9"/>
        <v>3312.3249999999998</v>
      </c>
      <c r="F185" s="4">
        <f t="shared" si="7"/>
        <v>41.559999999998581</v>
      </c>
      <c r="G185" s="4">
        <f t="shared" si="8"/>
        <v>-41.559999999998581</v>
      </c>
    </row>
    <row r="186" spans="1:7" x14ac:dyDescent="0.3">
      <c r="A186" s="2">
        <v>43847</v>
      </c>
      <c r="B186" s="1">
        <v>79.682500000000005</v>
      </c>
      <c r="C186" s="1">
        <v>1864.72</v>
      </c>
      <c r="D186" s="1">
        <v>222.14</v>
      </c>
      <c r="E186" s="3">
        <f t="shared" si="9"/>
        <v>3270.7650000000012</v>
      </c>
      <c r="F186" s="4">
        <f t="shared" si="7"/>
        <v>9.7850000000016735</v>
      </c>
      <c r="G186" s="4">
        <f t="shared" si="8"/>
        <v>-9.7850000000016735</v>
      </c>
    </row>
    <row r="187" spans="1:7" x14ac:dyDescent="0.3">
      <c r="A187" s="2">
        <v>43846</v>
      </c>
      <c r="B187" s="1">
        <v>78.81</v>
      </c>
      <c r="C187" s="1">
        <v>1877.94</v>
      </c>
      <c r="D187" s="1">
        <v>221.77</v>
      </c>
      <c r="E187" s="3">
        <f t="shared" si="9"/>
        <v>3260.9799999999996</v>
      </c>
      <c r="F187" s="4">
        <f t="shared" si="7"/>
        <v>68.190000000000509</v>
      </c>
      <c r="G187" s="4">
        <f t="shared" si="8"/>
        <v>-68.190000000000509</v>
      </c>
    </row>
    <row r="188" spans="1:7" x14ac:dyDescent="0.3">
      <c r="A188" s="2">
        <v>43845</v>
      </c>
      <c r="B188" s="1">
        <v>77.834999999999994</v>
      </c>
      <c r="C188" s="1">
        <v>1862.02</v>
      </c>
      <c r="D188" s="1">
        <v>221.15</v>
      </c>
      <c r="E188" s="3">
        <f t="shared" si="9"/>
        <v>3192.7899999999991</v>
      </c>
      <c r="F188" s="4">
        <f t="shared" si="7"/>
        <v>-73.390000000001237</v>
      </c>
      <c r="G188" s="4">
        <f t="shared" si="8"/>
        <v>73.390000000001237</v>
      </c>
    </row>
    <row r="189" spans="1:7" x14ac:dyDescent="0.3">
      <c r="A189" s="2">
        <v>43844</v>
      </c>
      <c r="B189" s="1">
        <v>78.17</v>
      </c>
      <c r="C189" s="1">
        <v>1869.44</v>
      </c>
      <c r="D189" s="1">
        <v>219.06</v>
      </c>
      <c r="E189" s="3">
        <f t="shared" si="9"/>
        <v>3266.1800000000003</v>
      </c>
      <c r="F189" s="4">
        <f t="shared" si="7"/>
        <v>-40.219999999999345</v>
      </c>
      <c r="G189" s="4">
        <f t="shared" si="8"/>
        <v>40.219999999999345</v>
      </c>
    </row>
    <row r="190" spans="1:7" x14ac:dyDescent="0.3">
      <c r="A190" s="2">
        <v>43843</v>
      </c>
      <c r="B190" s="1">
        <v>79.239999999999995</v>
      </c>
      <c r="C190" s="1">
        <v>1891.3</v>
      </c>
      <c r="D190" s="1">
        <v>221.91</v>
      </c>
      <c r="E190" s="3">
        <f t="shared" si="9"/>
        <v>3306.3999999999996</v>
      </c>
      <c r="F190" s="4">
        <f t="shared" si="7"/>
        <v>22.154999999999745</v>
      </c>
      <c r="G190" s="4">
        <f t="shared" si="8"/>
        <v>-22.154999999999745</v>
      </c>
    </row>
    <row r="191" spans="1:7" x14ac:dyDescent="0.3">
      <c r="A191" s="2">
        <v>43840</v>
      </c>
      <c r="B191" s="1">
        <v>77.582499999999996</v>
      </c>
      <c r="C191" s="1">
        <v>1883.16</v>
      </c>
      <c r="D191" s="1">
        <v>218.06</v>
      </c>
      <c r="E191" s="3">
        <f t="shared" si="9"/>
        <v>3284.2449999999999</v>
      </c>
      <c r="F191" s="4">
        <f t="shared" si="7"/>
        <v>-22.230000000000473</v>
      </c>
      <c r="G191" s="4">
        <f t="shared" si="8"/>
        <v>22.230000000000473</v>
      </c>
    </row>
    <row r="192" spans="1:7" x14ac:dyDescent="0.3">
      <c r="A192" s="2">
        <v>43839</v>
      </c>
      <c r="B192" s="1">
        <v>77.407499999999999</v>
      </c>
      <c r="C192" s="1">
        <v>1901.05</v>
      </c>
      <c r="D192" s="1">
        <v>218.3</v>
      </c>
      <c r="E192" s="3">
        <f t="shared" si="9"/>
        <v>3306.4750000000004</v>
      </c>
      <c r="F192" s="4">
        <f t="shared" si="7"/>
        <v>37.059999999999491</v>
      </c>
      <c r="G192" s="4">
        <f t="shared" si="8"/>
        <v>-37.059999999999491</v>
      </c>
    </row>
    <row r="193" spans="1:7" x14ac:dyDescent="0.3">
      <c r="A193" s="2">
        <v>43838</v>
      </c>
      <c r="B193" s="1">
        <v>75.797499999999999</v>
      </c>
      <c r="C193" s="1">
        <v>1891.97</v>
      </c>
      <c r="D193" s="1">
        <v>215.22</v>
      </c>
      <c r="E193" s="3">
        <f t="shared" si="9"/>
        <v>3269.4150000000009</v>
      </c>
      <c r="F193" s="4">
        <f t="shared" si="7"/>
        <v>-12.979999999998654</v>
      </c>
      <c r="G193" s="4">
        <f t="shared" si="8"/>
        <v>12.979999999998654</v>
      </c>
    </row>
    <row r="194" spans="1:7" x14ac:dyDescent="0.3">
      <c r="A194" s="2">
        <v>43837</v>
      </c>
      <c r="B194" s="1">
        <v>74.597499999999997</v>
      </c>
      <c r="C194" s="1">
        <v>1906.86</v>
      </c>
      <c r="D194" s="1">
        <v>213.06</v>
      </c>
      <c r="E194" s="3">
        <f t="shared" si="9"/>
        <v>3282.3949999999995</v>
      </c>
      <c r="F194" s="4">
        <f t="shared" si="7"/>
        <v>-18.865000000000691</v>
      </c>
      <c r="G194" s="4">
        <f t="shared" si="8"/>
        <v>18.865000000000691</v>
      </c>
    </row>
    <row r="195" spans="1:7" x14ac:dyDescent="0.3">
      <c r="A195" s="2">
        <v>43836</v>
      </c>
      <c r="B195" s="1">
        <v>74.95</v>
      </c>
      <c r="C195" s="1">
        <v>1902.88</v>
      </c>
      <c r="D195" s="1">
        <v>212.6</v>
      </c>
      <c r="E195" s="3">
        <f t="shared" si="9"/>
        <v>3301.26</v>
      </c>
      <c r="F195" s="4">
        <f t="shared" si="7"/>
        <v>6.8449999999993452</v>
      </c>
      <c r="G195" s="4">
        <f t="shared" si="8"/>
        <v>-6.8449999999993452</v>
      </c>
    </row>
    <row r="196" spans="1:7" x14ac:dyDescent="0.3">
      <c r="A196" s="2">
        <v>43833</v>
      </c>
      <c r="B196" s="1">
        <v>74.357500000000002</v>
      </c>
      <c r="C196" s="1">
        <v>1874.97</v>
      </c>
      <c r="D196" s="1">
        <v>208.67</v>
      </c>
      <c r="E196" s="3">
        <f t="shared" si="9"/>
        <v>3294.4150000000009</v>
      </c>
      <c r="F196" s="4">
        <f t="shared" si="7"/>
        <v>-60.3799999999992</v>
      </c>
      <c r="G196" s="4">
        <f t="shared" si="8"/>
        <v>60.3799999999992</v>
      </c>
    </row>
    <row r="197" spans="1:7" x14ac:dyDescent="0.3">
      <c r="A197" s="2">
        <v>43832</v>
      </c>
      <c r="B197" s="1">
        <v>75.087500000000006</v>
      </c>
      <c r="C197" s="1">
        <v>1898.01</v>
      </c>
      <c r="D197" s="1">
        <v>209.78</v>
      </c>
      <c r="E197" s="3">
        <f t="shared" si="9"/>
        <v>3354.7950000000001</v>
      </c>
      <c r="F197" s="4">
        <f t="shared" ref="F197:F260" si="10">E197-E198</f>
        <v>93.490000000000691</v>
      </c>
      <c r="G197" s="4">
        <f t="shared" ref="G197:G260" si="11">-F197</f>
        <v>-93.490000000000691</v>
      </c>
    </row>
    <row r="198" spans="1:7" x14ac:dyDescent="0.3">
      <c r="A198" s="2">
        <v>43831</v>
      </c>
      <c r="B198" s="1">
        <v>73.412499999999994</v>
      </c>
      <c r="C198" s="1">
        <v>1847.84</v>
      </c>
      <c r="D198" s="1">
        <v>205.25</v>
      </c>
      <c r="E198" s="3">
        <f t="shared" ref="E198:E261" si="12">50*B198+2*C198-20*D198</f>
        <v>3261.3049999999994</v>
      </c>
      <c r="F198" s="4">
        <f t="shared" si="10"/>
        <v>0</v>
      </c>
      <c r="G198" s="4">
        <f t="shared" si="11"/>
        <v>0</v>
      </c>
    </row>
    <row r="199" spans="1:7" x14ac:dyDescent="0.3">
      <c r="A199" s="2">
        <v>43830</v>
      </c>
      <c r="B199" s="1">
        <v>73.412499999999994</v>
      </c>
      <c r="C199" s="1">
        <v>1847.84</v>
      </c>
      <c r="D199" s="1">
        <v>205.25</v>
      </c>
      <c r="E199" s="3">
        <f t="shared" si="12"/>
        <v>3261.3049999999994</v>
      </c>
      <c r="F199" s="4">
        <f t="shared" si="10"/>
        <v>11.724999999998545</v>
      </c>
      <c r="G199" s="4">
        <f t="shared" si="11"/>
        <v>-11.724999999998545</v>
      </c>
    </row>
    <row r="200" spans="1:7" x14ac:dyDescent="0.3">
      <c r="A200" s="2">
        <v>43829</v>
      </c>
      <c r="B200" s="1">
        <v>72.88</v>
      </c>
      <c r="C200" s="1">
        <v>1846.89</v>
      </c>
      <c r="D200" s="1">
        <v>204.41</v>
      </c>
      <c r="E200" s="3">
        <f t="shared" si="12"/>
        <v>3249.5800000000008</v>
      </c>
      <c r="F200" s="4">
        <f t="shared" si="10"/>
        <v>49.480000000000473</v>
      </c>
      <c r="G200" s="4">
        <f t="shared" si="11"/>
        <v>-49.480000000000473</v>
      </c>
    </row>
    <row r="201" spans="1:7" x14ac:dyDescent="0.3">
      <c r="A201" s="2">
        <v>43826</v>
      </c>
      <c r="B201" s="1">
        <v>72.45</v>
      </c>
      <c r="C201" s="1">
        <v>1869.8</v>
      </c>
      <c r="D201" s="1">
        <v>208.1</v>
      </c>
      <c r="E201" s="3">
        <f t="shared" si="12"/>
        <v>3200.1000000000004</v>
      </c>
      <c r="F201" s="4">
        <f t="shared" si="10"/>
        <v>-5.5150000000003274</v>
      </c>
      <c r="G201" s="4">
        <f t="shared" si="11"/>
        <v>5.5150000000003274</v>
      </c>
    </row>
    <row r="202" spans="1:7" x14ac:dyDescent="0.3">
      <c r="A202" s="2">
        <v>43825</v>
      </c>
      <c r="B202" s="1">
        <v>72.477500000000006</v>
      </c>
      <c r="C202" s="1">
        <v>1868.77</v>
      </c>
      <c r="D202" s="1">
        <v>207.79</v>
      </c>
      <c r="E202" s="3">
        <f t="shared" si="12"/>
        <v>3205.6150000000007</v>
      </c>
      <c r="F202" s="4">
        <f t="shared" si="10"/>
        <v>176.22000000000025</v>
      </c>
      <c r="G202" s="4">
        <f t="shared" si="11"/>
        <v>-176.22000000000025</v>
      </c>
    </row>
    <row r="203" spans="1:7" x14ac:dyDescent="0.3">
      <c r="A203" s="2">
        <v>43824</v>
      </c>
      <c r="B203" s="1">
        <v>71.067499999999995</v>
      </c>
      <c r="C203" s="1">
        <v>1789.21</v>
      </c>
      <c r="D203" s="1">
        <v>205.12</v>
      </c>
      <c r="E203" s="3">
        <f t="shared" si="12"/>
        <v>3029.3950000000004</v>
      </c>
      <c r="F203" s="4">
        <f t="shared" si="10"/>
        <v>0</v>
      </c>
      <c r="G203" s="4">
        <f t="shared" si="11"/>
        <v>0</v>
      </c>
    </row>
    <row r="204" spans="1:7" x14ac:dyDescent="0.3">
      <c r="A204" s="2">
        <v>43823</v>
      </c>
      <c r="B204" s="1">
        <v>71.067499999999995</v>
      </c>
      <c r="C204" s="1">
        <v>1789.21</v>
      </c>
      <c r="D204" s="1">
        <v>205.12</v>
      </c>
      <c r="E204" s="3">
        <f t="shared" si="12"/>
        <v>3029.3950000000004</v>
      </c>
      <c r="F204" s="4">
        <f t="shared" si="10"/>
        <v>16.9950000000008</v>
      </c>
      <c r="G204" s="4">
        <f t="shared" si="11"/>
        <v>-16.9950000000008</v>
      </c>
    </row>
    <row r="205" spans="1:7" x14ac:dyDescent="0.3">
      <c r="A205" s="2">
        <v>43822</v>
      </c>
      <c r="B205" s="1">
        <v>71</v>
      </c>
      <c r="C205" s="1">
        <v>1793</v>
      </c>
      <c r="D205" s="1">
        <v>206.18</v>
      </c>
      <c r="E205" s="3">
        <f t="shared" si="12"/>
        <v>3012.3999999999996</v>
      </c>
      <c r="F205" s="4">
        <f t="shared" si="10"/>
        <v>72.399999999999636</v>
      </c>
      <c r="G205" s="4">
        <f t="shared" si="11"/>
        <v>-72.399999999999636</v>
      </c>
    </row>
    <row r="206" spans="1:7" x14ac:dyDescent="0.3">
      <c r="A206" s="2">
        <v>43819</v>
      </c>
      <c r="B206" s="1">
        <v>69.86</v>
      </c>
      <c r="C206" s="1">
        <v>1786.5</v>
      </c>
      <c r="D206" s="1">
        <v>206.3</v>
      </c>
      <c r="E206" s="3">
        <f t="shared" si="12"/>
        <v>2940</v>
      </c>
      <c r="F206" s="4">
        <f t="shared" si="10"/>
        <v>-23.609999999999673</v>
      </c>
      <c r="G206" s="4">
        <f t="shared" si="11"/>
        <v>23.609999999999673</v>
      </c>
    </row>
    <row r="207" spans="1:7" x14ac:dyDescent="0.3">
      <c r="A207" s="2">
        <v>43818</v>
      </c>
      <c r="B207" s="1">
        <v>70.004999999999995</v>
      </c>
      <c r="C207" s="1">
        <v>1792.28</v>
      </c>
      <c r="D207" s="1">
        <v>206.06</v>
      </c>
      <c r="E207" s="3">
        <f t="shared" si="12"/>
        <v>2963.6099999999997</v>
      </c>
      <c r="F207" s="4">
        <f t="shared" si="10"/>
        <v>-51.199999999999818</v>
      </c>
      <c r="G207" s="4">
        <f t="shared" si="11"/>
        <v>51.199999999999818</v>
      </c>
    </row>
    <row r="208" spans="1:7" x14ac:dyDescent="0.3">
      <c r="A208" s="2">
        <v>43817</v>
      </c>
      <c r="B208" s="1">
        <v>69.935000000000002</v>
      </c>
      <c r="C208" s="1">
        <v>1784.03</v>
      </c>
      <c r="D208" s="1">
        <v>202.5</v>
      </c>
      <c r="E208" s="3">
        <f t="shared" si="12"/>
        <v>3014.8099999999995</v>
      </c>
      <c r="F208" s="4">
        <f t="shared" si="10"/>
        <v>-103.8350000000014</v>
      </c>
      <c r="G208" s="4">
        <f t="shared" si="11"/>
        <v>103.8350000000014</v>
      </c>
    </row>
    <row r="209" spans="1:7" x14ac:dyDescent="0.3">
      <c r="A209" s="2">
        <v>43816</v>
      </c>
      <c r="B209" s="1">
        <v>70.102500000000006</v>
      </c>
      <c r="C209" s="1">
        <v>1790.66</v>
      </c>
      <c r="D209" s="1">
        <v>198.39</v>
      </c>
      <c r="E209" s="3">
        <f t="shared" si="12"/>
        <v>3118.6450000000009</v>
      </c>
      <c r="F209" s="4">
        <f t="shared" si="10"/>
        <v>40.375000000000455</v>
      </c>
      <c r="G209" s="4">
        <f t="shared" si="11"/>
        <v>-40.375000000000455</v>
      </c>
    </row>
    <row r="210" spans="1:7" x14ac:dyDescent="0.3">
      <c r="A210" s="2">
        <v>43815</v>
      </c>
      <c r="B210" s="1">
        <v>69.965000000000003</v>
      </c>
      <c r="C210" s="1">
        <v>1769.21</v>
      </c>
      <c r="D210" s="1">
        <v>197.92</v>
      </c>
      <c r="E210" s="3">
        <f t="shared" si="12"/>
        <v>3078.2700000000004</v>
      </c>
      <c r="F210" s="4">
        <f t="shared" si="10"/>
        <v>-0.78499999999849024</v>
      </c>
      <c r="G210" s="4">
        <f t="shared" si="11"/>
        <v>0.78499999999849024</v>
      </c>
    </row>
    <row r="211" spans="1:7" x14ac:dyDescent="0.3">
      <c r="A211" s="2">
        <v>43812</v>
      </c>
      <c r="B211" s="1">
        <v>68.787499999999994</v>
      </c>
      <c r="C211" s="1">
        <v>1760.94</v>
      </c>
      <c r="D211" s="1">
        <v>194.11</v>
      </c>
      <c r="E211" s="3">
        <f t="shared" si="12"/>
        <v>3079.0549999999989</v>
      </c>
      <c r="F211" s="4">
        <f t="shared" si="10"/>
        <v>100.14499999999907</v>
      </c>
      <c r="G211" s="4">
        <f t="shared" si="11"/>
        <v>-100.14499999999907</v>
      </c>
    </row>
    <row r="212" spans="1:7" x14ac:dyDescent="0.3">
      <c r="A212" s="2">
        <v>43811</v>
      </c>
      <c r="B212" s="1">
        <v>67.864999999999995</v>
      </c>
      <c r="C212" s="1">
        <v>1760.33</v>
      </c>
      <c r="D212" s="1">
        <v>196.75</v>
      </c>
      <c r="E212" s="3">
        <f t="shared" si="12"/>
        <v>2978.91</v>
      </c>
      <c r="F212" s="4">
        <f t="shared" si="10"/>
        <v>142.04499999999916</v>
      </c>
      <c r="G212" s="4">
        <f t="shared" si="11"/>
        <v>-142.04499999999916</v>
      </c>
    </row>
    <row r="213" spans="1:7" x14ac:dyDescent="0.3">
      <c r="A213" s="2">
        <v>43810</v>
      </c>
      <c r="B213" s="1">
        <v>67.692499999999995</v>
      </c>
      <c r="C213" s="1">
        <v>1748.72</v>
      </c>
      <c r="D213" s="1">
        <v>202.26</v>
      </c>
      <c r="E213" s="3">
        <f t="shared" si="12"/>
        <v>2836.8650000000007</v>
      </c>
      <c r="F213" s="4">
        <f t="shared" si="10"/>
        <v>19.845000000000709</v>
      </c>
      <c r="G213" s="4">
        <f t="shared" si="11"/>
        <v>-19.845000000000709</v>
      </c>
    </row>
    <row r="214" spans="1:7" x14ac:dyDescent="0.3">
      <c r="A214" s="2">
        <v>43809</v>
      </c>
      <c r="B214" s="1">
        <v>67.12</v>
      </c>
      <c r="C214" s="1">
        <v>1739.21</v>
      </c>
      <c r="D214" s="1">
        <v>200.87</v>
      </c>
      <c r="E214" s="3">
        <f t="shared" si="12"/>
        <v>2817.02</v>
      </c>
      <c r="F214" s="4">
        <f t="shared" si="10"/>
        <v>8.2999999999997272</v>
      </c>
      <c r="G214" s="4">
        <f t="shared" si="11"/>
        <v>-8.2999999999997272</v>
      </c>
    </row>
    <row r="215" spans="1:7" x14ac:dyDescent="0.3">
      <c r="A215" s="2">
        <v>43808</v>
      </c>
      <c r="B215" s="1">
        <v>66.73</v>
      </c>
      <c r="C215" s="1">
        <v>1749.51</v>
      </c>
      <c r="D215" s="1">
        <v>201.34</v>
      </c>
      <c r="E215" s="3">
        <f t="shared" si="12"/>
        <v>2808.7200000000003</v>
      </c>
      <c r="F215" s="4">
        <f t="shared" si="10"/>
        <v>-57.354999999998654</v>
      </c>
      <c r="G215" s="4">
        <f t="shared" si="11"/>
        <v>57.354999999998654</v>
      </c>
    </row>
    <row r="216" spans="1:7" x14ac:dyDescent="0.3">
      <c r="A216" s="2">
        <v>43805</v>
      </c>
      <c r="B216" s="1">
        <v>67.677499999999995</v>
      </c>
      <c r="C216" s="1">
        <v>1751.6</v>
      </c>
      <c r="D216" s="1">
        <v>201.05</v>
      </c>
      <c r="E216" s="3">
        <f t="shared" si="12"/>
        <v>2866.0749999999989</v>
      </c>
      <c r="F216" s="4">
        <f t="shared" si="10"/>
        <v>52.564999999999145</v>
      </c>
      <c r="G216" s="4">
        <f t="shared" si="11"/>
        <v>-52.564999999999145</v>
      </c>
    </row>
    <row r="217" spans="1:7" x14ac:dyDescent="0.3">
      <c r="A217" s="2">
        <v>43804</v>
      </c>
      <c r="B217" s="1">
        <v>66.394999999999996</v>
      </c>
      <c r="C217" s="1">
        <v>1740.48</v>
      </c>
      <c r="D217" s="1">
        <v>199.36</v>
      </c>
      <c r="E217" s="3">
        <f t="shared" si="12"/>
        <v>2813.5099999999998</v>
      </c>
      <c r="F217" s="4">
        <f t="shared" si="10"/>
        <v>-5.4200000000000728</v>
      </c>
      <c r="G217" s="4">
        <f t="shared" si="11"/>
        <v>5.4200000000000728</v>
      </c>
    </row>
    <row r="218" spans="1:7" x14ac:dyDescent="0.3">
      <c r="A218" s="2">
        <v>43803</v>
      </c>
      <c r="B218" s="1">
        <v>65.435000000000002</v>
      </c>
      <c r="C218" s="1">
        <v>1760.69</v>
      </c>
      <c r="D218" s="1">
        <v>198.71</v>
      </c>
      <c r="E218" s="3">
        <f t="shared" si="12"/>
        <v>2818.93</v>
      </c>
      <c r="F218" s="4">
        <f t="shared" si="10"/>
        <v>12.2849999999994</v>
      </c>
      <c r="G218" s="4">
        <f t="shared" si="11"/>
        <v>-12.2849999999994</v>
      </c>
    </row>
    <row r="219" spans="1:7" x14ac:dyDescent="0.3">
      <c r="A219" s="2">
        <v>43802</v>
      </c>
      <c r="B219" s="1">
        <v>64.862499999999997</v>
      </c>
      <c r="C219" s="1">
        <v>1769.96</v>
      </c>
      <c r="D219" s="1">
        <v>198.82</v>
      </c>
      <c r="E219" s="3">
        <f t="shared" si="12"/>
        <v>2806.6450000000004</v>
      </c>
      <c r="F219" s="4">
        <f t="shared" si="10"/>
        <v>-64.555000000000291</v>
      </c>
      <c r="G219" s="4">
        <f t="shared" si="11"/>
        <v>64.555000000000291</v>
      </c>
    </row>
    <row r="220" spans="1:7" x14ac:dyDescent="0.3">
      <c r="A220" s="2">
        <v>43801</v>
      </c>
      <c r="B220" s="1">
        <v>66.040000000000006</v>
      </c>
      <c r="C220" s="1">
        <v>1781.6</v>
      </c>
      <c r="D220" s="1">
        <v>199.7</v>
      </c>
      <c r="E220" s="3">
        <f t="shared" si="12"/>
        <v>2871.2000000000007</v>
      </c>
      <c r="F220" s="4">
        <f t="shared" si="10"/>
        <v>-38.224999999999909</v>
      </c>
      <c r="G220" s="4">
        <f t="shared" si="11"/>
        <v>38.224999999999909</v>
      </c>
    </row>
    <row r="221" spans="1:7" x14ac:dyDescent="0.3">
      <c r="A221" s="2">
        <v>43798</v>
      </c>
      <c r="B221" s="1">
        <v>66.8125</v>
      </c>
      <c r="C221" s="1">
        <v>1800.8</v>
      </c>
      <c r="D221" s="1">
        <v>201.64</v>
      </c>
      <c r="E221" s="3">
        <f t="shared" si="12"/>
        <v>2909.4250000000006</v>
      </c>
      <c r="F221" s="4">
        <f t="shared" si="10"/>
        <v>-35.59499999999889</v>
      </c>
      <c r="G221" s="4">
        <f t="shared" si="11"/>
        <v>35.59499999999889</v>
      </c>
    </row>
    <row r="222" spans="1:7" x14ac:dyDescent="0.3">
      <c r="A222" s="2">
        <v>43797</v>
      </c>
      <c r="B222" s="1">
        <v>66.959999999999994</v>
      </c>
      <c r="C222" s="1">
        <v>1818.51</v>
      </c>
      <c r="D222" s="1">
        <v>202</v>
      </c>
      <c r="E222" s="3">
        <f t="shared" si="12"/>
        <v>2945.0199999999995</v>
      </c>
      <c r="F222" s="4">
        <f t="shared" si="10"/>
        <v>0</v>
      </c>
      <c r="G222" s="4">
        <f t="shared" si="11"/>
        <v>0</v>
      </c>
    </row>
    <row r="223" spans="1:7" x14ac:dyDescent="0.3">
      <c r="A223" s="2">
        <v>43796</v>
      </c>
      <c r="B223" s="1">
        <v>66.959999999999994</v>
      </c>
      <c r="C223" s="1">
        <v>1818.51</v>
      </c>
      <c r="D223" s="1">
        <v>202</v>
      </c>
      <c r="E223" s="3">
        <f t="shared" si="12"/>
        <v>2945.0199999999995</v>
      </c>
      <c r="F223" s="4">
        <f t="shared" si="10"/>
        <v>26.914999999998599</v>
      </c>
      <c r="G223" s="4">
        <f t="shared" si="11"/>
        <v>-26.914999999998599</v>
      </c>
    </row>
    <row r="224" spans="1:7" x14ac:dyDescent="0.3">
      <c r="A224" s="2">
        <v>43795</v>
      </c>
      <c r="B224" s="1">
        <v>66.072500000000005</v>
      </c>
      <c r="C224" s="1">
        <v>1796.94</v>
      </c>
      <c r="D224" s="1">
        <v>198.97</v>
      </c>
      <c r="E224" s="3">
        <f t="shared" si="12"/>
        <v>2918.1050000000009</v>
      </c>
      <c r="F224" s="4">
        <f t="shared" si="10"/>
        <v>36.600000000000364</v>
      </c>
      <c r="G224" s="4">
        <f t="shared" si="11"/>
        <v>-36.600000000000364</v>
      </c>
    </row>
    <row r="225" spans="1:7" x14ac:dyDescent="0.3">
      <c r="A225" s="2">
        <v>43794</v>
      </c>
      <c r="B225" s="1">
        <v>66.592500000000001</v>
      </c>
      <c r="C225" s="1">
        <v>1773.84</v>
      </c>
      <c r="D225" s="1">
        <v>199.79</v>
      </c>
      <c r="E225" s="3">
        <f t="shared" si="12"/>
        <v>2881.5050000000006</v>
      </c>
      <c r="F225" s="4">
        <f t="shared" si="10"/>
        <v>94.2150000000006</v>
      </c>
      <c r="G225" s="4">
        <f t="shared" si="11"/>
        <v>-94.2150000000006</v>
      </c>
    </row>
    <row r="226" spans="1:7" x14ac:dyDescent="0.3">
      <c r="A226" s="2">
        <v>43791</v>
      </c>
      <c r="B226" s="1">
        <v>65.444999999999993</v>
      </c>
      <c r="C226" s="1">
        <v>1745.72</v>
      </c>
      <c r="D226" s="1">
        <v>198.82</v>
      </c>
      <c r="E226" s="3">
        <f t="shared" si="12"/>
        <v>2787.29</v>
      </c>
      <c r="F226" s="4">
        <f t="shared" si="10"/>
        <v>1.3450000000002547</v>
      </c>
      <c r="G226" s="4">
        <f t="shared" si="11"/>
        <v>-1.3450000000002547</v>
      </c>
    </row>
    <row r="227" spans="1:7" x14ac:dyDescent="0.3">
      <c r="A227" s="2">
        <v>43790</v>
      </c>
      <c r="B227" s="1">
        <v>65.502499999999998</v>
      </c>
      <c r="C227" s="1">
        <v>1734.71</v>
      </c>
      <c r="D227" s="1">
        <v>197.93</v>
      </c>
      <c r="E227" s="3">
        <f t="shared" si="12"/>
        <v>2785.9449999999997</v>
      </c>
      <c r="F227" s="4">
        <f t="shared" si="10"/>
        <v>-44.789999999999964</v>
      </c>
      <c r="G227" s="4">
        <f t="shared" si="11"/>
        <v>44.789999999999964</v>
      </c>
    </row>
    <row r="228" spans="1:7" x14ac:dyDescent="0.3">
      <c r="A228" s="2">
        <v>43789</v>
      </c>
      <c r="B228" s="1">
        <v>65.797499999999999</v>
      </c>
      <c r="C228" s="1">
        <v>1745.53</v>
      </c>
      <c r="D228" s="1">
        <v>197.51</v>
      </c>
      <c r="E228" s="3">
        <f t="shared" si="12"/>
        <v>2830.7349999999997</v>
      </c>
      <c r="F228" s="4">
        <f t="shared" si="10"/>
        <v>-17.070000000000618</v>
      </c>
      <c r="G228" s="4">
        <f t="shared" si="11"/>
        <v>17.070000000000618</v>
      </c>
    </row>
    <row r="229" spans="1:7" x14ac:dyDescent="0.3">
      <c r="A229" s="2">
        <v>43788</v>
      </c>
      <c r="B229" s="1">
        <v>66.572500000000005</v>
      </c>
      <c r="C229" s="1">
        <v>1752.79</v>
      </c>
      <c r="D229" s="1">
        <v>199.32</v>
      </c>
      <c r="E229" s="3">
        <f t="shared" si="12"/>
        <v>2847.8050000000003</v>
      </c>
      <c r="F229" s="4">
        <f t="shared" si="10"/>
        <v>-48.005000000000109</v>
      </c>
      <c r="G229" s="4">
        <f t="shared" si="11"/>
        <v>48.005000000000109</v>
      </c>
    </row>
    <row r="230" spans="1:7" x14ac:dyDescent="0.3">
      <c r="A230" s="2">
        <v>43787</v>
      </c>
      <c r="B230" s="1">
        <v>66.775000000000006</v>
      </c>
      <c r="C230" s="1">
        <v>1752.53</v>
      </c>
      <c r="D230" s="1">
        <v>197.4</v>
      </c>
      <c r="E230" s="3">
        <f t="shared" si="12"/>
        <v>2895.8100000000004</v>
      </c>
      <c r="F230" s="4">
        <f t="shared" si="10"/>
        <v>-3.1699999999991633</v>
      </c>
      <c r="G230" s="4">
        <f t="shared" si="11"/>
        <v>3.1699999999991633</v>
      </c>
    </row>
    <row r="231" spans="1:7" x14ac:dyDescent="0.3">
      <c r="A231" s="2">
        <v>43784</v>
      </c>
      <c r="B231" s="1">
        <v>66.44</v>
      </c>
      <c r="C231" s="1">
        <v>1739.49</v>
      </c>
      <c r="D231" s="1">
        <v>195.1</v>
      </c>
      <c r="E231" s="3">
        <f t="shared" si="12"/>
        <v>2898.9799999999996</v>
      </c>
      <c r="F231" s="4">
        <f t="shared" si="10"/>
        <v>-30.220000000000255</v>
      </c>
      <c r="G231" s="4">
        <f t="shared" si="11"/>
        <v>30.220000000000255</v>
      </c>
    </row>
    <row r="232" spans="1:7" x14ac:dyDescent="0.3">
      <c r="A232" s="2">
        <v>43783</v>
      </c>
      <c r="B232" s="1">
        <v>65.66</v>
      </c>
      <c r="C232" s="1">
        <v>1754.6</v>
      </c>
      <c r="D232" s="1">
        <v>193.15</v>
      </c>
      <c r="E232" s="3">
        <f t="shared" si="12"/>
        <v>2929.2</v>
      </c>
      <c r="F232" s="4">
        <f t="shared" si="10"/>
        <v>-19.095000000000255</v>
      </c>
      <c r="G232" s="4">
        <f t="shared" si="11"/>
        <v>19.095000000000255</v>
      </c>
    </row>
    <row r="233" spans="1:7" x14ac:dyDescent="0.3">
      <c r="A233" s="2">
        <v>43782</v>
      </c>
      <c r="B233" s="1">
        <v>66.117500000000007</v>
      </c>
      <c r="C233" s="1">
        <v>1753.11</v>
      </c>
      <c r="D233" s="1">
        <v>193.19</v>
      </c>
      <c r="E233" s="3">
        <f t="shared" si="12"/>
        <v>2948.2950000000001</v>
      </c>
      <c r="F233" s="4">
        <f t="shared" si="10"/>
        <v>7.1950000000001637</v>
      </c>
      <c r="G233" s="4">
        <f t="shared" si="11"/>
        <v>-7.1950000000001637</v>
      </c>
    </row>
    <row r="234" spans="1:7" x14ac:dyDescent="0.3">
      <c r="A234" s="2">
        <v>43781</v>
      </c>
      <c r="B234" s="1">
        <v>65.489999999999995</v>
      </c>
      <c r="C234" s="1">
        <v>1778</v>
      </c>
      <c r="D234" s="1">
        <v>194.47</v>
      </c>
      <c r="E234" s="3">
        <f t="shared" si="12"/>
        <v>2941.1</v>
      </c>
      <c r="F234" s="4">
        <f t="shared" si="10"/>
        <v>-87.5</v>
      </c>
      <c r="G234" s="4">
        <f t="shared" si="11"/>
        <v>87.5</v>
      </c>
    </row>
    <row r="235" spans="1:7" x14ac:dyDescent="0.3">
      <c r="A235" s="2">
        <v>43780</v>
      </c>
      <c r="B235" s="1">
        <v>65.55</v>
      </c>
      <c r="C235" s="1">
        <v>1771.65</v>
      </c>
      <c r="D235" s="1">
        <v>189.61</v>
      </c>
      <c r="E235" s="3">
        <f t="shared" si="12"/>
        <v>3028.6</v>
      </c>
      <c r="F235" s="4">
        <f t="shared" si="10"/>
        <v>21.889999999999873</v>
      </c>
      <c r="G235" s="4">
        <f t="shared" si="11"/>
        <v>-21.889999999999873</v>
      </c>
    </row>
    <row r="236" spans="1:7" x14ac:dyDescent="0.3">
      <c r="A236" s="2">
        <v>43777</v>
      </c>
      <c r="B236" s="1">
        <v>65.034999999999997</v>
      </c>
      <c r="C236" s="1">
        <v>1785.88</v>
      </c>
      <c r="D236" s="1">
        <v>190.84</v>
      </c>
      <c r="E236" s="3">
        <f t="shared" si="12"/>
        <v>3006.71</v>
      </c>
      <c r="F236" s="4">
        <f t="shared" si="10"/>
        <v>-4.1649999999999636</v>
      </c>
      <c r="G236" s="4">
        <f t="shared" si="11"/>
        <v>4.1649999999999636</v>
      </c>
    </row>
    <row r="237" spans="1:7" x14ac:dyDescent="0.3">
      <c r="A237" s="2">
        <v>43776</v>
      </c>
      <c r="B237" s="1">
        <v>64.857500000000002</v>
      </c>
      <c r="C237" s="1">
        <v>1788.2</v>
      </c>
      <c r="D237" s="1">
        <v>190.42</v>
      </c>
      <c r="E237" s="3">
        <f t="shared" si="12"/>
        <v>3010.875</v>
      </c>
      <c r="F237" s="4">
        <f t="shared" si="10"/>
        <v>34.835000000000036</v>
      </c>
      <c r="G237" s="4">
        <f t="shared" si="11"/>
        <v>-34.835000000000036</v>
      </c>
    </row>
    <row r="238" spans="1:7" x14ac:dyDescent="0.3">
      <c r="A238" s="2">
        <v>43775</v>
      </c>
      <c r="B238" s="1">
        <v>64.31</v>
      </c>
      <c r="C238" s="1">
        <v>1795.77</v>
      </c>
      <c r="D238" s="1">
        <v>191.55</v>
      </c>
      <c r="E238" s="3">
        <f t="shared" si="12"/>
        <v>2976.04</v>
      </c>
      <c r="F238" s="4">
        <f t="shared" si="10"/>
        <v>44.894999999999527</v>
      </c>
      <c r="G238" s="4">
        <f t="shared" si="11"/>
        <v>-44.894999999999527</v>
      </c>
    </row>
    <row r="239" spans="1:7" x14ac:dyDescent="0.3">
      <c r="A239" s="2">
        <v>43774</v>
      </c>
      <c r="B239" s="1">
        <v>64.282499999999999</v>
      </c>
      <c r="C239" s="1">
        <v>1801.71</v>
      </c>
      <c r="D239" s="1">
        <v>194.32</v>
      </c>
      <c r="E239" s="3">
        <f t="shared" si="12"/>
        <v>2931.1450000000004</v>
      </c>
      <c r="F239" s="4">
        <f t="shared" si="10"/>
        <v>-2.5249999999991815</v>
      </c>
      <c r="G239" s="4">
        <f t="shared" si="11"/>
        <v>2.5249999999991815</v>
      </c>
    </row>
    <row r="240" spans="1:7" x14ac:dyDescent="0.3">
      <c r="A240" s="2">
        <v>43773</v>
      </c>
      <c r="B240" s="1">
        <v>64.375</v>
      </c>
      <c r="C240" s="1">
        <v>1804.66</v>
      </c>
      <c r="D240" s="1">
        <v>194.72</v>
      </c>
      <c r="E240" s="3">
        <f t="shared" si="12"/>
        <v>2933.6699999999996</v>
      </c>
      <c r="F240" s="4">
        <f t="shared" si="10"/>
        <v>25.4399999999996</v>
      </c>
      <c r="G240" s="4">
        <f t="shared" si="11"/>
        <v>-25.4399999999996</v>
      </c>
    </row>
    <row r="241" spans="1:7" x14ac:dyDescent="0.3">
      <c r="A241" s="2">
        <v>43770</v>
      </c>
      <c r="B241" s="1">
        <v>63.954999999999998</v>
      </c>
      <c r="C241" s="1">
        <v>1791.44</v>
      </c>
      <c r="D241" s="1">
        <v>193.62</v>
      </c>
      <c r="E241" s="3">
        <f t="shared" si="12"/>
        <v>2908.23</v>
      </c>
      <c r="F241" s="4">
        <f t="shared" si="10"/>
        <v>78.410000000000309</v>
      </c>
      <c r="G241" s="4">
        <f t="shared" si="11"/>
        <v>-78.410000000000309</v>
      </c>
    </row>
    <row r="242" spans="1:7" x14ac:dyDescent="0.3">
      <c r="A242" s="2">
        <v>43769</v>
      </c>
      <c r="B242" s="1">
        <v>62.19</v>
      </c>
      <c r="C242" s="1">
        <v>1776.66</v>
      </c>
      <c r="D242" s="1">
        <v>191.65</v>
      </c>
      <c r="E242" s="3">
        <f t="shared" si="12"/>
        <v>2829.8199999999997</v>
      </c>
      <c r="F242" s="4">
        <f t="shared" si="10"/>
        <v>-5.9099999999998545</v>
      </c>
      <c r="G242" s="4">
        <f t="shared" si="11"/>
        <v>5.9099999999998545</v>
      </c>
    </row>
    <row r="243" spans="1:7" x14ac:dyDescent="0.3">
      <c r="A243" s="2">
        <v>43768</v>
      </c>
      <c r="B243" s="1">
        <v>60.814999999999998</v>
      </c>
      <c r="C243" s="1">
        <v>1779.99</v>
      </c>
      <c r="D243" s="1">
        <v>188.25</v>
      </c>
      <c r="E243" s="3">
        <f t="shared" si="12"/>
        <v>2835.7299999999996</v>
      </c>
      <c r="F243" s="4">
        <f t="shared" si="10"/>
        <v>55.384999999999309</v>
      </c>
      <c r="G243" s="4">
        <f t="shared" si="11"/>
        <v>-55.384999999999309</v>
      </c>
    </row>
    <row r="244" spans="1:7" x14ac:dyDescent="0.3">
      <c r="A244" s="2">
        <v>43767</v>
      </c>
      <c r="B244" s="1">
        <v>60.822499999999998</v>
      </c>
      <c r="C244" s="1">
        <v>1762.71</v>
      </c>
      <c r="D244" s="1">
        <v>189.31</v>
      </c>
      <c r="E244" s="3">
        <f t="shared" si="12"/>
        <v>2780.3450000000003</v>
      </c>
      <c r="F244" s="4">
        <f t="shared" si="10"/>
        <v>-98.9399999999996</v>
      </c>
      <c r="G244" s="4">
        <f t="shared" si="11"/>
        <v>98.9399999999996</v>
      </c>
    </row>
    <row r="245" spans="1:7" x14ac:dyDescent="0.3">
      <c r="A245" s="2">
        <v>43766</v>
      </c>
      <c r="B245" s="1">
        <v>62.262500000000003</v>
      </c>
      <c r="C245" s="1">
        <v>1777.08</v>
      </c>
      <c r="D245" s="1">
        <v>189.4</v>
      </c>
      <c r="E245" s="3">
        <f t="shared" si="12"/>
        <v>2879.2849999999999</v>
      </c>
      <c r="F245" s="4">
        <f t="shared" si="10"/>
        <v>32.174999999999727</v>
      </c>
      <c r="G245" s="4">
        <f t="shared" si="11"/>
        <v>-32.174999999999727</v>
      </c>
    </row>
    <row r="246" spans="1:7" x14ac:dyDescent="0.3">
      <c r="A246" s="2">
        <v>43763</v>
      </c>
      <c r="B246" s="1">
        <v>61.645000000000003</v>
      </c>
      <c r="C246" s="1">
        <v>1761.33</v>
      </c>
      <c r="D246" s="1">
        <v>187.89</v>
      </c>
      <c r="E246" s="3">
        <f t="shared" si="12"/>
        <v>2847.11</v>
      </c>
      <c r="F246" s="4">
        <f t="shared" si="10"/>
        <v>-31.599999999999454</v>
      </c>
      <c r="G246" s="4">
        <f t="shared" si="11"/>
        <v>31.599999999999454</v>
      </c>
    </row>
    <row r="247" spans="1:7" x14ac:dyDescent="0.3">
      <c r="A247" s="2">
        <v>43762</v>
      </c>
      <c r="B247" s="1">
        <v>60.895000000000003</v>
      </c>
      <c r="C247" s="1">
        <v>1780.78</v>
      </c>
      <c r="D247" s="1">
        <v>186.38</v>
      </c>
      <c r="E247" s="3">
        <f t="shared" si="12"/>
        <v>2878.7099999999996</v>
      </c>
      <c r="F247" s="4">
        <f t="shared" si="10"/>
        <v>37.619999999999436</v>
      </c>
      <c r="G247" s="4">
        <f t="shared" si="11"/>
        <v>-37.619999999999436</v>
      </c>
    </row>
    <row r="248" spans="1:7" x14ac:dyDescent="0.3">
      <c r="A248" s="2">
        <v>43761</v>
      </c>
      <c r="B248" s="1">
        <v>60.795000000000002</v>
      </c>
      <c r="C248" s="1">
        <v>1762.17</v>
      </c>
      <c r="D248" s="1">
        <v>186.15</v>
      </c>
      <c r="E248" s="3">
        <f t="shared" si="12"/>
        <v>2841.09</v>
      </c>
      <c r="F248" s="4">
        <f t="shared" si="10"/>
        <v>-43.069999999999709</v>
      </c>
      <c r="G248" s="4">
        <f t="shared" si="11"/>
        <v>43.069999999999709</v>
      </c>
    </row>
    <row r="249" spans="1:7" x14ac:dyDescent="0.3">
      <c r="A249" s="2">
        <v>43760</v>
      </c>
      <c r="B249" s="1">
        <v>59.99</v>
      </c>
      <c r="C249" s="1">
        <v>1765.73</v>
      </c>
      <c r="D249" s="1">
        <v>182.34</v>
      </c>
      <c r="E249" s="3">
        <f t="shared" si="12"/>
        <v>2884.16</v>
      </c>
      <c r="F249" s="4">
        <f t="shared" si="10"/>
        <v>101.66499999999996</v>
      </c>
      <c r="G249" s="4">
        <f t="shared" si="11"/>
        <v>-101.66499999999996</v>
      </c>
    </row>
    <row r="250" spans="1:7" x14ac:dyDescent="0.3">
      <c r="A250" s="2">
        <v>43759</v>
      </c>
      <c r="B250" s="1">
        <v>60.127499999999998</v>
      </c>
      <c r="C250" s="1">
        <v>1785.66</v>
      </c>
      <c r="D250" s="1">
        <v>189.76</v>
      </c>
      <c r="E250" s="3">
        <f t="shared" si="12"/>
        <v>2782.4949999999999</v>
      </c>
      <c r="F250" s="4">
        <f t="shared" si="10"/>
        <v>29.349999999999454</v>
      </c>
      <c r="G250" s="4">
        <f t="shared" si="11"/>
        <v>-29.349999999999454</v>
      </c>
    </row>
    <row r="251" spans="1:7" x14ac:dyDescent="0.3">
      <c r="A251" s="2">
        <v>43756</v>
      </c>
      <c r="B251" s="1">
        <v>59.102499999999999</v>
      </c>
      <c r="C251" s="1">
        <v>1757.51</v>
      </c>
      <c r="D251" s="1">
        <v>185.85</v>
      </c>
      <c r="E251" s="3">
        <f t="shared" si="12"/>
        <v>2753.1450000000004</v>
      </c>
      <c r="F251" s="4">
        <f t="shared" si="10"/>
        <v>44.985000000000127</v>
      </c>
      <c r="G251" s="4">
        <f t="shared" si="11"/>
        <v>-44.985000000000127</v>
      </c>
    </row>
    <row r="252" spans="1:7" x14ac:dyDescent="0.3">
      <c r="A252" s="2">
        <v>43755</v>
      </c>
      <c r="B252" s="1">
        <v>58.82</v>
      </c>
      <c r="C252" s="1">
        <v>1787.48</v>
      </c>
      <c r="D252" s="1">
        <v>190.39</v>
      </c>
      <c r="E252" s="3">
        <f t="shared" si="12"/>
        <v>2708.1600000000003</v>
      </c>
      <c r="F252" s="4">
        <f t="shared" si="10"/>
        <v>14.674999999999727</v>
      </c>
      <c r="G252" s="4">
        <f t="shared" si="11"/>
        <v>-14.674999999999727</v>
      </c>
    </row>
    <row r="253" spans="1:7" x14ac:dyDescent="0.3">
      <c r="A253" s="2">
        <v>43754</v>
      </c>
      <c r="B253" s="1">
        <v>58.592500000000001</v>
      </c>
      <c r="C253" s="1">
        <v>1777.43</v>
      </c>
      <c r="D253" s="1">
        <v>189.55</v>
      </c>
      <c r="E253" s="3">
        <f t="shared" si="12"/>
        <v>2693.4850000000006</v>
      </c>
      <c r="F253" s="4">
        <f t="shared" si="10"/>
        <v>-4.9749999999999091</v>
      </c>
      <c r="G253" s="4">
        <f t="shared" si="11"/>
        <v>4.9749999999999091</v>
      </c>
    </row>
    <row r="254" spans="1:7" x14ac:dyDescent="0.3">
      <c r="A254" s="2">
        <v>43753</v>
      </c>
      <c r="B254" s="1">
        <v>58.83</v>
      </c>
      <c r="C254" s="1">
        <v>1767.38</v>
      </c>
      <c r="D254" s="1">
        <v>188.89</v>
      </c>
      <c r="E254" s="3">
        <f t="shared" si="12"/>
        <v>2698.4600000000005</v>
      </c>
      <c r="F254" s="4">
        <f t="shared" si="10"/>
        <v>-57.175000000000182</v>
      </c>
      <c r="G254" s="4">
        <f t="shared" si="11"/>
        <v>57.175000000000182</v>
      </c>
    </row>
    <row r="255" spans="1:7" x14ac:dyDescent="0.3">
      <c r="A255" s="2">
        <v>43752</v>
      </c>
      <c r="B255" s="1">
        <v>58.967500000000001</v>
      </c>
      <c r="C255" s="1">
        <v>1736.43</v>
      </c>
      <c r="D255" s="1">
        <v>183.28</v>
      </c>
      <c r="E255" s="3">
        <f t="shared" si="12"/>
        <v>2755.6350000000007</v>
      </c>
      <c r="F255" s="4">
        <f t="shared" si="10"/>
        <v>22.970000000000709</v>
      </c>
      <c r="G255" s="4">
        <f t="shared" si="11"/>
        <v>-22.970000000000709</v>
      </c>
    </row>
    <row r="256" spans="1:7" x14ac:dyDescent="0.3">
      <c r="A256" s="2">
        <v>43749</v>
      </c>
      <c r="B256" s="1">
        <v>59.052500000000002</v>
      </c>
      <c r="C256" s="1">
        <v>1731.92</v>
      </c>
      <c r="D256" s="1">
        <v>184.19</v>
      </c>
      <c r="E256" s="3">
        <f t="shared" si="12"/>
        <v>2732.665</v>
      </c>
      <c r="F256" s="4">
        <f t="shared" si="10"/>
        <v>16.619999999999436</v>
      </c>
      <c r="G256" s="4">
        <f t="shared" si="11"/>
        <v>-16.619999999999436</v>
      </c>
    </row>
    <row r="257" spans="1:7" x14ac:dyDescent="0.3">
      <c r="A257" s="2">
        <v>43748</v>
      </c>
      <c r="B257" s="1">
        <v>57.522500000000001</v>
      </c>
      <c r="C257" s="1">
        <v>1720.26</v>
      </c>
      <c r="D257" s="1">
        <v>180.03</v>
      </c>
      <c r="E257" s="3">
        <f t="shared" si="12"/>
        <v>2716.0450000000005</v>
      </c>
      <c r="F257" s="4">
        <f t="shared" si="10"/>
        <v>31.190000000000964</v>
      </c>
      <c r="G257" s="4">
        <f t="shared" si="11"/>
        <v>-31.190000000000964</v>
      </c>
    </row>
    <row r="258" spans="1:7" x14ac:dyDescent="0.3">
      <c r="A258" s="2">
        <v>43747</v>
      </c>
      <c r="B258" s="1">
        <v>56.7575</v>
      </c>
      <c r="C258" s="1">
        <v>1721.99</v>
      </c>
      <c r="D258" s="1">
        <v>179.85</v>
      </c>
      <c r="E258" s="3">
        <f t="shared" si="12"/>
        <v>2684.8549999999996</v>
      </c>
      <c r="F258" s="4">
        <f t="shared" si="10"/>
        <v>23.834999999999127</v>
      </c>
      <c r="G258" s="4">
        <f t="shared" si="11"/>
        <v>-23.834999999999127</v>
      </c>
    </row>
    <row r="259" spans="1:7" x14ac:dyDescent="0.3">
      <c r="A259" s="2">
        <v>43746</v>
      </c>
      <c r="B259" s="1">
        <v>56.1</v>
      </c>
      <c r="C259" s="1">
        <v>1705.51</v>
      </c>
      <c r="D259" s="1">
        <v>177.75</v>
      </c>
      <c r="E259" s="3">
        <f t="shared" si="12"/>
        <v>2661.0200000000004</v>
      </c>
      <c r="F259" s="4">
        <f t="shared" si="10"/>
        <v>-48.949999999998909</v>
      </c>
      <c r="G259" s="4">
        <f t="shared" si="11"/>
        <v>48.949999999998909</v>
      </c>
    </row>
    <row r="260" spans="1:7" x14ac:dyDescent="0.3">
      <c r="A260" s="2">
        <v>43745</v>
      </c>
      <c r="B260" s="1">
        <v>56.765000000000001</v>
      </c>
      <c r="C260" s="1">
        <v>1732.66</v>
      </c>
      <c r="D260" s="1">
        <v>179.68</v>
      </c>
      <c r="E260" s="3">
        <f t="shared" si="12"/>
        <v>2709.9699999999993</v>
      </c>
      <c r="F260" s="4">
        <f t="shared" si="10"/>
        <v>2.0449999999991633</v>
      </c>
      <c r="G260" s="4">
        <f t="shared" si="11"/>
        <v>-2.0449999999991633</v>
      </c>
    </row>
    <row r="261" spans="1:7" x14ac:dyDescent="0.3">
      <c r="A261" s="2">
        <v>43742</v>
      </c>
      <c r="B261" s="1">
        <v>56.752499999999998</v>
      </c>
      <c r="C261" s="1">
        <v>1739.65</v>
      </c>
      <c r="D261" s="1">
        <v>180.45</v>
      </c>
      <c r="E261" s="3">
        <f t="shared" si="12"/>
        <v>2707.9250000000002</v>
      </c>
      <c r="F261" s="4">
        <f t="shared" ref="F261:F324" si="13">E261-E262</f>
        <v>86.434999999999945</v>
      </c>
      <c r="G261" s="4">
        <f t="shared" ref="G261:G324" si="14">-F261</f>
        <v>-86.434999999999945</v>
      </c>
    </row>
    <row r="262" spans="1:7" x14ac:dyDescent="0.3">
      <c r="A262" s="2">
        <v>43741</v>
      </c>
      <c r="B262" s="1">
        <v>55.204999999999998</v>
      </c>
      <c r="C262" s="1">
        <v>1724.42</v>
      </c>
      <c r="D262" s="1">
        <v>179.38</v>
      </c>
      <c r="E262" s="3">
        <f t="shared" ref="E262:E325" si="15">50*B262+2*C262-20*D262</f>
        <v>2621.4900000000002</v>
      </c>
      <c r="F262" s="4">
        <f t="shared" si="13"/>
        <v>-49.9699999999998</v>
      </c>
      <c r="G262" s="4">
        <f t="shared" si="14"/>
        <v>49.9699999999998</v>
      </c>
    </row>
    <row r="263" spans="1:7" x14ac:dyDescent="0.3">
      <c r="A263" s="2">
        <v>43740</v>
      </c>
      <c r="B263" s="1">
        <v>54.74</v>
      </c>
      <c r="C263" s="1">
        <v>1713.23</v>
      </c>
      <c r="D263" s="1">
        <v>174.6</v>
      </c>
      <c r="E263" s="3">
        <f t="shared" si="15"/>
        <v>2671.46</v>
      </c>
      <c r="F263" s="4">
        <f t="shared" si="13"/>
        <v>-91.015000000000327</v>
      </c>
      <c r="G263" s="4">
        <f t="shared" si="14"/>
        <v>91.015000000000327</v>
      </c>
    </row>
    <row r="264" spans="1:7" x14ac:dyDescent="0.3">
      <c r="A264" s="2">
        <v>43739</v>
      </c>
      <c r="B264" s="1">
        <v>56.147500000000001</v>
      </c>
      <c r="C264" s="1">
        <v>1735.65</v>
      </c>
      <c r="D264" s="1">
        <v>175.81</v>
      </c>
      <c r="E264" s="3">
        <f t="shared" si="15"/>
        <v>2762.4750000000004</v>
      </c>
      <c r="F264" s="4">
        <f t="shared" si="13"/>
        <v>52.630000000001019</v>
      </c>
      <c r="G264" s="4">
        <f t="shared" si="14"/>
        <v>-52.630000000001019</v>
      </c>
    </row>
    <row r="265" spans="1:7" x14ac:dyDescent="0.3">
      <c r="A265" s="2">
        <v>43738</v>
      </c>
      <c r="B265" s="1">
        <v>55.9925</v>
      </c>
      <c r="C265" s="1">
        <v>1735.91</v>
      </c>
      <c r="D265" s="1">
        <v>178.08</v>
      </c>
      <c r="E265" s="3">
        <f t="shared" si="15"/>
        <v>2709.8449999999993</v>
      </c>
      <c r="F265" s="4">
        <f t="shared" si="13"/>
        <v>65.694999999999709</v>
      </c>
      <c r="G265" s="4">
        <f t="shared" si="14"/>
        <v>-65.694999999999709</v>
      </c>
    </row>
    <row r="266" spans="1:7" x14ac:dyDescent="0.3">
      <c r="A266" s="2">
        <v>43735</v>
      </c>
      <c r="B266" s="1">
        <v>54.704999999999998</v>
      </c>
      <c r="C266" s="1">
        <v>1725.45</v>
      </c>
      <c r="D266" s="1">
        <v>177.1</v>
      </c>
      <c r="E266" s="3">
        <f t="shared" si="15"/>
        <v>2644.1499999999996</v>
      </c>
      <c r="F266" s="4">
        <f t="shared" si="13"/>
        <v>18.044999999999618</v>
      </c>
      <c r="G266" s="4">
        <f t="shared" si="14"/>
        <v>-18.044999999999618</v>
      </c>
    </row>
    <row r="267" spans="1:7" x14ac:dyDescent="0.3">
      <c r="A267" s="2">
        <v>43734</v>
      </c>
      <c r="B267" s="1">
        <v>54.972499999999997</v>
      </c>
      <c r="C267" s="1">
        <v>1739.84</v>
      </c>
      <c r="D267" s="1">
        <v>180.11</v>
      </c>
      <c r="E267" s="3">
        <f t="shared" si="15"/>
        <v>2626.105</v>
      </c>
      <c r="F267" s="4">
        <f t="shared" si="13"/>
        <v>-17.429999999999836</v>
      </c>
      <c r="G267" s="4">
        <f t="shared" si="14"/>
        <v>17.429999999999836</v>
      </c>
    </row>
    <row r="268" spans="1:7" x14ac:dyDescent="0.3">
      <c r="A268" s="2">
        <v>43733</v>
      </c>
      <c r="B268" s="1">
        <v>55.2575</v>
      </c>
      <c r="C268" s="1">
        <v>1768.33</v>
      </c>
      <c r="D268" s="1">
        <v>182.8</v>
      </c>
      <c r="E268" s="3">
        <f t="shared" si="15"/>
        <v>2643.5349999999999</v>
      </c>
      <c r="F268" s="4">
        <f t="shared" si="13"/>
        <v>64.915000000000418</v>
      </c>
      <c r="G268" s="4">
        <f t="shared" si="14"/>
        <v>-64.915000000000418</v>
      </c>
    </row>
    <row r="269" spans="1:7" x14ac:dyDescent="0.3">
      <c r="A269" s="2">
        <v>43732</v>
      </c>
      <c r="B269" s="1">
        <v>54.42</v>
      </c>
      <c r="C269" s="1">
        <v>1741.61</v>
      </c>
      <c r="D269" s="1">
        <v>181.28</v>
      </c>
      <c r="E269" s="3">
        <f t="shared" si="15"/>
        <v>2578.6199999999994</v>
      </c>
      <c r="F269" s="4">
        <f t="shared" si="13"/>
        <v>10.419999999998709</v>
      </c>
      <c r="G269" s="4">
        <f t="shared" si="14"/>
        <v>-10.419999999998709</v>
      </c>
    </row>
    <row r="270" spans="1:7" x14ac:dyDescent="0.3">
      <c r="A270" s="2">
        <v>43731</v>
      </c>
      <c r="B270" s="1">
        <v>54.68</v>
      </c>
      <c r="C270" s="1">
        <v>1785.3</v>
      </c>
      <c r="D270" s="1">
        <v>186.82</v>
      </c>
      <c r="E270" s="3">
        <f t="shared" si="15"/>
        <v>2568.2000000000007</v>
      </c>
      <c r="F270" s="4">
        <f t="shared" si="13"/>
        <v>56.855000000001382</v>
      </c>
      <c r="G270" s="4">
        <f t="shared" si="14"/>
        <v>-56.855000000001382</v>
      </c>
    </row>
    <row r="271" spans="1:7" x14ac:dyDescent="0.3">
      <c r="A271" s="2">
        <v>43728</v>
      </c>
      <c r="B271" s="1">
        <v>54.432499999999997</v>
      </c>
      <c r="C271" s="1">
        <v>1794.16</v>
      </c>
      <c r="D271" s="1">
        <v>189.93</v>
      </c>
      <c r="E271" s="3">
        <f t="shared" si="15"/>
        <v>2511.3449999999993</v>
      </c>
      <c r="F271" s="4">
        <f t="shared" si="13"/>
        <v>-90.855000000000928</v>
      </c>
      <c r="G271" s="4">
        <f t="shared" si="14"/>
        <v>90.855000000000928</v>
      </c>
    </row>
    <row r="272" spans="1:7" x14ac:dyDescent="0.3">
      <c r="A272" s="2">
        <v>43727</v>
      </c>
      <c r="B272" s="1">
        <v>55.24</v>
      </c>
      <c r="C272" s="1">
        <v>1821.5</v>
      </c>
      <c r="D272" s="1">
        <v>190.14</v>
      </c>
      <c r="E272" s="3">
        <f t="shared" si="15"/>
        <v>2602.2000000000003</v>
      </c>
      <c r="F272" s="4">
        <f t="shared" si="13"/>
        <v>-54.545000000000073</v>
      </c>
      <c r="G272" s="4">
        <f t="shared" si="14"/>
        <v>54.545000000000073</v>
      </c>
    </row>
    <row r="273" spans="1:7" x14ac:dyDescent="0.3">
      <c r="A273" s="2">
        <v>43726</v>
      </c>
      <c r="B273" s="1">
        <v>55.692500000000003</v>
      </c>
      <c r="C273" s="1">
        <v>1817.46</v>
      </c>
      <c r="D273" s="1">
        <v>188.14</v>
      </c>
      <c r="E273" s="3">
        <f t="shared" si="15"/>
        <v>2656.7450000000003</v>
      </c>
      <c r="F273" s="4">
        <f t="shared" si="13"/>
        <v>14.495000000000346</v>
      </c>
      <c r="G273" s="4">
        <f t="shared" si="14"/>
        <v>-14.495000000000346</v>
      </c>
    </row>
    <row r="274" spans="1:7" x14ac:dyDescent="0.3">
      <c r="A274" s="2">
        <v>43725</v>
      </c>
      <c r="B274" s="1">
        <v>55.174999999999997</v>
      </c>
      <c r="C274" s="1">
        <v>1822.55</v>
      </c>
      <c r="D274" s="1">
        <v>188.08</v>
      </c>
      <c r="E274" s="3">
        <f t="shared" si="15"/>
        <v>2642.25</v>
      </c>
      <c r="F274" s="4">
        <f t="shared" si="13"/>
        <v>2.2199999999997999</v>
      </c>
      <c r="G274" s="4">
        <f t="shared" si="14"/>
        <v>-2.2199999999997999</v>
      </c>
    </row>
    <row r="275" spans="1:7" x14ac:dyDescent="0.3">
      <c r="A275" s="2">
        <v>43724</v>
      </c>
      <c r="B275" s="1">
        <v>54.975000000000001</v>
      </c>
      <c r="C275" s="1">
        <v>1807.84</v>
      </c>
      <c r="D275" s="1">
        <v>186.22</v>
      </c>
      <c r="E275" s="3">
        <f t="shared" si="15"/>
        <v>2640.03</v>
      </c>
      <c r="F275" s="4">
        <f t="shared" si="13"/>
        <v>-29.224999999999909</v>
      </c>
      <c r="G275" s="4">
        <f t="shared" si="14"/>
        <v>29.224999999999909</v>
      </c>
    </row>
    <row r="276" spans="1:7" x14ac:dyDescent="0.3">
      <c r="A276" s="2">
        <v>43721</v>
      </c>
      <c r="B276" s="1">
        <v>54.6875</v>
      </c>
      <c r="C276" s="1">
        <v>1839.34</v>
      </c>
      <c r="D276" s="1">
        <v>187.19</v>
      </c>
      <c r="E276" s="3">
        <f t="shared" si="15"/>
        <v>2669.2550000000001</v>
      </c>
      <c r="F276" s="4">
        <f t="shared" si="13"/>
        <v>-57.004999999999654</v>
      </c>
      <c r="G276" s="4">
        <f t="shared" si="14"/>
        <v>57.004999999999654</v>
      </c>
    </row>
    <row r="277" spans="1:7" x14ac:dyDescent="0.3">
      <c r="A277" s="2">
        <v>43720</v>
      </c>
      <c r="B277" s="1">
        <v>55.7712</v>
      </c>
      <c r="C277" s="1">
        <v>1843.55</v>
      </c>
      <c r="D277" s="1">
        <v>187.47</v>
      </c>
      <c r="E277" s="3">
        <f t="shared" si="15"/>
        <v>2726.2599999999998</v>
      </c>
      <c r="F277" s="4">
        <f t="shared" si="13"/>
        <v>55.205000000000382</v>
      </c>
      <c r="G277" s="4">
        <f t="shared" si="14"/>
        <v>-55.205000000000382</v>
      </c>
    </row>
    <row r="278" spans="1:7" x14ac:dyDescent="0.3">
      <c r="A278" s="2">
        <v>43719</v>
      </c>
      <c r="B278" s="1">
        <v>55.897500000000001</v>
      </c>
      <c r="C278" s="1">
        <v>1822.99</v>
      </c>
      <c r="D278" s="1">
        <v>188.49</v>
      </c>
      <c r="E278" s="3">
        <f t="shared" si="15"/>
        <v>2671.0549999999994</v>
      </c>
      <c r="F278" s="4">
        <f t="shared" si="13"/>
        <v>44.604999999998654</v>
      </c>
      <c r="G278" s="4">
        <f t="shared" si="14"/>
        <v>-44.604999999998654</v>
      </c>
    </row>
    <row r="279" spans="1:7" x14ac:dyDescent="0.3">
      <c r="A279" s="2">
        <v>43718</v>
      </c>
      <c r="B279" s="1">
        <v>54.174999999999997</v>
      </c>
      <c r="C279" s="1">
        <v>1820.55</v>
      </c>
      <c r="D279" s="1">
        <v>186.17</v>
      </c>
      <c r="E279" s="3">
        <f t="shared" si="15"/>
        <v>2626.4500000000007</v>
      </c>
      <c r="F279" s="4">
        <f t="shared" si="13"/>
        <v>61.825000000000728</v>
      </c>
      <c r="G279" s="4">
        <f t="shared" si="14"/>
        <v>-61.825000000000728</v>
      </c>
    </row>
    <row r="280" spans="1:7" x14ac:dyDescent="0.3">
      <c r="A280" s="2">
        <v>43717</v>
      </c>
      <c r="B280" s="1">
        <v>53.542499999999997</v>
      </c>
      <c r="C280" s="1">
        <v>1831.35</v>
      </c>
      <c r="D280" s="1">
        <v>188.76</v>
      </c>
      <c r="E280" s="3">
        <f t="shared" si="15"/>
        <v>2564.625</v>
      </c>
      <c r="F280" s="4">
        <f t="shared" si="13"/>
        <v>-18.345000000000255</v>
      </c>
      <c r="G280" s="4">
        <f t="shared" si="14"/>
        <v>18.345000000000255</v>
      </c>
    </row>
    <row r="281" spans="1:7" x14ac:dyDescent="0.3">
      <c r="A281" s="2">
        <v>43714</v>
      </c>
      <c r="B281" s="1">
        <v>53.314999999999998</v>
      </c>
      <c r="C281" s="1">
        <v>1833.51</v>
      </c>
      <c r="D281" s="1">
        <v>187.49</v>
      </c>
      <c r="E281" s="3">
        <f t="shared" si="15"/>
        <v>2582.9700000000003</v>
      </c>
      <c r="F281" s="4">
        <f t="shared" si="13"/>
        <v>53.529999999999745</v>
      </c>
      <c r="G281" s="4">
        <f t="shared" si="14"/>
        <v>-53.529999999999745</v>
      </c>
    </row>
    <row r="282" spans="1:7" x14ac:dyDescent="0.3">
      <c r="A282" s="2">
        <v>43713</v>
      </c>
      <c r="B282" s="1">
        <v>53.32</v>
      </c>
      <c r="C282" s="1">
        <v>1840.72</v>
      </c>
      <c r="D282" s="1">
        <v>190.9</v>
      </c>
      <c r="E282" s="3">
        <f t="shared" si="15"/>
        <v>2529.4400000000005</v>
      </c>
      <c r="F282" s="4">
        <f t="shared" si="13"/>
        <v>56.125000000000455</v>
      </c>
      <c r="G282" s="4">
        <f t="shared" si="14"/>
        <v>-56.125000000000455</v>
      </c>
    </row>
    <row r="283" spans="1:7" x14ac:dyDescent="0.3">
      <c r="A283" s="2">
        <v>43712</v>
      </c>
      <c r="B283" s="1">
        <v>52.297499999999999</v>
      </c>
      <c r="C283" s="1">
        <v>1800.62</v>
      </c>
      <c r="D283" s="1">
        <v>187.14</v>
      </c>
      <c r="E283" s="3">
        <f t="shared" si="15"/>
        <v>2473.3150000000001</v>
      </c>
      <c r="F283" s="4">
        <f t="shared" si="13"/>
        <v>-29.815000000000509</v>
      </c>
      <c r="G283" s="4">
        <f t="shared" si="14"/>
        <v>29.815000000000509</v>
      </c>
    </row>
    <row r="284" spans="1:7" x14ac:dyDescent="0.3">
      <c r="A284" s="2">
        <v>43711</v>
      </c>
      <c r="B284" s="1">
        <v>51.424999999999997</v>
      </c>
      <c r="C284" s="1">
        <v>1789.84</v>
      </c>
      <c r="D284" s="1">
        <v>182.39</v>
      </c>
      <c r="E284" s="3">
        <f t="shared" si="15"/>
        <v>2503.1300000000006</v>
      </c>
      <c r="F284" s="4">
        <f t="shared" si="13"/>
        <v>54.700000000000273</v>
      </c>
      <c r="G284" s="4">
        <f t="shared" si="14"/>
        <v>-54.700000000000273</v>
      </c>
    </row>
    <row r="285" spans="1:7" x14ac:dyDescent="0.3">
      <c r="A285" s="2">
        <v>43710</v>
      </c>
      <c r="B285" s="1">
        <v>52.185000000000002</v>
      </c>
      <c r="C285" s="1">
        <v>1776.29</v>
      </c>
      <c r="D285" s="1">
        <v>185.67</v>
      </c>
      <c r="E285" s="3">
        <f t="shared" si="15"/>
        <v>2448.4300000000003</v>
      </c>
      <c r="F285" s="4">
        <f t="shared" si="13"/>
        <v>0</v>
      </c>
      <c r="G285" s="4">
        <f t="shared" si="14"/>
        <v>0</v>
      </c>
    </row>
    <row r="286" spans="1:7" x14ac:dyDescent="0.3">
      <c r="A286" s="2">
        <v>43707</v>
      </c>
      <c r="B286" s="1">
        <v>52.185000000000002</v>
      </c>
      <c r="C286" s="1">
        <v>1776.29</v>
      </c>
      <c r="D286" s="1">
        <v>185.67</v>
      </c>
      <c r="E286" s="3">
        <f t="shared" si="15"/>
        <v>2448.4300000000003</v>
      </c>
      <c r="F286" s="4">
        <f t="shared" si="13"/>
        <v>-25.595000000000255</v>
      </c>
      <c r="G286" s="4">
        <f t="shared" si="14"/>
        <v>25.595000000000255</v>
      </c>
    </row>
    <row r="287" spans="1:7" x14ac:dyDescent="0.3">
      <c r="A287" s="2">
        <v>43706</v>
      </c>
      <c r="B287" s="1">
        <v>52.252499999999998</v>
      </c>
      <c r="C287" s="1">
        <v>1786.4</v>
      </c>
      <c r="D287" s="1">
        <v>185.57</v>
      </c>
      <c r="E287" s="3">
        <f t="shared" si="15"/>
        <v>2474.0250000000005</v>
      </c>
      <c r="F287" s="4">
        <f t="shared" si="13"/>
        <v>11.600000000000364</v>
      </c>
      <c r="G287" s="4">
        <f t="shared" si="14"/>
        <v>-11.600000000000364</v>
      </c>
    </row>
    <row r="288" spans="1:7" x14ac:dyDescent="0.3">
      <c r="A288" s="2">
        <v>43705</v>
      </c>
      <c r="B288" s="1">
        <v>51.3825</v>
      </c>
      <c r="C288" s="1">
        <v>1764.25</v>
      </c>
      <c r="D288" s="1">
        <v>181.76</v>
      </c>
      <c r="E288" s="3">
        <f t="shared" si="15"/>
        <v>2462.4250000000002</v>
      </c>
      <c r="F288" s="4">
        <f t="shared" si="13"/>
        <v>12.765000000000327</v>
      </c>
      <c r="G288" s="4">
        <f t="shared" si="14"/>
        <v>-12.765000000000327</v>
      </c>
    </row>
    <row r="289" spans="1:7" x14ac:dyDescent="0.3">
      <c r="A289" s="2">
        <v>43704</v>
      </c>
      <c r="B289" s="1">
        <v>51.04</v>
      </c>
      <c r="C289" s="1">
        <v>1761.83</v>
      </c>
      <c r="D289" s="1">
        <v>181.3</v>
      </c>
      <c r="E289" s="3">
        <f t="shared" si="15"/>
        <v>2449.66</v>
      </c>
      <c r="F289" s="4">
        <f t="shared" si="13"/>
        <v>-62.004999999999654</v>
      </c>
      <c r="G289" s="4">
        <f t="shared" si="14"/>
        <v>62.004999999999654</v>
      </c>
    </row>
    <row r="290" spans="1:7" x14ac:dyDescent="0.3">
      <c r="A290" s="2">
        <v>43703</v>
      </c>
      <c r="B290" s="1">
        <v>51.622500000000002</v>
      </c>
      <c r="C290" s="1">
        <v>1768.87</v>
      </c>
      <c r="D290" s="1">
        <v>180.36</v>
      </c>
      <c r="E290" s="3">
        <f t="shared" si="15"/>
        <v>2511.6649999999995</v>
      </c>
      <c r="F290" s="4">
        <f t="shared" si="13"/>
        <v>34.424999999999727</v>
      </c>
      <c r="G290" s="4">
        <f t="shared" si="14"/>
        <v>-34.424999999999727</v>
      </c>
    </row>
    <row r="291" spans="1:7" x14ac:dyDescent="0.3">
      <c r="A291" s="2">
        <v>43700</v>
      </c>
      <c r="B291" s="1">
        <v>50.66</v>
      </c>
      <c r="C291" s="1">
        <v>1749.62</v>
      </c>
      <c r="D291" s="1">
        <v>177.75</v>
      </c>
      <c r="E291" s="3">
        <f t="shared" si="15"/>
        <v>2477.2399999999998</v>
      </c>
      <c r="F291" s="4">
        <f t="shared" si="13"/>
        <v>-148.91000000000031</v>
      </c>
      <c r="G291" s="4">
        <f t="shared" si="14"/>
        <v>148.91000000000031</v>
      </c>
    </row>
    <row r="292" spans="1:7" x14ac:dyDescent="0.3">
      <c r="A292" s="2">
        <v>43699</v>
      </c>
      <c r="B292" s="1">
        <v>53.115000000000002</v>
      </c>
      <c r="C292" s="1">
        <v>1805.6</v>
      </c>
      <c r="D292" s="1">
        <v>182.04</v>
      </c>
      <c r="E292" s="3">
        <f t="shared" si="15"/>
        <v>2626.15</v>
      </c>
      <c r="F292" s="4">
        <f t="shared" si="13"/>
        <v>-7.9299999999998363</v>
      </c>
      <c r="G292" s="4">
        <f t="shared" si="14"/>
        <v>7.9299999999998363</v>
      </c>
    </row>
    <row r="293" spans="1:7" x14ac:dyDescent="0.3">
      <c r="A293" s="2">
        <v>43698</v>
      </c>
      <c r="B293" s="1">
        <v>53.16</v>
      </c>
      <c r="C293" s="1">
        <v>1823.54</v>
      </c>
      <c r="D293" s="1">
        <v>183.55</v>
      </c>
      <c r="E293" s="3">
        <f t="shared" si="15"/>
        <v>2634.08</v>
      </c>
      <c r="F293" s="4">
        <f t="shared" si="13"/>
        <v>78.019999999999527</v>
      </c>
      <c r="G293" s="4">
        <f t="shared" si="14"/>
        <v>-78.019999999999527</v>
      </c>
    </row>
    <row r="294" spans="1:7" x14ac:dyDescent="0.3">
      <c r="A294" s="2">
        <v>43697</v>
      </c>
      <c r="B294" s="1">
        <v>52.59</v>
      </c>
      <c r="C294" s="1">
        <v>1801.38</v>
      </c>
      <c r="D294" s="1">
        <v>183.81</v>
      </c>
      <c r="E294" s="3">
        <f t="shared" si="15"/>
        <v>2556.0600000000004</v>
      </c>
      <c r="F294" s="4">
        <f t="shared" si="13"/>
        <v>17.845000000000255</v>
      </c>
      <c r="G294" s="4">
        <f t="shared" si="14"/>
        <v>-17.845000000000255</v>
      </c>
    </row>
    <row r="295" spans="1:7" x14ac:dyDescent="0.3">
      <c r="A295" s="2">
        <v>43696</v>
      </c>
      <c r="B295" s="1">
        <v>52.587499999999999</v>
      </c>
      <c r="C295" s="1">
        <v>1816.12</v>
      </c>
      <c r="D295" s="1">
        <v>186.17</v>
      </c>
      <c r="E295" s="3">
        <f t="shared" si="15"/>
        <v>2538.2150000000001</v>
      </c>
      <c r="F295" s="4">
        <f t="shared" si="13"/>
        <v>45.825000000000728</v>
      </c>
      <c r="G295" s="4">
        <f t="shared" si="14"/>
        <v>-45.825000000000728</v>
      </c>
    </row>
    <row r="296" spans="1:7" x14ac:dyDescent="0.3">
      <c r="A296" s="2">
        <v>43693</v>
      </c>
      <c r="B296" s="1">
        <v>51.625</v>
      </c>
      <c r="C296" s="1">
        <v>1792.57</v>
      </c>
      <c r="D296" s="1">
        <v>183.7</v>
      </c>
      <c r="E296" s="3">
        <f t="shared" si="15"/>
        <v>2492.3899999999994</v>
      </c>
      <c r="F296" s="4">
        <f t="shared" si="13"/>
        <v>70.199999999999818</v>
      </c>
      <c r="G296" s="4">
        <f t="shared" si="14"/>
        <v>-70.199999999999818</v>
      </c>
    </row>
    <row r="297" spans="1:7" x14ac:dyDescent="0.3">
      <c r="A297" s="2">
        <v>43692</v>
      </c>
      <c r="B297" s="1">
        <v>50.435000000000002</v>
      </c>
      <c r="C297" s="1">
        <v>1776.12</v>
      </c>
      <c r="D297" s="1">
        <v>182.59</v>
      </c>
      <c r="E297" s="3">
        <f t="shared" si="15"/>
        <v>2422.1899999999996</v>
      </c>
      <c r="F297" s="4">
        <f t="shared" si="13"/>
        <v>-43.9050000000002</v>
      </c>
      <c r="G297" s="4">
        <f t="shared" si="14"/>
        <v>43.9050000000002</v>
      </c>
    </row>
    <row r="298" spans="1:7" x14ac:dyDescent="0.3">
      <c r="A298" s="2">
        <v>43691</v>
      </c>
      <c r="B298" s="1">
        <v>50.6875</v>
      </c>
      <c r="C298" s="1">
        <v>1762.96</v>
      </c>
      <c r="D298" s="1">
        <v>179.71</v>
      </c>
      <c r="E298" s="3">
        <f t="shared" si="15"/>
        <v>2466.0949999999998</v>
      </c>
      <c r="F298" s="4">
        <f t="shared" si="13"/>
        <v>-25.710000000000491</v>
      </c>
      <c r="G298" s="4">
        <f t="shared" si="14"/>
        <v>25.710000000000491</v>
      </c>
    </row>
    <row r="299" spans="1:7" x14ac:dyDescent="0.3">
      <c r="A299" s="2">
        <v>43690</v>
      </c>
      <c r="B299" s="1">
        <v>52.2425</v>
      </c>
      <c r="C299" s="1">
        <v>1824.34</v>
      </c>
      <c r="D299" s="1">
        <v>188.45</v>
      </c>
      <c r="E299" s="3">
        <f t="shared" si="15"/>
        <v>2491.8050000000003</v>
      </c>
      <c r="F299" s="4">
        <f t="shared" si="13"/>
        <v>123.36500000000024</v>
      </c>
      <c r="G299" s="4">
        <f t="shared" si="14"/>
        <v>-123.36500000000024</v>
      </c>
    </row>
    <row r="300" spans="1:7" x14ac:dyDescent="0.3">
      <c r="A300" s="2">
        <v>43689</v>
      </c>
      <c r="B300" s="1">
        <v>50.12</v>
      </c>
      <c r="C300" s="1">
        <v>1784.92</v>
      </c>
      <c r="D300" s="1">
        <v>185.37</v>
      </c>
      <c r="E300" s="3">
        <f t="shared" si="15"/>
        <v>2368.44</v>
      </c>
      <c r="F300" s="4">
        <f t="shared" si="13"/>
        <v>-2.0949999999997999</v>
      </c>
      <c r="G300" s="4">
        <f t="shared" si="14"/>
        <v>2.0949999999997999</v>
      </c>
    </row>
    <row r="301" spans="1:7" x14ac:dyDescent="0.3">
      <c r="A301" s="2">
        <v>43686</v>
      </c>
      <c r="B301" s="1">
        <v>50.247500000000002</v>
      </c>
      <c r="C301" s="1">
        <v>1807.58</v>
      </c>
      <c r="D301" s="1">
        <v>187.85</v>
      </c>
      <c r="E301" s="3">
        <f t="shared" si="15"/>
        <v>2370.5349999999999</v>
      </c>
      <c r="F301" s="4">
        <f t="shared" si="13"/>
        <v>-34.920000000000982</v>
      </c>
      <c r="G301" s="4">
        <f t="shared" si="14"/>
        <v>34.920000000000982</v>
      </c>
    </row>
    <row r="302" spans="1:7" x14ac:dyDescent="0.3">
      <c r="A302" s="2">
        <v>43685</v>
      </c>
      <c r="B302" s="1">
        <v>50.857500000000002</v>
      </c>
      <c r="C302" s="1">
        <v>1832.89</v>
      </c>
      <c r="D302" s="1">
        <v>190.16</v>
      </c>
      <c r="E302" s="3">
        <f t="shared" si="15"/>
        <v>2405.4550000000008</v>
      </c>
      <c r="F302" s="4">
        <f t="shared" si="13"/>
        <v>33.655000000000655</v>
      </c>
      <c r="G302" s="4">
        <f t="shared" si="14"/>
        <v>-33.655000000000655</v>
      </c>
    </row>
    <row r="303" spans="1:7" x14ac:dyDescent="0.3">
      <c r="A303" s="2">
        <v>43684</v>
      </c>
      <c r="B303" s="1">
        <v>49.76</v>
      </c>
      <c r="C303" s="1">
        <v>1793.4</v>
      </c>
      <c r="D303" s="1">
        <v>185.15</v>
      </c>
      <c r="E303" s="3">
        <f t="shared" si="15"/>
        <v>2371.8000000000002</v>
      </c>
      <c r="F303" s="4">
        <f t="shared" si="13"/>
        <v>23.840000000000146</v>
      </c>
      <c r="G303" s="4">
        <f t="shared" si="14"/>
        <v>-23.840000000000146</v>
      </c>
    </row>
    <row r="304" spans="1:7" x14ac:dyDescent="0.3">
      <c r="A304" s="2">
        <v>43683</v>
      </c>
      <c r="B304" s="1">
        <v>49.25</v>
      </c>
      <c r="C304" s="1">
        <v>1787.83</v>
      </c>
      <c r="D304" s="1">
        <v>184.51</v>
      </c>
      <c r="E304" s="3">
        <f t="shared" si="15"/>
        <v>2347.96</v>
      </c>
      <c r="F304" s="4">
        <f t="shared" si="13"/>
        <v>35.549999999999727</v>
      </c>
      <c r="G304" s="4">
        <f t="shared" si="14"/>
        <v>-35.549999999999727</v>
      </c>
    </row>
    <row r="305" spans="1:7" x14ac:dyDescent="0.3">
      <c r="A305" s="2">
        <v>43682</v>
      </c>
      <c r="B305" s="1">
        <v>48.335000000000001</v>
      </c>
      <c r="C305" s="1">
        <v>1765.13</v>
      </c>
      <c r="D305" s="1">
        <v>181.73</v>
      </c>
      <c r="E305" s="3">
        <f t="shared" si="15"/>
        <v>2312.4100000000003</v>
      </c>
      <c r="F305" s="4">
        <f t="shared" si="13"/>
        <v>-103.91999999999916</v>
      </c>
      <c r="G305" s="4">
        <f t="shared" si="14"/>
        <v>103.91999999999916</v>
      </c>
    </row>
    <row r="306" spans="1:7" x14ac:dyDescent="0.3">
      <c r="A306" s="2">
        <v>43679</v>
      </c>
      <c r="B306" s="1">
        <v>51.005000000000003</v>
      </c>
      <c r="C306" s="1">
        <v>1823.24</v>
      </c>
      <c r="D306" s="1">
        <v>189.02</v>
      </c>
      <c r="E306" s="3">
        <f t="shared" si="15"/>
        <v>2416.3299999999995</v>
      </c>
      <c r="F306" s="4">
        <f t="shared" si="13"/>
        <v>-45.085000000000036</v>
      </c>
      <c r="G306" s="4">
        <f t="shared" si="14"/>
        <v>45.085000000000036</v>
      </c>
    </row>
    <row r="307" spans="1:7" x14ac:dyDescent="0.3">
      <c r="A307" s="2">
        <v>43678</v>
      </c>
      <c r="B307" s="1">
        <v>52.107500000000002</v>
      </c>
      <c r="C307" s="1">
        <v>1855.32</v>
      </c>
      <c r="D307" s="1">
        <v>192.73</v>
      </c>
      <c r="E307" s="3">
        <f t="shared" si="15"/>
        <v>2461.4149999999995</v>
      </c>
      <c r="F307" s="4">
        <f t="shared" si="13"/>
        <v>-50.545000000000073</v>
      </c>
      <c r="G307" s="4">
        <f t="shared" si="14"/>
        <v>50.545000000000073</v>
      </c>
    </row>
    <row r="308" spans="1:7" x14ac:dyDescent="0.3">
      <c r="A308" s="2">
        <v>43677</v>
      </c>
      <c r="B308" s="1">
        <v>53.26</v>
      </c>
      <c r="C308" s="1">
        <v>1866.78</v>
      </c>
      <c r="D308" s="1">
        <v>194.23</v>
      </c>
      <c r="E308" s="3">
        <f t="shared" si="15"/>
        <v>2511.9599999999996</v>
      </c>
      <c r="F308" s="4">
        <f t="shared" si="13"/>
        <v>45.949999999999818</v>
      </c>
      <c r="G308" s="4">
        <f t="shared" si="14"/>
        <v>-45.949999999999818</v>
      </c>
    </row>
    <row r="309" spans="1:7" x14ac:dyDescent="0.3">
      <c r="A309" s="2">
        <v>43676</v>
      </c>
      <c r="B309" s="1">
        <v>52.195</v>
      </c>
      <c r="C309" s="1">
        <v>1898.53</v>
      </c>
      <c r="D309" s="1">
        <v>197.04</v>
      </c>
      <c r="E309" s="3">
        <f t="shared" si="15"/>
        <v>2466.0099999999998</v>
      </c>
      <c r="F309" s="4">
        <f t="shared" si="13"/>
        <v>-61.089999999999691</v>
      </c>
      <c r="G309" s="4">
        <f t="shared" si="14"/>
        <v>61.089999999999691</v>
      </c>
    </row>
    <row r="310" spans="1:7" x14ac:dyDescent="0.3">
      <c r="A310" s="2">
        <v>43675</v>
      </c>
      <c r="B310" s="1">
        <v>52.42</v>
      </c>
      <c r="C310" s="1">
        <v>1912.45</v>
      </c>
      <c r="D310" s="1">
        <v>195.94</v>
      </c>
      <c r="E310" s="3">
        <f t="shared" si="15"/>
        <v>2527.0999999999995</v>
      </c>
      <c r="F310" s="4">
        <f t="shared" si="13"/>
        <v>39.249999999999091</v>
      </c>
      <c r="G310" s="4">
        <f t="shared" si="14"/>
        <v>-39.249999999999091</v>
      </c>
    </row>
    <row r="311" spans="1:7" x14ac:dyDescent="0.3">
      <c r="A311" s="2">
        <v>43672</v>
      </c>
      <c r="B311" s="1">
        <v>51.935000000000002</v>
      </c>
      <c r="C311" s="1">
        <v>1943.05</v>
      </c>
      <c r="D311" s="1">
        <v>199.75</v>
      </c>
      <c r="E311" s="3">
        <f t="shared" si="15"/>
        <v>2487.8500000000004</v>
      </c>
      <c r="F311" s="4">
        <f t="shared" si="13"/>
        <v>-33.339999999998781</v>
      </c>
      <c r="G311" s="4">
        <f t="shared" si="14"/>
        <v>33.339999999998781</v>
      </c>
    </row>
    <row r="312" spans="1:7" x14ac:dyDescent="0.3">
      <c r="A312" s="2">
        <v>43671</v>
      </c>
      <c r="B312" s="1">
        <v>51.755000000000003</v>
      </c>
      <c r="C312" s="1">
        <v>1973.82</v>
      </c>
      <c r="D312" s="1">
        <v>200.71</v>
      </c>
      <c r="E312" s="3">
        <f t="shared" si="15"/>
        <v>2521.1899999999991</v>
      </c>
      <c r="F312" s="4">
        <f t="shared" si="13"/>
        <v>4.3949999999990723</v>
      </c>
      <c r="G312" s="4">
        <f t="shared" si="14"/>
        <v>-4.3949999999990723</v>
      </c>
    </row>
    <row r="313" spans="1:7" x14ac:dyDescent="0.3">
      <c r="A313" s="2">
        <v>43670</v>
      </c>
      <c r="B313" s="1">
        <v>52.167499999999997</v>
      </c>
      <c r="C313" s="1">
        <v>2000.81</v>
      </c>
      <c r="D313" s="1">
        <v>204.66</v>
      </c>
      <c r="E313" s="3">
        <f t="shared" si="15"/>
        <v>2516.7950000000001</v>
      </c>
      <c r="F313" s="4">
        <f t="shared" si="13"/>
        <v>-35.484999999999218</v>
      </c>
      <c r="G313" s="4">
        <f t="shared" si="14"/>
        <v>35.484999999999218</v>
      </c>
    </row>
    <row r="314" spans="1:7" x14ac:dyDescent="0.3">
      <c r="A314" s="2">
        <v>43669</v>
      </c>
      <c r="B314" s="1">
        <v>52.21</v>
      </c>
      <c r="C314" s="1">
        <v>1994.49</v>
      </c>
      <c r="D314" s="1">
        <v>202.36</v>
      </c>
      <c r="E314" s="3">
        <f t="shared" si="15"/>
        <v>2552.2799999999993</v>
      </c>
      <c r="F314" s="4">
        <f t="shared" si="13"/>
        <v>37.169999999998709</v>
      </c>
      <c r="G314" s="4">
        <f t="shared" si="14"/>
        <v>-37.169999999998709</v>
      </c>
    </row>
    <row r="315" spans="1:7" x14ac:dyDescent="0.3">
      <c r="A315" s="2">
        <v>43668</v>
      </c>
      <c r="B315" s="1">
        <v>51.805</v>
      </c>
      <c r="C315" s="1">
        <v>1985.63</v>
      </c>
      <c r="D315" s="1">
        <v>202.32</v>
      </c>
      <c r="E315" s="3">
        <f t="shared" si="15"/>
        <v>2515.1100000000006</v>
      </c>
      <c r="F315" s="4">
        <f t="shared" si="13"/>
        <v>20.895000000000891</v>
      </c>
      <c r="G315" s="4">
        <f t="shared" si="14"/>
        <v>-20.895000000000891</v>
      </c>
    </row>
    <row r="316" spans="1:7" x14ac:dyDescent="0.3">
      <c r="A316" s="2">
        <v>43665</v>
      </c>
      <c r="B316" s="1">
        <v>50.647500000000001</v>
      </c>
      <c r="C316" s="1">
        <v>1964.52</v>
      </c>
      <c r="D316" s="1">
        <v>198.36</v>
      </c>
      <c r="E316" s="3">
        <f t="shared" si="15"/>
        <v>2494.2149999999997</v>
      </c>
      <c r="F316" s="4">
        <f t="shared" si="13"/>
        <v>-16.735000000000582</v>
      </c>
      <c r="G316" s="4">
        <f t="shared" si="14"/>
        <v>16.735000000000582</v>
      </c>
    </row>
    <row r="317" spans="1:7" x14ac:dyDescent="0.3">
      <c r="A317" s="2">
        <v>43664</v>
      </c>
      <c r="B317" s="1">
        <v>51.414999999999999</v>
      </c>
      <c r="C317" s="1">
        <v>1977.9</v>
      </c>
      <c r="D317" s="1">
        <v>200.78</v>
      </c>
      <c r="E317" s="3">
        <f t="shared" si="15"/>
        <v>2510.9500000000003</v>
      </c>
      <c r="F317" s="4">
        <f t="shared" si="13"/>
        <v>21.015000000000782</v>
      </c>
      <c r="G317" s="4">
        <f t="shared" si="14"/>
        <v>-21.015000000000782</v>
      </c>
    </row>
    <row r="318" spans="1:7" x14ac:dyDescent="0.3">
      <c r="A318" s="2">
        <v>43663</v>
      </c>
      <c r="B318" s="1">
        <v>50.837499999999999</v>
      </c>
      <c r="C318" s="1">
        <v>1992.03</v>
      </c>
      <c r="D318" s="1">
        <v>201.8</v>
      </c>
      <c r="E318" s="3">
        <f t="shared" si="15"/>
        <v>2489.9349999999995</v>
      </c>
      <c r="F318" s="4">
        <f t="shared" si="13"/>
        <v>-9.3150000000005093</v>
      </c>
      <c r="G318" s="4">
        <f t="shared" si="14"/>
        <v>9.3150000000005093</v>
      </c>
    </row>
    <row r="319" spans="1:7" x14ac:dyDescent="0.3">
      <c r="A319" s="2">
        <v>43662</v>
      </c>
      <c r="B319" s="1">
        <v>51.125</v>
      </c>
      <c r="C319" s="1">
        <v>2009.9</v>
      </c>
      <c r="D319" s="1">
        <v>203.84</v>
      </c>
      <c r="E319" s="3">
        <f t="shared" si="15"/>
        <v>2499.25</v>
      </c>
      <c r="F319" s="4">
        <f t="shared" si="13"/>
        <v>-29.654999999999745</v>
      </c>
      <c r="G319" s="4">
        <f t="shared" si="14"/>
        <v>29.654999999999745</v>
      </c>
    </row>
    <row r="320" spans="1:7" x14ac:dyDescent="0.3">
      <c r="A320" s="2">
        <v>43661</v>
      </c>
      <c r="B320" s="1">
        <v>51.302500000000002</v>
      </c>
      <c r="C320" s="1">
        <v>2020.99</v>
      </c>
      <c r="D320" s="1">
        <v>203.91</v>
      </c>
      <c r="E320" s="3">
        <f t="shared" si="15"/>
        <v>2528.9049999999997</v>
      </c>
      <c r="F320" s="4">
        <f t="shared" si="13"/>
        <v>63.054999999999382</v>
      </c>
      <c r="G320" s="4">
        <f t="shared" si="14"/>
        <v>-63.054999999999382</v>
      </c>
    </row>
    <row r="321" spans="1:7" x14ac:dyDescent="0.3">
      <c r="A321" s="2">
        <v>43658</v>
      </c>
      <c r="B321" s="1">
        <v>50.825000000000003</v>
      </c>
      <c r="C321" s="1">
        <v>2011</v>
      </c>
      <c r="D321" s="1">
        <v>204.87</v>
      </c>
      <c r="E321" s="3">
        <f t="shared" si="15"/>
        <v>2465.8500000000004</v>
      </c>
      <c r="F321" s="4">
        <f t="shared" si="13"/>
        <v>-33.564999999999145</v>
      </c>
      <c r="G321" s="4">
        <f t="shared" si="14"/>
        <v>33.564999999999145</v>
      </c>
    </row>
    <row r="322" spans="1:7" x14ac:dyDescent="0.3">
      <c r="A322" s="2">
        <v>43657</v>
      </c>
      <c r="B322" s="1">
        <v>50.4375</v>
      </c>
      <c r="C322" s="1">
        <v>2001.07</v>
      </c>
      <c r="D322" s="1">
        <v>201.23</v>
      </c>
      <c r="E322" s="3">
        <f t="shared" si="15"/>
        <v>2499.4149999999995</v>
      </c>
      <c r="F322" s="4">
        <f t="shared" si="13"/>
        <v>-21.180000000000291</v>
      </c>
      <c r="G322" s="4">
        <f t="shared" si="14"/>
        <v>21.180000000000291</v>
      </c>
    </row>
    <row r="323" spans="1:7" x14ac:dyDescent="0.3">
      <c r="A323" s="2">
        <v>43656</v>
      </c>
      <c r="B323" s="1">
        <v>50.807499999999997</v>
      </c>
      <c r="C323" s="1">
        <v>2017.41</v>
      </c>
      <c r="D323" s="1">
        <v>202.73</v>
      </c>
      <c r="E323" s="3">
        <f t="shared" si="15"/>
        <v>2520.5949999999998</v>
      </c>
      <c r="F323" s="4">
        <f t="shared" si="13"/>
        <v>12.694999999999709</v>
      </c>
      <c r="G323" s="4">
        <f t="shared" si="14"/>
        <v>-12.694999999999709</v>
      </c>
    </row>
    <row r="324" spans="1:7" x14ac:dyDescent="0.3">
      <c r="A324" s="2">
        <v>43655</v>
      </c>
      <c r="B324" s="1">
        <v>50.31</v>
      </c>
      <c r="C324" s="1">
        <v>1988.3</v>
      </c>
      <c r="D324" s="1">
        <v>199.21</v>
      </c>
      <c r="E324" s="3">
        <f t="shared" si="15"/>
        <v>2507.9</v>
      </c>
      <c r="F324" s="4">
        <f t="shared" si="13"/>
        <v>18.210000000000491</v>
      </c>
      <c r="G324" s="4">
        <f t="shared" si="14"/>
        <v>-18.210000000000491</v>
      </c>
    </row>
    <row r="325" spans="1:7" x14ac:dyDescent="0.3">
      <c r="A325" s="2">
        <v>43654</v>
      </c>
      <c r="B325" s="1">
        <v>50.005000000000003</v>
      </c>
      <c r="C325" s="1">
        <v>1952.32</v>
      </c>
      <c r="D325" s="1">
        <v>195.76</v>
      </c>
      <c r="E325" s="3">
        <f t="shared" si="15"/>
        <v>2489.6899999999996</v>
      </c>
      <c r="F325" s="4">
        <f t="shared" ref="F325:F388" si="16">E325-E326</f>
        <v>-21.005000000000109</v>
      </c>
      <c r="G325" s="4">
        <f t="shared" ref="G325:G388" si="17">-F325</f>
        <v>21.005000000000109</v>
      </c>
    </row>
    <row r="326" spans="1:7" x14ac:dyDescent="0.3">
      <c r="A326" s="2">
        <v>43651</v>
      </c>
      <c r="B326" s="1">
        <v>51.057499999999997</v>
      </c>
      <c r="C326" s="1">
        <v>1942.91</v>
      </c>
      <c r="D326" s="1">
        <v>196.4</v>
      </c>
      <c r="E326" s="3">
        <f t="shared" ref="E326:E389" si="18">50*B326+2*C326-20*D326</f>
        <v>2510.6949999999997</v>
      </c>
      <c r="F326" s="4">
        <f t="shared" si="16"/>
        <v>21.569999999999709</v>
      </c>
      <c r="G326" s="4">
        <f t="shared" si="17"/>
        <v>-21.569999999999709</v>
      </c>
    </row>
    <row r="327" spans="1:7" x14ac:dyDescent="0.3">
      <c r="A327" s="2">
        <v>43650</v>
      </c>
      <c r="B327" s="1">
        <v>51.102499999999999</v>
      </c>
      <c r="C327" s="1">
        <v>1939</v>
      </c>
      <c r="D327" s="1">
        <v>197.2</v>
      </c>
      <c r="E327" s="3">
        <f t="shared" si="18"/>
        <v>2489.125</v>
      </c>
      <c r="F327" s="4">
        <f t="shared" si="16"/>
        <v>0</v>
      </c>
      <c r="G327" s="4">
        <f t="shared" si="17"/>
        <v>0</v>
      </c>
    </row>
    <row r="328" spans="1:7" x14ac:dyDescent="0.3">
      <c r="A328" s="2">
        <v>43649</v>
      </c>
      <c r="B328" s="1">
        <v>51.102499999999999</v>
      </c>
      <c r="C328" s="1">
        <v>1939</v>
      </c>
      <c r="D328" s="1">
        <v>197.2</v>
      </c>
      <c r="E328" s="3">
        <f t="shared" si="18"/>
        <v>2489.125</v>
      </c>
      <c r="F328" s="4">
        <f t="shared" si="16"/>
        <v>-13.619999999999891</v>
      </c>
      <c r="G328" s="4">
        <f t="shared" si="17"/>
        <v>13.619999999999891</v>
      </c>
    </row>
    <row r="329" spans="1:7" x14ac:dyDescent="0.3">
      <c r="A329" s="2">
        <v>43648</v>
      </c>
      <c r="B329" s="1">
        <v>50.682499999999997</v>
      </c>
      <c r="C329" s="1">
        <v>1934.31</v>
      </c>
      <c r="D329" s="1">
        <v>195</v>
      </c>
      <c r="E329" s="3">
        <f t="shared" si="18"/>
        <v>2502.7449999999999</v>
      </c>
      <c r="F329" s="4">
        <f t="shared" si="16"/>
        <v>-1.0100000000002183</v>
      </c>
      <c r="G329" s="4">
        <f t="shared" si="17"/>
        <v>1.0100000000002183</v>
      </c>
    </row>
    <row r="330" spans="1:7" x14ac:dyDescent="0.3">
      <c r="A330" s="2">
        <v>43647</v>
      </c>
      <c r="B330" s="1">
        <v>50.387500000000003</v>
      </c>
      <c r="C330" s="1">
        <v>1922.19</v>
      </c>
      <c r="D330" s="1">
        <v>193</v>
      </c>
      <c r="E330" s="3">
        <f t="shared" si="18"/>
        <v>2503.7550000000001</v>
      </c>
      <c r="F330" s="4">
        <f t="shared" si="16"/>
        <v>102.49499999999989</v>
      </c>
      <c r="G330" s="4">
        <f t="shared" si="17"/>
        <v>-102.49499999999989</v>
      </c>
    </row>
    <row r="331" spans="1:7" x14ac:dyDescent="0.3">
      <c r="A331" s="2">
        <v>43644</v>
      </c>
      <c r="B331" s="1">
        <v>49.48</v>
      </c>
      <c r="C331" s="1">
        <v>1893.63</v>
      </c>
      <c r="D331" s="1">
        <v>193</v>
      </c>
      <c r="E331" s="3">
        <f t="shared" si="18"/>
        <v>2401.2600000000002</v>
      </c>
      <c r="F331" s="4">
        <f t="shared" si="16"/>
        <v>-114.04999999999927</v>
      </c>
      <c r="G331" s="4">
        <f t="shared" si="17"/>
        <v>114.04999999999927</v>
      </c>
    </row>
    <row r="332" spans="1:7" x14ac:dyDescent="0.3">
      <c r="A332" s="2">
        <v>43643</v>
      </c>
      <c r="B332" s="1">
        <v>49.935000000000002</v>
      </c>
      <c r="C332" s="1">
        <v>1904.28</v>
      </c>
      <c r="D332" s="1">
        <v>189.5</v>
      </c>
      <c r="E332" s="3">
        <f t="shared" si="18"/>
        <v>2515.3099999999995</v>
      </c>
      <c r="F332" s="4">
        <f t="shared" si="16"/>
        <v>-24.650000000000546</v>
      </c>
      <c r="G332" s="4">
        <f t="shared" si="17"/>
        <v>24.650000000000546</v>
      </c>
    </row>
    <row r="333" spans="1:7" x14ac:dyDescent="0.3">
      <c r="A333" s="2">
        <v>43642</v>
      </c>
      <c r="B333" s="1">
        <v>49.95</v>
      </c>
      <c r="C333" s="1">
        <v>1897.83</v>
      </c>
      <c r="D333" s="1">
        <v>187.66</v>
      </c>
      <c r="E333" s="3">
        <f t="shared" si="18"/>
        <v>2539.96</v>
      </c>
      <c r="F333" s="4">
        <f t="shared" si="16"/>
        <v>115.59500000000025</v>
      </c>
      <c r="G333" s="4">
        <f t="shared" si="17"/>
        <v>-115.59500000000025</v>
      </c>
    </row>
    <row r="334" spans="1:7" x14ac:dyDescent="0.3">
      <c r="A334" s="2">
        <v>43641</v>
      </c>
      <c r="B334" s="1">
        <v>48.892499999999998</v>
      </c>
      <c r="C334" s="1">
        <v>1878.27</v>
      </c>
      <c r="D334" s="1">
        <v>188.84</v>
      </c>
      <c r="E334" s="3">
        <f t="shared" si="18"/>
        <v>2424.3649999999998</v>
      </c>
      <c r="F334" s="4">
        <f t="shared" si="16"/>
        <v>-33.6850000000004</v>
      </c>
      <c r="G334" s="4">
        <f t="shared" si="17"/>
        <v>33.6850000000004</v>
      </c>
    </row>
    <row r="335" spans="1:7" x14ac:dyDescent="0.3">
      <c r="A335" s="2">
        <v>43640</v>
      </c>
      <c r="B335" s="1">
        <v>49.645000000000003</v>
      </c>
      <c r="C335" s="1">
        <v>1913.9</v>
      </c>
      <c r="D335" s="1">
        <v>192.6</v>
      </c>
      <c r="E335" s="3">
        <f t="shared" si="18"/>
        <v>2458.0500000000002</v>
      </c>
      <c r="F335" s="4">
        <f t="shared" si="16"/>
        <v>-26.500000000000455</v>
      </c>
      <c r="G335" s="4">
        <f t="shared" si="17"/>
        <v>26.500000000000455</v>
      </c>
    </row>
    <row r="336" spans="1:7" x14ac:dyDescent="0.3">
      <c r="A336" s="2">
        <v>43637</v>
      </c>
      <c r="B336" s="1">
        <v>49.695</v>
      </c>
      <c r="C336" s="1">
        <v>1911.3</v>
      </c>
      <c r="D336" s="1">
        <v>191.14</v>
      </c>
      <c r="E336" s="3">
        <f t="shared" si="18"/>
        <v>2484.5500000000006</v>
      </c>
      <c r="F336" s="4">
        <f t="shared" si="16"/>
        <v>-54.479999999999563</v>
      </c>
      <c r="G336" s="4">
        <f t="shared" si="17"/>
        <v>54.479999999999563</v>
      </c>
    </row>
    <row r="337" spans="1:7" x14ac:dyDescent="0.3">
      <c r="A337" s="2">
        <v>43636</v>
      </c>
      <c r="B337" s="1">
        <v>49.865000000000002</v>
      </c>
      <c r="C337" s="1">
        <v>1918.19</v>
      </c>
      <c r="D337" s="1">
        <v>189.53</v>
      </c>
      <c r="E337" s="3">
        <f t="shared" si="18"/>
        <v>2539.0300000000002</v>
      </c>
      <c r="F337" s="4">
        <f t="shared" si="16"/>
        <v>-2.3249999999998181</v>
      </c>
      <c r="G337" s="4">
        <f t="shared" si="17"/>
        <v>2.3249999999998181</v>
      </c>
    </row>
    <row r="338" spans="1:7" x14ac:dyDescent="0.3">
      <c r="A338" s="2">
        <v>43635</v>
      </c>
      <c r="B338" s="1">
        <v>49.467500000000001</v>
      </c>
      <c r="C338" s="1">
        <v>1908.79</v>
      </c>
      <c r="D338" s="1">
        <v>187.48</v>
      </c>
      <c r="E338" s="3">
        <f t="shared" si="18"/>
        <v>2541.355</v>
      </c>
      <c r="F338" s="4">
        <f t="shared" si="16"/>
        <v>27.390000000000327</v>
      </c>
      <c r="G338" s="4">
        <f t="shared" si="17"/>
        <v>-27.390000000000327</v>
      </c>
    </row>
    <row r="339" spans="1:7" x14ac:dyDescent="0.3">
      <c r="A339" s="2">
        <v>43634</v>
      </c>
      <c r="B339" s="1">
        <v>49.612499999999997</v>
      </c>
      <c r="C339" s="1">
        <v>1901.37</v>
      </c>
      <c r="D339" s="1">
        <v>188.47</v>
      </c>
      <c r="E339" s="3">
        <f t="shared" si="18"/>
        <v>2513.9649999999997</v>
      </c>
      <c r="F339" s="4">
        <f t="shared" si="16"/>
        <v>98.480000000000018</v>
      </c>
      <c r="G339" s="4">
        <f t="shared" si="17"/>
        <v>-98.480000000000018</v>
      </c>
    </row>
    <row r="340" spans="1:7" x14ac:dyDescent="0.3">
      <c r="A340" s="2">
        <v>43633</v>
      </c>
      <c r="B340" s="1">
        <v>48.472499999999997</v>
      </c>
      <c r="C340" s="1">
        <v>1886.03</v>
      </c>
      <c r="D340" s="1">
        <v>189.01</v>
      </c>
      <c r="E340" s="3">
        <f t="shared" si="18"/>
        <v>2415.4849999999997</v>
      </c>
      <c r="F340" s="4">
        <f t="shared" si="16"/>
        <v>-106.50500000000011</v>
      </c>
      <c r="G340" s="4">
        <f t="shared" si="17"/>
        <v>106.50500000000011</v>
      </c>
    </row>
    <row r="341" spans="1:7" x14ac:dyDescent="0.3">
      <c r="A341" s="2">
        <v>43630</v>
      </c>
      <c r="B341" s="1">
        <v>48.185000000000002</v>
      </c>
      <c r="C341" s="1">
        <v>1869.67</v>
      </c>
      <c r="D341" s="1">
        <v>181.33</v>
      </c>
      <c r="E341" s="3">
        <f t="shared" si="18"/>
        <v>2521.9899999999998</v>
      </c>
      <c r="F341" s="4">
        <f t="shared" si="16"/>
        <v>-96.085000000000491</v>
      </c>
      <c r="G341" s="4">
        <f t="shared" si="17"/>
        <v>96.085000000000491</v>
      </c>
    </row>
    <row r="342" spans="1:7" x14ac:dyDescent="0.3">
      <c r="A342" s="2">
        <v>43629</v>
      </c>
      <c r="B342" s="1">
        <v>48.537500000000001</v>
      </c>
      <c r="C342" s="1">
        <v>1870.3</v>
      </c>
      <c r="D342" s="1">
        <v>177.47</v>
      </c>
      <c r="E342" s="3">
        <f t="shared" si="18"/>
        <v>2618.0750000000003</v>
      </c>
      <c r="F342" s="4">
        <f t="shared" si="16"/>
        <v>-19.139999999999418</v>
      </c>
      <c r="G342" s="4">
        <f t="shared" si="17"/>
        <v>19.139999999999418</v>
      </c>
    </row>
    <row r="343" spans="1:7" x14ac:dyDescent="0.3">
      <c r="A343" s="2">
        <v>43628</v>
      </c>
      <c r="B343" s="1">
        <v>48.547499999999999</v>
      </c>
      <c r="C343" s="1">
        <v>1855.32</v>
      </c>
      <c r="D343" s="1">
        <v>175.04</v>
      </c>
      <c r="E343" s="3">
        <f t="shared" si="18"/>
        <v>2637.2149999999997</v>
      </c>
      <c r="F343" s="4">
        <f t="shared" si="16"/>
        <v>36.690000000000055</v>
      </c>
      <c r="G343" s="4">
        <f t="shared" si="17"/>
        <v>-36.690000000000055</v>
      </c>
    </row>
    <row r="344" spans="1:7" x14ac:dyDescent="0.3">
      <c r="A344" s="2">
        <v>43627</v>
      </c>
      <c r="B344" s="1">
        <v>48.702500000000001</v>
      </c>
      <c r="C344" s="1">
        <v>1863.7</v>
      </c>
      <c r="D344" s="1">
        <v>178.1</v>
      </c>
      <c r="E344" s="3">
        <f t="shared" si="18"/>
        <v>2600.5249999999996</v>
      </c>
      <c r="F344" s="4">
        <f t="shared" si="16"/>
        <v>-31.585000000000946</v>
      </c>
      <c r="G344" s="4">
        <f t="shared" si="17"/>
        <v>31.585000000000946</v>
      </c>
    </row>
    <row r="345" spans="1:7" x14ac:dyDescent="0.3">
      <c r="A345" s="2">
        <v>43626</v>
      </c>
      <c r="B345" s="1">
        <v>48.145000000000003</v>
      </c>
      <c r="C345" s="1">
        <v>1860.63</v>
      </c>
      <c r="D345" s="1">
        <v>174.82</v>
      </c>
      <c r="E345" s="3">
        <f t="shared" si="18"/>
        <v>2632.1100000000006</v>
      </c>
      <c r="F345" s="4">
        <f t="shared" si="16"/>
        <v>114.17500000000109</v>
      </c>
      <c r="G345" s="4">
        <f t="shared" si="17"/>
        <v>-114.17500000000109</v>
      </c>
    </row>
    <row r="346" spans="1:7" x14ac:dyDescent="0.3">
      <c r="A346" s="2">
        <v>43623</v>
      </c>
      <c r="B346" s="1">
        <v>47.537500000000001</v>
      </c>
      <c r="C346" s="1">
        <v>1804.03</v>
      </c>
      <c r="D346" s="1">
        <v>173.35</v>
      </c>
      <c r="E346" s="3">
        <f t="shared" si="18"/>
        <v>2517.9349999999995</v>
      </c>
      <c r="F346" s="4">
        <f t="shared" si="16"/>
        <v>60.565000000000509</v>
      </c>
      <c r="G346" s="4">
        <f t="shared" si="17"/>
        <v>-60.565000000000509</v>
      </c>
    </row>
    <row r="347" spans="1:7" x14ac:dyDescent="0.3">
      <c r="A347" s="2">
        <v>43622</v>
      </c>
      <c r="B347" s="1">
        <v>46.305</v>
      </c>
      <c r="C347" s="1">
        <v>1754.36</v>
      </c>
      <c r="D347" s="1">
        <v>168.33</v>
      </c>
      <c r="E347" s="3">
        <f t="shared" si="18"/>
        <v>2457.369999999999</v>
      </c>
      <c r="F347" s="4">
        <f t="shared" si="16"/>
        <v>62.019999999998618</v>
      </c>
      <c r="G347" s="4">
        <f t="shared" si="17"/>
        <v>-62.019999999998618</v>
      </c>
    </row>
    <row r="348" spans="1:7" x14ac:dyDescent="0.3">
      <c r="A348" s="2">
        <v>43621</v>
      </c>
      <c r="B348" s="1">
        <v>45.634999999999998</v>
      </c>
      <c r="C348" s="1">
        <v>1738.5</v>
      </c>
      <c r="D348" s="1">
        <v>168.17</v>
      </c>
      <c r="E348" s="3">
        <f t="shared" si="18"/>
        <v>2395.3500000000004</v>
      </c>
      <c r="F348" s="4">
        <f t="shared" si="16"/>
        <v>40.730000000000473</v>
      </c>
      <c r="G348" s="4">
        <f t="shared" si="17"/>
        <v>-40.730000000000473</v>
      </c>
    </row>
    <row r="349" spans="1:7" x14ac:dyDescent="0.3">
      <c r="A349" s="2">
        <v>43620</v>
      </c>
      <c r="B349" s="1">
        <v>44.91</v>
      </c>
      <c r="C349" s="1">
        <v>1729.56</v>
      </c>
      <c r="D349" s="1">
        <v>167.5</v>
      </c>
      <c r="E349" s="3">
        <f t="shared" si="18"/>
        <v>2354.62</v>
      </c>
      <c r="F349" s="4">
        <f t="shared" si="16"/>
        <v>85.989999999999782</v>
      </c>
      <c r="G349" s="4">
        <f t="shared" si="17"/>
        <v>-85.989999999999782</v>
      </c>
    </row>
    <row r="350" spans="1:7" x14ac:dyDescent="0.3">
      <c r="A350" s="2">
        <v>43619</v>
      </c>
      <c r="B350" s="1">
        <v>43.325000000000003</v>
      </c>
      <c r="C350" s="1">
        <v>1692.69</v>
      </c>
      <c r="D350" s="1">
        <v>164.15</v>
      </c>
      <c r="E350" s="3">
        <f t="shared" si="18"/>
        <v>2268.63</v>
      </c>
      <c r="F350" s="4">
        <f t="shared" si="16"/>
        <v>79.515000000000782</v>
      </c>
      <c r="G350" s="4">
        <f t="shared" si="17"/>
        <v>-79.515000000000782</v>
      </c>
    </row>
    <row r="351" spans="1:7" x14ac:dyDescent="0.3">
      <c r="A351" s="2">
        <v>43616</v>
      </c>
      <c r="B351" s="1">
        <v>43.767499999999998</v>
      </c>
      <c r="C351" s="1">
        <v>1775.07</v>
      </c>
      <c r="D351" s="1">
        <v>177.47</v>
      </c>
      <c r="E351" s="3">
        <f t="shared" si="18"/>
        <v>2189.1149999999993</v>
      </c>
      <c r="F351" s="4">
        <f t="shared" si="16"/>
        <v>-12.075000000000273</v>
      </c>
      <c r="G351" s="4">
        <f t="shared" si="17"/>
        <v>12.075000000000273</v>
      </c>
    </row>
    <row r="352" spans="1:7" x14ac:dyDescent="0.3">
      <c r="A352" s="2">
        <v>43615</v>
      </c>
      <c r="B352" s="1">
        <v>44.575000000000003</v>
      </c>
      <c r="C352" s="1">
        <v>1816.32</v>
      </c>
      <c r="D352" s="1">
        <v>183.01</v>
      </c>
      <c r="E352" s="3">
        <f t="shared" si="18"/>
        <v>2201.1899999999996</v>
      </c>
      <c r="F352" s="4">
        <f t="shared" si="16"/>
        <v>-10.640000000000327</v>
      </c>
      <c r="G352" s="4">
        <f t="shared" si="17"/>
        <v>10.640000000000327</v>
      </c>
    </row>
    <row r="353" spans="1:7" x14ac:dyDescent="0.3">
      <c r="A353" s="2">
        <v>43614</v>
      </c>
      <c r="B353" s="1">
        <v>44.344999999999999</v>
      </c>
      <c r="C353" s="1">
        <v>1819.19</v>
      </c>
      <c r="D353" s="1">
        <v>182.19</v>
      </c>
      <c r="E353" s="3">
        <f t="shared" si="18"/>
        <v>2211.83</v>
      </c>
      <c r="F353" s="4">
        <f t="shared" si="16"/>
        <v>-2.7050000000008367</v>
      </c>
      <c r="G353" s="4">
        <f t="shared" si="17"/>
        <v>2.7050000000008367</v>
      </c>
    </row>
    <row r="354" spans="1:7" x14ac:dyDescent="0.3">
      <c r="A354" s="2">
        <v>43613</v>
      </c>
      <c r="B354" s="1">
        <v>44.557499999999997</v>
      </c>
      <c r="C354" s="1">
        <v>1836.43</v>
      </c>
      <c r="D354" s="1">
        <v>184.31</v>
      </c>
      <c r="E354" s="3">
        <f t="shared" si="18"/>
        <v>2214.5350000000008</v>
      </c>
      <c r="F354" s="4">
        <f t="shared" si="16"/>
        <v>-47.949999999998909</v>
      </c>
      <c r="G354" s="4">
        <f t="shared" si="17"/>
        <v>47.949999999998909</v>
      </c>
    </row>
    <row r="355" spans="1:7" x14ac:dyDescent="0.3">
      <c r="A355" s="2">
        <v>43612</v>
      </c>
      <c r="B355" s="1">
        <v>44.7425</v>
      </c>
      <c r="C355" s="1">
        <v>1823.28</v>
      </c>
      <c r="D355" s="1">
        <v>181.06</v>
      </c>
      <c r="E355" s="3">
        <f t="shared" si="18"/>
        <v>2262.4849999999997</v>
      </c>
      <c r="F355" s="4">
        <f t="shared" si="16"/>
        <v>0</v>
      </c>
      <c r="G355" s="4">
        <f t="shared" si="17"/>
        <v>0</v>
      </c>
    </row>
    <row r="356" spans="1:7" x14ac:dyDescent="0.3">
      <c r="A356" s="2">
        <v>43609</v>
      </c>
      <c r="B356" s="1">
        <v>44.7425</v>
      </c>
      <c r="C356" s="1">
        <v>1823.28</v>
      </c>
      <c r="D356" s="1">
        <v>181.06</v>
      </c>
      <c r="E356" s="3">
        <f t="shared" si="18"/>
        <v>2262.4849999999997</v>
      </c>
      <c r="F356" s="4">
        <f t="shared" si="16"/>
        <v>3.1749999999997272</v>
      </c>
      <c r="G356" s="4">
        <f t="shared" si="17"/>
        <v>-3.1749999999997272</v>
      </c>
    </row>
    <row r="357" spans="1:7" x14ac:dyDescent="0.3">
      <c r="A357" s="2">
        <v>43608</v>
      </c>
      <c r="B357" s="1">
        <v>44.914999999999999</v>
      </c>
      <c r="C357" s="1">
        <v>1815.48</v>
      </c>
      <c r="D357" s="1">
        <v>180.87</v>
      </c>
      <c r="E357" s="3">
        <f t="shared" si="18"/>
        <v>2259.31</v>
      </c>
      <c r="F357" s="4">
        <f t="shared" si="16"/>
        <v>-38.400000000001</v>
      </c>
      <c r="G357" s="4">
        <f t="shared" si="17"/>
        <v>38.400000000001</v>
      </c>
    </row>
    <row r="358" spans="1:7" x14ac:dyDescent="0.3">
      <c r="A358" s="2">
        <v>43607</v>
      </c>
      <c r="B358" s="1">
        <v>45.695</v>
      </c>
      <c r="C358" s="1">
        <v>1859.68</v>
      </c>
      <c r="D358" s="1">
        <v>185.32</v>
      </c>
      <c r="E358" s="3">
        <f t="shared" si="18"/>
        <v>2297.7100000000009</v>
      </c>
      <c r="F358" s="4">
        <f t="shared" si="16"/>
        <v>-53.429999999999382</v>
      </c>
      <c r="G358" s="4">
        <f t="shared" si="17"/>
        <v>53.429999999999382</v>
      </c>
    </row>
    <row r="359" spans="1:7" x14ac:dyDescent="0.3">
      <c r="A359" s="2">
        <v>43606</v>
      </c>
      <c r="B359" s="1">
        <v>46.65</v>
      </c>
      <c r="C359" s="1">
        <v>1857.52</v>
      </c>
      <c r="D359" s="1">
        <v>184.82</v>
      </c>
      <c r="E359" s="3">
        <f t="shared" si="18"/>
        <v>2351.1400000000003</v>
      </c>
      <c r="F359" s="4">
        <f t="shared" si="16"/>
        <v>-1.0250000000000909</v>
      </c>
      <c r="G359" s="4">
        <f t="shared" si="17"/>
        <v>1.0250000000000909</v>
      </c>
    </row>
    <row r="360" spans="1:7" x14ac:dyDescent="0.3">
      <c r="A360" s="2">
        <v>43605</v>
      </c>
      <c r="B360" s="1">
        <v>45.772500000000001</v>
      </c>
      <c r="C360" s="1">
        <v>1858.97</v>
      </c>
      <c r="D360" s="1">
        <v>182.72</v>
      </c>
      <c r="E360" s="3">
        <f t="shared" si="18"/>
        <v>2352.1650000000004</v>
      </c>
      <c r="F360" s="4">
        <f t="shared" si="16"/>
        <v>-42.334999999999582</v>
      </c>
      <c r="G360" s="4">
        <f t="shared" si="17"/>
        <v>42.334999999999582</v>
      </c>
    </row>
    <row r="361" spans="1:7" x14ac:dyDescent="0.3">
      <c r="A361" s="2">
        <v>43602</v>
      </c>
      <c r="B361" s="1">
        <v>47.25</v>
      </c>
      <c r="C361" s="1">
        <v>1869</v>
      </c>
      <c r="D361" s="1">
        <v>185.3</v>
      </c>
      <c r="E361" s="3">
        <f t="shared" si="18"/>
        <v>2394.5</v>
      </c>
      <c r="F361" s="4">
        <f t="shared" si="16"/>
        <v>-56.839999999999236</v>
      </c>
      <c r="G361" s="4">
        <f t="shared" si="17"/>
        <v>56.839999999999236</v>
      </c>
    </row>
    <row r="362" spans="1:7" x14ac:dyDescent="0.3">
      <c r="A362" s="2">
        <v>43601</v>
      </c>
      <c r="B362" s="1">
        <v>47.52</v>
      </c>
      <c r="C362" s="1">
        <v>1907.57</v>
      </c>
      <c r="D362" s="1">
        <v>186.99</v>
      </c>
      <c r="E362" s="3">
        <f t="shared" si="18"/>
        <v>2451.3399999999992</v>
      </c>
      <c r="F362" s="4">
        <f t="shared" si="16"/>
        <v>47.939999999999145</v>
      </c>
      <c r="G362" s="4">
        <f t="shared" si="17"/>
        <v>-47.939999999999145</v>
      </c>
    </row>
    <row r="363" spans="1:7" x14ac:dyDescent="0.3">
      <c r="A363" s="2">
        <v>43600</v>
      </c>
      <c r="B363" s="1">
        <v>47.73</v>
      </c>
      <c r="C363" s="1">
        <v>1871.15</v>
      </c>
      <c r="D363" s="1">
        <v>186.27</v>
      </c>
      <c r="E363" s="3">
        <f t="shared" si="18"/>
        <v>2403.4</v>
      </c>
      <c r="F363" s="4">
        <f t="shared" si="16"/>
        <v>-20.489999999999782</v>
      </c>
      <c r="G363" s="4">
        <f t="shared" si="17"/>
        <v>20.489999999999782</v>
      </c>
    </row>
    <row r="364" spans="1:7" x14ac:dyDescent="0.3">
      <c r="A364" s="2">
        <v>43599</v>
      </c>
      <c r="B364" s="1">
        <v>47.164999999999999</v>
      </c>
      <c r="C364" s="1">
        <v>1840.12</v>
      </c>
      <c r="D364" s="1">
        <v>180.73</v>
      </c>
      <c r="E364" s="3">
        <f t="shared" si="18"/>
        <v>2423.89</v>
      </c>
      <c r="F364" s="4">
        <f t="shared" si="16"/>
        <v>87.829999999999018</v>
      </c>
      <c r="G364" s="4">
        <f t="shared" si="17"/>
        <v>-87.829999999999018</v>
      </c>
    </row>
    <row r="365" spans="1:7" x14ac:dyDescent="0.3">
      <c r="A365" s="2">
        <v>43598</v>
      </c>
      <c r="B365" s="1">
        <v>46.43</v>
      </c>
      <c r="C365" s="1">
        <v>1822.68</v>
      </c>
      <c r="D365" s="1">
        <v>181.54</v>
      </c>
      <c r="E365" s="3">
        <f t="shared" si="18"/>
        <v>2336.0600000000009</v>
      </c>
      <c r="F365" s="4">
        <f t="shared" si="16"/>
        <v>-141.849999999999</v>
      </c>
      <c r="G365" s="4">
        <f t="shared" si="17"/>
        <v>141.849999999999</v>
      </c>
    </row>
    <row r="366" spans="1:7" x14ac:dyDescent="0.3">
      <c r="A366" s="2">
        <v>43595</v>
      </c>
      <c r="B366" s="1">
        <v>49.295000000000002</v>
      </c>
      <c r="C366" s="1">
        <v>1889.98</v>
      </c>
      <c r="D366" s="1">
        <v>188.34</v>
      </c>
      <c r="E366" s="3">
        <f t="shared" si="18"/>
        <v>2477.91</v>
      </c>
      <c r="F366" s="4">
        <f t="shared" si="16"/>
        <v>-57.829999999999927</v>
      </c>
      <c r="G366" s="4">
        <f t="shared" si="17"/>
        <v>57.829999999999927</v>
      </c>
    </row>
    <row r="367" spans="1:7" x14ac:dyDescent="0.3">
      <c r="A367" s="2">
        <v>43594</v>
      </c>
      <c r="B367" s="1">
        <v>50.18</v>
      </c>
      <c r="C367" s="1">
        <v>1899.87</v>
      </c>
      <c r="D367" s="1">
        <v>188.65</v>
      </c>
      <c r="E367" s="3">
        <f t="shared" si="18"/>
        <v>2535.7399999999998</v>
      </c>
      <c r="F367" s="4">
        <f t="shared" si="16"/>
        <v>-45.250000000000455</v>
      </c>
      <c r="G367" s="4">
        <f t="shared" si="17"/>
        <v>45.250000000000455</v>
      </c>
    </row>
    <row r="368" spans="1:7" x14ac:dyDescent="0.3">
      <c r="A368" s="2">
        <v>43593</v>
      </c>
      <c r="B368" s="1">
        <v>50.725000000000001</v>
      </c>
      <c r="C368" s="1">
        <v>1917.77</v>
      </c>
      <c r="D368" s="1">
        <v>189.54</v>
      </c>
      <c r="E368" s="3">
        <f t="shared" si="18"/>
        <v>2580.9900000000002</v>
      </c>
      <c r="F368" s="4">
        <f t="shared" si="16"/>
        <v>-1.3599999999996726</v>
      </c>
      <c r="G368" s="4">
        <f t="shared" si="17"/>
        <v>1.3599999999996726</v>
      </c>
    </row>
    <row r="369" spans="1:7" x14ac:dyDescent="0.3">
      <c r="A369" s="2">
        <v>43592</v>
      </c>
      <c r="B369" s="1">
        <v>50.715000000000003</v>
      </c>
      <c r="C369" s="1">
        <v>1921</v>
      </c>
      <c r="D369" s="1">
        <v>189.77</v>
      </c>
      <c r="E369" s="3">
        <f t="shared" si="18"/>
        <v>2582.35</v>
      </c>
      <c r="F369" s="4">
        <f t="shared" si="16"/>
        <v>-47.150000000000546</v>
      </c>
      <c r="G369" s="4">
        <f t="shared" si="17"/>
        <v>47.150000000000546</v>
      </c>
    </row>
    <row r="370" spans="1:7" x14ac:dyDescent="0.3">
      <c r="A370" s="2">
        <v>43591</v>
      </c>
      <c r="B370" s="1">
        <v>52.12</v>
      </c>
      <c r="C370" s="1">
        <v>1950.55</v>
      </c>
      <c r="D370" s="1">
        <v>193.88</v>
      </c>
      <c r="E370" s="3">
        <f t="shared" si="18"/>
        <v>2629.5000000000005</v>
      </c>
      <c r="F370" s="4">
        <f t="shared" si="16"/>
        <v>-32.894999999999527</v>
      </c>
      <c r="G370" s="4">
        <f t="shared" si="17"/>
        <v>32.894999999999527</v>
      </c>
    </row>
    <row r="371" spans="1:7" x14ac:dyDescent="0.3">
      <c r="A371" s="2">
        <v>43588</v>
      </c>
      <c r="B371" s="1">
        <v>52.9375</v>
      </c>
      <c r="C371" s="1">
        <v>1962.46</v>
      </c>
      <c r="D371" s="1">
        <v>195.47</v>
      </c>
      <c r="E371" s="3">
        <f t="shared" si="18"/>
        <v>2662.395</v>
      </c>
      <c r="F371" s="4">
        <f t="shared" si="16"/>
        <v>96.980000000000473</v>
      </c>
      <c r="G371" s="4">
        <f t="shared" si="17"/>
        <v>-96.980000000000473</v>
      </c>
    </row>
    <row r="372" spans="1:7" x14ac:dyDescent="0.3">
      <c r="A372" s="2">
        <v>43587</v>
      </c>
      <c r="B372" s="1">
        <v>52.287500000000001</v>
      </c>
      <c r="C372" s="1">
        <v>1900.82</v>
      </c>
      <c r="D372" s="1">
        <v>192.53</v>
      </c>
      <c r="E372" s="3">
        <f t="shared" si="18"/>
        <v>2565.4149999999995</v>
      </c>
      <c r="F372" s="4">
        <f t="shared" si="16"/>
        <v>-28.525000000000546</v>
      </c>
      <c r="G372" s="4">
        <f t="shared" si="17"/>
        <v>28.525000000000546</v>
      </c>
    </row>
    <row r="373" spans="1:7" x14ac:dyDescent="0.3">
      <c r="A373" s="2">
        <v>43586</v>
      </c>
      <c r="B373" s="1">
        <v>52.63</v>
      </c>
      <c r="C373" s="1">
        <v>1911.52</v>
      </c>
      <c r="D373" s="1">
        <v>193.03</v>
      </c>
      <c r="E373" s="3">
        <f t="shared" si="18"/>
        <v>2593.94</v>
      </c>
      <c r="F373" s="4">
        <f t="shared" si="16"/>
        <v>100.52500000000009</v>
      </c>
      <c r="G373" s="4">
        <f t="shared" si="17"/>
        <v>-100.52500000000009</v>
      </c>
    </row>
    <row r="374" spans="1:7" x14ac:dyDescent="0.3">
      <c r="A374" s="2">
        <v>43585</v>
      </c>
      <c r="B374" s="1">
        <v>50.167499999999997</v>
      </c>
      <c r="C374" s="1">
        <v>1926.52</v>
      </c>
      <c r="D374" s="1">
        <v>193.4</v>
      </c>
      <c r="E374" s="3">
        <f t="shared" si="18"/>
        <v>2493.415</v>
      </c>
      <c r="F374" s="4">
        <f t="shared" si="16"/>
        <v>-45.470000000000709</v>
      </c>
      <c r="G374" s="4">
        <f t="shared" si="17"/>
        <v>45.470000000000709</v>
      </c>
    </row>
    <row r="375" spans="1:7" x14ac:dyDescent="0.3">
      <c r="A375" s="2">
        <v>43584</v>
      </c>
      <c r="B375" s="1">
        <v>51.152500000000003</v>
      </c>
      <c r="C375" s="1">
        <v>1938.43</v>
      </c>
      <c r="D375" s="1">
        <v>194.78</v>
      </c>
      <c r="E375" s="3">
        <f t="shared" si="18"/>
        <v>2538.8850000000007</v>
      </c>
      <c r="F375" s="4">
        <f t="shared" si="16"/>
        <v>-86.324999999999363</v>
      </c>
      <c r="G375" s="4">
        <f t="shared" si="17"/>
        <v>86.324999999999363</v>
      </c>
    </row>
    <row r="376" spans="1:7" x14ac:dyDescent="0.3">
      <c r="A376" s="2">
        <v>43581</v>
      </c>
      <c r="B376" s="1">
        <v>51.075000000000003</v>
      </c>
      <c r="C376" s="1">
        <v>1950.63</v>
      </c>
      <c r="D376" s="1">
        <v>191.49</v>
      </c>
      <c r="E376" s="3">
        <f t="shared" si="18"/>
        <v>2625.21</v>
      </c>
      <c r="F376" s="4">
        <f t="shared" si="16"/>
        <v>119.90999999999985</v>
      </c>
      <c r="G376" s="4">
        <f t="shared" si="17"/>
        <v>-119.90999999999985</v>
      </c>
    </row>
    <row r="377" spans="1:7" x14ac:dyDescent="0.3">
      <c r="A377" s="2">
        <v>43580</v>
      </c>
      <c r="B377" s="1">
        <v>51.32</v>
      </c>
      <c r="C377" s="1">
        <v>1902.25</v>
      </c>
      <c r="D377" s="1">
        <v>193.26</v>
      </c>
      <c r="E377" s="3">
        <f t="shared" si="18"/>
        <v>2505.3000000000002</v>
      </c>
      <c r="F377" s="4">
        <f t="shared" si="16"/>
        <v>-236.09999999999945</v>
      </c>
      <c r="G377" s="4">
        <f t="shared" si="17"/>
        <v>236.09999999999945</v>
      </c>
    </row>
    <row r="378" spans="1:7" x14ac:dyDescent="0.3">
      <c r="A378" s="2">
        <v>43579</v>
      </c>
      <c r="B378" s="1">
        <v>51.79</v>
      </c>
      <c r="C378" s="1">
        <v>1901.75</v>
      </c>
      <c r="D378" s="1">
        <v>182.58</v>
      </c>
      <c r="E378" s="3">
        <f t="shared" si="18"/>
        <v>2741.3999999999996</v>
      </c>
      <c r="F378" s="4">
        <f t="shared" si="16"/>
        <v>-24.040000000000418</v>
      </c>
      <c r="G378" s="4">
        <f t="shared" si="17"/>
        <v>24.040000000000418</v>
      </c>
    </row>
    <row r="379" spans="1:7" x14ac:dyDescent="0.3">
      <c r="A379" s="2">
        <v>43578</v>
      </c>
      <c r="B379" s="1">
        <v>51.87</v>
      </c>
      <c r="C379" s="1">
        <v>1923.77</v>
      </c>
      <c r="D379" s="1">
        <v>183.78</v>
      </c>
      <c r="E379" s="3">
        <f t="shared" si="18"/>
        <v>2765.44</v>
      </c>
      <c r="F379" s="4">
        <f t="shared" si="16"/>
        <v>62.995000000000346</v>
      </c>
      <c r="G379" s="4">
        <f t="shared" si="17"/>
        <v>-62.995000000000346</v>
      </c>
    </row>
    <row r="380" spans="1:7" x14ac:dyDescent="0.3">
      <c r="A380" s="2">
        <v>43577</v>
      </c>
      <c r="B380" s="1">
        <v>51.1325</v>
      </c>
      <c r="C380" s="1">
        <v>1887.31</v>
      </c>
      <c r="D380" s="1">
        <v>181.44</v>
      </c>
      <c r="E380" s="3">
        <f t="shared" si="18"/>
        <v>2702.4449999999997</v>
      </c>
      <c r="F380" s="4">
        <f t="shared" si="16"/>
        <v>-3.5850000000004911</v>
      </c>
      <c r="G380" s="4">
        <f t="shared" si="17"/>
        <v>3.5850000000004911</v>
      </c>
    </row>
    <row r="381" spans="1:7" x14ac:dyDescent="0.3">
      <c r="A381" s="2">
        <v>43574</v>
      </c>
      <c r="B381" s="1">
        <v>50.965000000000003</v>
      </c>
      <c r="C381" s="1">
        <v>1861.69</v>
      </c>
      <c r="D381" s="1">
        <v>178.28</v>
      </c>
      <c r="E381" s="3">
        <f t="shared" si="18"/>
        <v>2706.03</v>
      </c>
      <c r="F381" s="4">
        <f t="shared" si="16"/>
        <v>0</v>
      </c>
      <c r="G381" s="4">
        <f t="shared" si="17"/>
        <v>0</v>
      </c>
    </row>
    <row r="382" spans="1:7" x14ac:dyDescent="0.3">
      <c r="A382" s="2">
        <v>43573</v>
      </c>
      <c r="B382" s="1">
        <v>50.965000000000003</v>
      </c>
      <c r="C382" s="1">
        <v>1861.69</v>
      </c>
      <c r="D382" s="1">
        <v>178.28</v>
      </c>
      <c r="E382" s="3">
        <f t="shared" si="18"/>
        <v>2706.03</v>
      </c>
      <c r="F382" s="4">
        <f t="shared" si="16"/>
        <v>12.865000000000691</v>
      </c>
      <c r="G382" s="4">
        <f t="shared" si="17"/>
        <v>-12.865000000000691</v>
      </c>
    </row>
    <row r="383" spans="1:7" x14ac:dyDescent="0.3">
      <c r="A383" s="2">
        <v>43572</v>
      </c>
      <c r="B383" s="1">
        <v>50.782499999999999</v>
      </c>
      <c r="C383" s="1">
        <v>1864.82</v>
      </c>
      <c r="D383" s="1">
        <v>178.78</v>
      </c>
      <c r="E383" s="3">
        <f t="shared" si="18"/>
        <v>2693.1649999999995</v>
      </c>
      <c r="F383" s="4">
        <f t="shared" si="16"/>
        <v>53.859999999999673</v>
      </c>
      <c r="G383" s="4">
        <f t="shared" si="17"/>
        <v>-53.859999999999673</v>
      </c>
    </row>
    <row r="384" spans="1:7" x14ac:dyDescent="0.3">
      <c r="A384" s="2">
        <v>43571</v>
      </c>
      <c r="B384" s="1">
        <v>49.8125</v>
      </c>
      <c r="C384" s="1">
        <v>1863.04</v>
      </c>
      <c r="D384" s="1">
        <v>178.87</v>
      </c>
      <c r="E384" s="3">
        <f t="shared" si="18"/>
        <v>2639.3049999999998</v>
      </c>
      <c r="F384" s="4">
        <f t="shared" si="16"/>
        <v>52.190000000000055</v>
      </c>
      <c r="G384" s="4">
        <f t="shared" si="17"/>
        <v>-52.190000000000055</v>
      </c>
    </row>
    <row r="385" spans="1:7" x14ac:dyDescent="0.3">
      <c r="A385" s="2">
        <v>43570</v>
      </c>
      <c r="B385" s="1">
        <v>49.807499999999997</v>
      </c>
      <c r="C385" s="1">
        <v>1844.87</v>
      </c>
      <c r="D385" s="1">
        <v>179.65</v>
      </c>
      <c r="E385" s="3">
        <f t="shared" si="18"/>
        <v>2587.1149999999998</v>
      </c>
      <c r="F385" s="4">
        <f t="shared" si="16"/>
        <v>-2.8800000000001091</v>
      </c>
      <c r="G385" s="4">
        <f t="shared" si="17"/>
        <v>2.8800000000001091</v>
      </c>
    </row>
    <row r="386" spans="1:7" x14ac:dyDescent="0.3">
      <c r="A386" s="2">
        <v>43567</v>
      </c>
      <c r="B386" s="1">
        <v>49.717500000000001</v>
      </c>
      <c r="C386" s="1">
        <v>1843.06</v>
      </c>
      <c r="D386" s="1">
        <v>179.1</v>
      </c>
      <c r="E386" s="3">
        <f t="shared" si="18"/>
        <v>2589.9949999999999</v>
      </c>
      <c r="F386" s="4">
        <f t="shared" si="16"/>
        <v>-34.819999999999709</v>
      </c>
      <c r="G386" s="4">
        <f t="shared" si="17"/>
        <v>34.819999999999709</v>
      </c>
    </row>
    <row r="387" spans="1:7" x14ac:dyDescent="0.3">
      <c r="A387" s="2">
        <v>43566</v>
      </c>
      <c r="B387" s="1">
        <v>49.737499999999997</v>
      </c>
      <c r="C387" s="1">
        <v>1844.07</v>
      </c>
      <c r="D387" s="1">
        <v>177.51</v>
      </c>
      <c r="E387" s="3">
        <f t="shared" si="18"/>
        <v>2624.8149999999996</v>
      </c>
      <c r="F387" s="4">
        <f t="shared" si="16"/>
        <v>-21.195000000000618</v>
      </c>
      <c r="G387" s="4">
        <f t="shared" si="17"/>
        <v>21.195000000000618</v>
      </c>
    </row>
    <row r="388" spans="1:7" x14ac:dyDescent="0.3">
      <c r="A388" s="2">
        <v>43565</v>
      </c>
      <c r="B388" s="1">
        <v>50.155000000000001</v>
      </c>
      <c r="C388" s="1">
        <v>1847.33</v>
      </c>
      <c r="D388" s="1">
        <v>177.82</v>
      </c>
      <c r="E388" s="3">
        <f t="shared" si="18"/>
        <v>2646.01</v>
      </c>
      <c r="F388" s="4">
        <f t="shared" si="16"/>
        <v>32.180000000000291</v>
      </c>
      <c r="G388" s="4">
        <f t="shared" si="17"/>
        <v>-32.180000000000291</v>
      </c>
    </row>
    <row r="389" spans="1:7" x14ac:dyDescent="0.3">
      <c r="A389" s="2">
        <v>43564</v>
      </c>
      <c r="B389" s="1">
        <v>49.875</v>
      </c>
      <c r="C389" s="1">
        <v>1835.84</v>
      </c>
      <c r="D389" s="1">
        <v>177.58</v>
      </c>
      <c r="E389" s="3">
        <f t="shared" si="18"/>
        <v>2613.83</v>
      </c>
      <c r="F389" s="4">
        <f t="shared" ref="F389:F452" si="19">E389-E390</f>
        <v>-88.539999999999054</v>
      </c>
      <c r="G389" s="4">
        <f t="shared" ref="G389:G452" si="20">-F389</f>
        <v>88.539999999999054</v>
      </c>
    </row>
    <row r="390" spans="1:7" x14ac:dyDescent="0.3">
      <c r="A390" s="2">
        <v>43563</v>
      </c>
      <c r="B390" s="1">
        <v>50.024999999999999</v>
      </c>
      <c r="C390" s="1">
        <v>1849.86</v>
      </c>
      <c r="D390" s="1">
        <v>174.93</v>
      </c>
      <c r="E390" s="3">
        <f t="shared" ref="E390:E453" si="21">50*B390+2*C390-20*D390</f>
        <v>2702.369999999999</v>
      </c>
      <c r="F390" s="4">
        <f t="shared" si="19"/>
        <v>79.709999999999582</v>
      </c>
      <c r="G390" s="4">
        <f t="shared" si="20"/>
        <v>-79.709999999999582</v>
      </c>
    </row>
    <row r="391" spans="1:7" x14ac:dyDescent="0.3">
      <c r="A391" s="2">
        <v>43560</v>
      </c>
      <c r="B391" s="1">
        <v>49.25</v>
      </c>
      <c r="C391" s="1">
        <v>1837.28</v>
      </c>
      <c r="D391" s="1">
        <v>175.72</v>
      </c>
      <c r="E391" s="3">
        <f t="shared" si="21"/>
        <v>2622.6599999999994</v>
      </c>
      <c r="F391" s="4">
        <f t="shared" si="19"/>
        <v>59.215000000000146</v>
      </c>
      <c r="G391" s="4">
        <f t="shared" si="20"/>
        <v>-59.215000000000146</v>
      </c>
    </row>
    <row r="392" spans="1:7" x14ac:dyDescent="0.3">
      <c r="A392" s="2">
        <v>43559</v>
      </c>
      <c r="B392" s="1">
        <v>48.922499999999999</v>
      </c>
      <c r="C392" s="1">
        <v>1818.86</v>
      </c>
      <c r="D392" s="1">
        <v>176.02</v>
      </c>
      <c r="E392" s="3">
        <f t="shared" si="21"/>
        <v>2563.4449999999993</v>
      </c>
      <c r="F392" s="4">
        <f t="shared" si="19"/>
        <v>-49.030000000000655</v>
      </c>
      <c r="G392" s="4">
        <f t="shared" si="20"/>
        <v>49.030000000000655</v>
      </c>
    </row>
    <row r="393" spans="1:7" x14ac:dyDescent="0.3">
      <c r="A393" s="2">
        <v>43558</v>
      </c>
      <c r="B393" s="1">
        <v>48.837499999999999</v>
      </c>
      <c r="C393" s="1">
        <v>1820.7</v>
      </c>
      <c r="D393" s="1">
        <v>173.54</v>
      </c>
      <c r="E393" s="3">
        <f t="shared" si="21"/>
        <v>2612.4749999999999</v>
      </c>
      <c r="F393" s="4">
        <f t="shared" si="19"/>
        <v>43.264999999999873</v>
      </c>
      <c r="G393" s="4">
        <f t="shared" si="20"/>
        <v>-43.264999999999873</v>
      </c>
    </row>
    <row r="394" spans="1:7" x14ac:dyDescent="0.3">
      <c r="A394" s="2">
        <v>43557</v>
      </c>
      <c r="B394" s="1">
        <v>48.505000000000003</v>
      </c>
      <c r="C394" s="1">
        <v>1813.98</v>
      </c>
      <c r="D394" s="1">
        <v>174.2</v>
      </c>
      <c r="E394" s="3">
        <f t="shared" si="21"/>
        <v>2569.21</v>
      </c>
      <c r="F394" s="4">
        <f t="shared" si="19"/>
        <v>-75.670000000000073</v>
      </c>
      <c r="G394" s="4">
        <f t="shared" si="20"/>
        <v>75.670000000000073</v>
      </c>
    </row>
    <row r="395" spans="1:7" x14ac:dyDescent="0.3">
      <c r="A395" s="2">
        <v>43556</v>
      </c>
      <c r="B395" s="1">
        <v>47.81</v>
      </c>
      <c r="C395" s="1">
        <v>1814.19</v>
      </c>
      <c r="D395" s="1">
        <v>168.7</v>
      </c>
      <c r="E395" s="3">
        <f t="shared" si="21"/>
        <v>2644.88</v>
      </c>
      <c r="F395" s="4">
        <f t="shared" si="19"/>
        <v>42.805000000000291</v>
      </c>
      <c r="G395" s="4">
        <f t="shared" si="20"/>
        <v>-42.805000000000291</v>
      </c>
    </row>
    <row r="396" spans="1:7" x14ac:dyDescent="0.3">
      <c r="A396" s="2">
        <v>43553</v>
      </c>
      <c r="B396" s="1">
        <v>47.487499999999997</v>
      </c>
      <c r="C396" s="1">
        <v>1780.75</v>
      </c>
      <c r="D396" s="1">
        <v>166.69</v>
      </c>
      <c r="E396" s="3">
        <f t="shared" si="21"/>
        <v>2602.0749999999998</v>
      </c>
      <c r="F396" s="4">
        <f t="shared" si="19"/>
        <v>7.2349999999996726</v>
      </c>
      <c r="G396" s="4">
        <f t="shared" si="20"/>
        <v>-7.2349999999996726</v>
      </c>
    </row>
    <row r="397" spans="1:7" x14ac:dyDescent="0.3">
      <c r="A397" s="2">
        <v>43552</v>
      </c>
      <c r="B397" s="1">
        <v>47.18</v>
      </c>
      <c r="C397" s="1">
        <v>1773.42</v>
      </c>
      <c r="D397" s="1">
        <v>165.55</v>
      </c>
      <c r="E397" s="3">
        <f t="shared" si="21"/>
        <v>2594.84</v>
      </c>
      <c r="F397" s="4">
        <f t="shared" si="19"/>
        <v>24.9650000000006</v>
      </c>
      <c r="G397" s="4">
        <f t="shared" si="20"/>
        <v>-24.9650000000006</v>
      </c>
    </row>
    <row r="398" spans="1:7" x14ac:dyDescent="0.3">
      <c r="A398" s="2">
        <v>43551</v>
      </c>
      <c r="B398" s="1">
        <v>47.1175</v>
      </c>
      <c r="C398" s="1">
        <v>1765.7</v>
      </c>
      <c r="D398" s="1">
        <v>165.87</v>
      </c>
      <c r="E398" s="3">
        <f t="shared" si="21"/>
        <v>2569.8749999999995</v>
      </c>
      <c r="F398" s="4">
        <f t="shared" si="19"/>
        <v>21.079999999999472</v>
      </c>
      <c r="G398" s="4">
        <f t="shared" si="20"/>
        <v>-21.079999999999472</v>
      </c>
    </row>
    <row r="399" spans="1:7" x14ac:dyDescent="0.3">
      <c r="A399" s="2">
        <v>43550</v>
      </c>
      <c r="B399" s="1">
        <v>46.697499999999998</v>
      </c>
      <c r="C399" s="1">
        <v>1783.76</v>
      </c>
      <c r="D399" s="1">
        <v>167.68</v>
      </c>
      <c r="E399" s="3">
        <f t="shared" si="21"/>
        <v>2548.7950000000001</v>
      </c>
      <c r="F399" s="4">
        <f t="shared" si="19"/>
        <v>-33.175000000000637</v>
      </c>
      <c r="G399" s="4">
        <f t="shared" si="20"/>
        <v>33.175000000000637</v>
      </c>
    </row>
    <row r="400" spans="1:7" x14ac:dyDescent="0.3">
      <c r="A400" s="2">
        <v>43549</v>
      </c>
      <c r="B400" s="1">
        <v>47.185000000000002</v>
      </c>
      <c r="C400" s="1">
        <v>1774.26</v>
      </c>
      <c r="D400" s="1">
        <v>166.29</v>
      </c>
      <c r="E400" s="3">
        <f t="shared" si="21"/>
        <v>2581.9700000000007</v>
      </c>
      <c r="F400" s="4">
        <f t="shared" si="19"/>
        <v>-48.894999999999072</v>
      </c>
      <c r="G400" s="4">
        <f t="shared" si="20"/>
        <v>48.894999999999072</v>
      </c>
    </row>
    <row r="401" spans="1:7" x14ac:dyDescent="0.3">
      <c r="A401" s="2">
        <v>43546</v>
      </c>
      <c r="B401" s="1">
        <v>47.762500000000003</v>
      </c>
      <c r="C401" s="1">
        <v>1764.77</v>
      </c>
      <c r="D401" s="1">
        <v>164.34</v>
      </c>
      <c r="E401" s="3">
        <f t="shared" si="21"/>
        <v>2630.8649999999998</v>
      </c>
      <c r="F401" s="4">
        <f t="shared" si="19"/>
        <v>-124.68000000000029</v>
      </c>
      <c r="G401" s="4">
        <f t="shared" si="20"/>
        <v>124.68000000000029</v>
      </c>
    </row>
    <row r="402" spans="1:7" x14ac:dyDescent="0.3">
      <c r="A402" s="2">
        <v>43545</v>
      </c>
      <c r="B402" s="1">
        <v>48.772500000000001</v>
      </c>
      <c r="C402" s="1">
        <v>1819.26</v>
      </c>
      <c r="D402" s="1">
        <v>166.08</v>
      </c>
      <c r="E402" s="3">
        <f t="shared" si="21"/>
        <v>2755.5450000000001</v>
      </c>
      <c r="F402" s="4">
        <f t="shared" si="19"/>
        <v>117.80500000000029</v>
      </c>
      <c r="G402" s="4">
        <f t="shared" si="20"/>
        <v>-117.80500000000029</v>
      </c>
    </row>
    <row r="403" spans="1:7" x14ac:dyDescent="0.3">
      <c r="A403" s="2">
        <v>43544</v>
      </c>
      <c r="B403" s="1">
        <v>47.04</v>
      </c>
      <c r="C403" s="1">
        <v>1797.27</v>
      </c>
      <c r="D403" s="1">
        <v>165.44</v>
      </c>
      <c r="E403" s="3">
        <f t="shared" si="21"/>
        <v>2637.74</v>
      </c>
      <c r="F403" s="4">
        <f t="shared" si="19"/>
        <v>13.8149999999996</v>
      </c>
      <c r="G403" s="4">
        <f t="shared" si="20"/>
        <v>-13.8149999999996</v>
      </c>
    </row>
    <row r="404" spans="1:7" x14ac:dyDescent="0.3">
      <c r="A404" s="2">
        <v>43543</v>
      </c>
      <c r="B404" s="1">
        <v>46.6325</v>
      </c>
      <c r="C404" s="1">
        <v>1761.85</v>
      </c>
      <c r="D404" s="1">
        <v>161.57</v>
      </c>
      <c r="E404" s="3">
        <f t="shared" si="21"/>
        <v>2623.9250000000002</v>
      </c>
      <c r="F404" s="4">
        <f t="shared" si="19"/>
        <v>-1.2249999999999091</v>
      </c>
      <c r="G404" s="4">
        <f t="shared" si="20"/>
        <v>1.2249999999999091</v>
      </c>
    </row>
    <row r="405" spans="1:7" x14ac:dyDescent="0.3">
      <c r="A405" s="2">
        <v>43542</v>
      </c>
      <c r="B405" s="1">
        <v>47.005000000000003</v>
      </c>
      <c r="C405" s="1">
        <v>1742.15</v>
      </c>
      <c r="D405" s="1">
        <v>160.47</v>
      </c>
      <c r="E405" s="3">
        <f t="shared" si="21"/>
        <v>2625.15</v>
      </c>
      <c r="F405" s="4">
        <f t="shared" si="19"/>
        <v>193.53000000000065</v>
      </c>
      <c r="G405" s="4">
        <f t="shared" si="20"/>
        <v>-193.53000000000065</v>
      </c>
    </row>
    <row r="406" spans="1:7" x14ac:dyDescent="0.3">
      <c r="A406" s="2">
        <v>43539</v>
      </c>
      <c r="B406" s="1">
        <v>46.53</v>
      </c>
      <c r="C406" s="1">
        <v>1712.36</v>
      </c>
      <c r="D406" s="1">
        <v>165.98</v>
      </c>
      <c r="E406" s="3">
        <f t="shared" si="21"/>
        <v>2431.6199999999994</v>
      </c>
      <c r="F406" s="4">
        <f t="shared" si="19"/>
        <v>165.95499999999856</v>
      </c>
      <c r="G406" s="4">
        <f t="shared" si="20"/>
        <v>-165.95499999999856</v>
      </c>
    </row>
    <row r="407" spans="1:7" x14ac:dyDescent="0.3">
      <c r="A407" s="2">
        <v>43538</v>
      </c>
      <c r="B407" s="1">
        <v>45.932499999999997</v>
      </c>
      <c r="C407" s="1">
        <v>1686.22</v>
      </c>
      <c r="D407" s="1">
        <v>170.17</v>
      </c>
      <c r="E407" s="3">
        <f t="shared" si="21"/>
        <v>2265.6650000000009</v>
      </c>
      <c r="F407" s="4">
        <f t="shared" si="19"/>
        <v>80.070000000001073</v>
      </c>
      <c r="G407" s="4">
        <f t="shared" si="20"/>
        <v>-80.070000000001073</v>
      </c>
    </row>
    <row r="408" spans="1:7" x14ac:dyDescent="0.3">
      <c r="A408" s="2">
        <v>43537</v>
      </c>
      <c r="B408" s="1">
        <v>45.427500000000002</v>
      </c>
      <c r="C408" s="1">
        <v>1690.81</v>
      </c>
      <c r="D408" s="1">
        <v>173.37</v>
      </c>
      <c r="E408" s="3">
        <f t="shared" si="21"/>
        <v>2185.5949999999998</v>
      </c>
      <c r="F408" s="4">
        <f t="shared" si="19"/>
        <v>16.419999999999618</v>
      </c>
      <c r="G408" s="4">
        <f t="shared" si="20"/>
        <v>-16.419999999999618</v>
      </c>
    </row>
    <row r="409" spans="1:7" x14ac:dyDescent="0.3">
      <c r="A409" s="2">
        <v>43536</v>
      </c>
      <c r="B409" s="1">
        <v>45.227499999999999</v>
      </c>
      <c r="C409" s="1">
        <v>1673.1</v>
      </c>
      <c r="D409" s="1">
        <v>171.92</v>
      </c>
      <c r="E409" s="3">
        <f t="shared" si="21"/>
        <v>2169.1750000000002</v>
      </c>
      <c r="F409" s="4">
        <f t="shared" si="19"/>
        <v>33.085000000000036</v>
      </c>
      <c r="G409" s="4">
        <f t="shared" si="20"/>
        <v>-33.085000000000036</v>
      </c>
    </row>
    <row r="410" spans="1:7" x14ac:dyDescent="0.3">
      <c r="A410" s="2">
        <v>43535</v>
      </c>
      <c r="B410" s="1">
        <v>44.725000000000001</v>
      </c>
      <c r="C410" s="1">
        <v>1670.62</v>
      </c>
      <c r="D410" s="1">
        <v>172.07</v>
      </c>
      <c r="E410" s="3">
        <f t="shared" si="21"/>
        <v>2136.09</v>
      </c>
      <c r="F410" s="4">
        <f t="shared" si="19"/>
        <v>125.11499999999978</v>
      </c>
      <c r="G410" s="4">
        <f t="shared" si="20"/>
        <v>-125.11499999999978</v>
      </c>
    </row>
    <row r="411" spans="1:7" x14ac:dyDescent="0.3">
      <c r="A411" s="2">
        <v>43532</v>
      </c>
      <c r="B411" s="1">
        <v>43.227499999999999</v>
      </c>
      <c r="C411" s="1">
        <v>1620.8</v>
      </c>
      <c r="D411" s="1">
        <v>169.6</v>
      </c>
      <c r="E411" s="3">
        <f t="shared" si="21"/>
        <v>2010.9750000000004</v>
      </c>
      <c r="F411" s="4">
        <f t="shared" si="19"/>
        <v>-14.574999999999363</v>
      </c>
      <c r="G411" s="4">
        <f t="shared" si="20"/>
        <v>14.574999999999363</v>
      </c>
    </row>
    <row r="412" spans="1:7" x14ac:dyDescent="0.3">
      <c r="A412" s="2">
        <v>43531</v>
      </c>
      <c r="B412" s="1">
        <v>43.125</v>
      </c>
      <c r="C412" s="1">
        <v>1625.95</v>
      </c>
      <c r="D412" s="1">
        <v>169.13</v>
      </c>
      <c r="E412" s="3">
        <f t="shared" si="21"/>
        <v>2025.5499999999997</v>
      </c>
      <c r="F412" s="4">
        <f t="shared" si="19"/>
        <v>-43.650000000000091</v>
      </c>
      <c r="G412" s="4">
        <f t="shared" si="20"/>
        <v>43.650000000000091</v>
      </c>
    </row>
    <row r="413" spans="1:7" x14ac:dyDescent="0.3">
      <c r="A413" s="2">
        <v>43530</v>
      </c>
      <c r="B413" s="1">
        <v>43.63</v>
      </c>
      <c r="C413" s="1">
        <v>1668.95</v>
      </c>
      <c r="D413" s="1">
        <v>172.51</v>
      </c>
      <c r="E413" s="3">
        <f t="shared" si="21"/>
        <v>2069.1999999999998</v>
      </c>
      <c r="F413" s="4">
        <f t="shared" si="19"/>
        <v>-84.585000000000946</v>
      </c>
      <c r="G413" s="4">
        <f t="shared" si="20"/>
        <v>84.585000000000946</v>
      </c>
    </row>
    <row r="414" spans="1:7" x14ac:dyDescent="0.3">
      <c r="A414" s="2">
        <v>43529</v>
      </c>
      <c r="B414" s="1">
        <v>43.8825</v>
      </c>
      <c r="C414" s="1">
        <v>1692.43</v>
      </c>
      <c r="D414" s="1">
        <v>171.26</v>
      </c>
      <c r="E414" s="3">
        <f t="shared" si="21"/>
        <v>2153.7850000000008</v>
      </c>
      <c r="F414" s="4">
        <f t="shared" si="19"/>
        <v>-89.279999999999291</v>
      </c>
      <c r="G414" s="4">
        <f t="shared" si="20"/>
        <v>89.279999999999291</v>
      </c>
    </row>
    <row r="415" spans="1:7" x14ac:dyDescent="0.3">
      <c r="A415" s="2">
        <v>43528</v>
      </c>
      <c r="B415" s="1">
        <v>43.962499999999999</v>
      </c>
      <c r="C415" s="1">
        <v>1696.17</v>
      </c>
      <c r="D415" s="1">
        <v>167.37</v>
      </c>
      <c r="E415" s="3">
        <f t="shared" si="21"/>
        <v>2243.0650000000001</v>
      </c>
      <c r="F415" s="4">
        <f t="shared" si="19"/>
        <v>-41.920000000000073</v>
      </c>
      <c r="G415" s="4">
        <f t="shared" si="20"/>
        <v>41.920000000000073</v>
      </c>
    </row>
    <row r="416" spans="1:7" x14ac:dyDescent="0.3">
      <c r="A416" s="2">
        <v>43525</v>
      </c>
      <c r="B416" s="1">
        <v>43.7425</v>
      </c>
      <c r="C416" s="1">
        <v>1671.73</v>
      </c>
      <c r="D416" s="1">
        <v>162.28</v>
      </c>
      <c r="E416" s="3">
        <f t="shared" si="21"/>
        <v>2284.9850000000001</v>
      </c>
      <c r="F416" s="4">
        <f t="shared" si="19"/>
        <v>69.950000000000273</v>
      </c>
      <c r="G416" s="4">
        <f t="shared" si="20"/>
        <v>-69.950000000000273</v>
      </c>
    </row>
    <row r="417" spans="1:7" x14ac:dyDescent="0.3">
      <c r="A417" s="2">
        <v>43524</v>
      </c>
      <c r="B417" s="1">
        <v>43.287500000000001</v>
      </c>
      <c r="C417" s="1">
        <v>1639.83</v>
      </c>
      <c r="D417" s="1">
        <v>161.44999999999999</v>
      </c>
      <c r="E417" s="3">
        <f t="shared" si="21"/>
        <v>2215.0349999999999</v>
      </c>
      <c r="F417" s="4">
        <f t="shared" si="19"/>
        <v>3.1799999999993815</v>
      </c>
      <c r="G417" s="4">
        <f t="shared" si="20"/>
        <v>-3.1799999999993815</v>
      </c>
    </row>
    <row r="418" spans="1:7" x14ac:dyDescent="0.3">
      <c r="A418" s="2">
        <v>43523</v>
      </c>
      <c r="B418" s="1">
        <v>43.717500000000001</v>
      </c>
      <c r="C418" s="1">
        <v>1641.09</v>
      </c>
      <c r="D418" s="1">
        <v>162.81</v>
      </c>
      <c r="E418" s="3">
        <f t="shared" si="21"/>
        <v>2211.8550000000005</v>
      </c>
      <c r="F418" s="4">
        <f t="shared" si="19"/>
        <v>42.5300000000002</v>
      </c>
      <c r="G418" s="4">
        <f t="shared" si="20"/>
        <v>-42.5300000000002</v>
      </c>
    </row>
    <row r="419" spans="1:7" x14ac:dyDescent="0.3">
      <c r="A419" s="2">
        <v>43522</v>
      </c>
      <c r="B419" s="1">
        <v>43.582500000000003</v>
      </c>
      <c r="C419" s="1">
        <v>1636.4</v>
      </c>
      <c r="D419" s="1">
        <v>164.13</v>
      </c>
      <c r="E419" s="3">
        <f t="shared" si="21"/>
        <v>2169.3250000000003</v>
      </c>
      <c r="F419" s="4">
        <f t="shared" si="19"/>
        <v>17.850000000000364</v>
      </c>
      <c r="G419" s="4">
        <f t="shared" si="20"/>
        <v>-17.850000000000364</v>
      </c>
    </row>
    <row r="420" spans="1:7" x14ac:dyDescent="0.3">
      <c r="A420" s="2">
        <v>43521</v>
      </c>
      <c r="B420" s="1">
        <v>43.557499999999997</v>
      </c>
      <c r="C420" s="1">
        <v>1633</v>
      </c>
      <c r="D420" s="1">
        <v>164.62</v>
      </c>
      <c r="E420" s="3">
        <f t="shared" si="21"/>
        <v>2151.4749999999999</v>
      </c>
      <c r="F420" s="4">
        <f t="shared" si="19"/>
        <v>-35.970000000000255</v>
      </c>
      <c r="G420" s="4">
        <f t="shared" si="20"/>
        <v>35.970000000000255</v>
      </c>
    </row>
    <row r="421" spans="1:7" x14ac:dyDescent="0.3">
      <c r="A421" s="2">
        <v>43518</v>
      </c>
      <c r="B421" s="1">
        <v>43.2425</v>
      </c>
      <c r="C421" s="1">
        <v>1631.56</v>
      </c>
      <c r="D421" s="1">
        <v>161.88999999999999</v>
      </c>
      <c r="E421" s="3">
        <f t="shared" si="21"/>
        <v>2187.4450000000002</v>
      </c>
      <c r="F421" s="4">
        <f t="shared" si="19"/>
        <v>11.114999999999782</v>
      </c>
      <c r="G421" s="4">
        <f t="shared" si="20"/>
        <v>-11.114999999999782</v>
      </c>
    </row>
    <row r="422" spans="1:7" x14ac:dyDescent="0.3">
      <c r="A422" s="2">
        <v>43517</v>
      </c>
      <c r="B422" s="1">
        <v>42.765000000000001</v>
      </c>
      <c r="C422" s="1">
        <v>1619.44</v>
      </c>
      <c r="D422" s="1">
        <v>160.04</v>
      </c>
      <c r="E422" s="3">
        <f t="shared" si="21"/>
        <v>2176.3300000000004</v>
      </c>
      <c r="F422" s="4">
        <f t="shared" si="19"/>
        <v>32.955000000000382</v>
      </c>
      <c r="G422" s="4">
        <f t="shared" si="20"/>
        <v>-32.955000000000382</v>
      </c>
    </row>
    <row r="423" spans="1:7" x14ac:dyDescent="0.3">
      <c r="A423" s="2">
        <v>43516</v>
      </c>
      <c r="B423" s="1">
        <v>43.0075</v>
      </c>
      <c r="C423" s="1">
        <v>1622.1</v>
      </c>
      <c r="D423" s="1">
        <v>162.56</v>
      </c>
      <c r="E423" s="3">
        <f t="shared" si="21"/>
        <v>2143.375</v>
      </c>
      <c r="F423" s="4">
        <f t="shared" si="19"/>
        <v>-2.6100000000001273</v>
      </c>
      <c r="G423" s="4">
        <f t="shared" si="20"/>
        <v>2.6100000000001273</v>
      </c>
    </row>
    <row r="424" spans="1:7" x14ac:dyDescent="0.3">
      <c r="A424" s="2">
        <v>43515</v>
      </c>
      <c r="B424" s="1">
        <v>42.732500000000002</v>
      </c>
      <c r="C424" s="1">
        <v>1627.58</v>
      </c>
      <c r="D424" s="1">
        <v>162.29</v>
      </c>
      <c r="E424" s="3">
        <f t="shared" si="21"/>
        <v>2145.9850000000001</v>
      </c>
      <c r="F424" s="4">
        <f t="shared" si="19"/>
        <v>49.835000000000491</v>
      </c>
      <c r="G424" s="4">
        <f t="shared" si="20"/>
        <v>-49.835000000000491</v>
      </c>
    </row>
    <row r="425" spans="1:7" x14ac:dyDescent="0.3">
      <c r="A425" s="2">
        <v>43514</v>
      </c>
      <c r="B425" s="1">
        <v>42.604999999999997</v>
      </c>
      <c r="C425" s="1">
        <v>1607.95</v>
      </c>
      <c r="D425" s="1">
        <v>162.5</v>
      </c>
      <c r="E425" s="3">
        <f t="shared" si="21"/>
        <v>2096.1499999999996</v>
      </c>
      <c r="F425" s="4">
        <f t="shared" si="19"/>
        <v>0</v>
      </c>
      <c r="G425" s="4">
        <f t="shared" si="20"/>
        <v>0</v>
      </c>
    </row>
    <row r="426" spans="1:7" x14ac:dyDescent="0.3">
      <c r="A426" s="2">
        <v>43511</v>
      </c>
      <c r="B426" s="1">
        <v>42.604999999999997</v>
      </c>
      <c r="C426" s="1">
        <v>1607.95</v>
      </c>
      <c r="D426" s="1">
        <v>162.5</v>
      </c>
      <c r="E426" s="3">
        <f t="shared" si="21"/>
        <v>2096.1499999999996</v>
      </c>
      <c r="F426" s="4">
        <f t="shared" si="19"/>
        <v>-5.1500000000005457</v>
      </c>
      <c r="G426" s="4">
        <f t="shared" si="20"/>
        <v>5.1500000000005457</v>
      </c>
    </row>
    <row r="427" spans="1:7" x14ac:dyDescent="0.3">
      <c r="A427" s="2">
        <v>43510</v>
      </c>
      <c r="B427" s="1">
        <v>42.7</v>
      </c>
      <c r="C427" s="1">
        <v>1622.65</v>
      </c>
      <c r="D427" s="1">
        <v>163.95</v>
      </c>
      <c r="E427" s="3">
        <f t="shared" si="21"/>
        <v>2101.3000000000002</v>
      </c>
      <c r="F427" s="4">
        <f t="shared" si="19"/>
        <v>-24.550000000000182</v>
      </c>
      <c r="G427" s="4">
        <f t="shared" si="20"/>
        <v>24.550000000000182</v>
      </c>
    </row>
    <row r="428" spans="1:7" x14ac:dyDescent="0.3">
      <c r="A428" s="2">
        <v>43509</v>
      </c>
      <c r="B428" s="1">
        <v>42.545000000000002</v>
      </c>
      <c r="C428" s="1">
        <v>1640</v>
      </c>
      <c r="D428" s="1">
        <v>164.07</v>
      </c>
      <c r="E428" s="3">
        <f t="shared" si="21"/>
        <v>2125.8500000000004</v>
      </c>
      <c r="F428" s="4">
        <f t="shared" si="19"/>
        <v>14.504999999999654</v>
      </c>
      <c r="G428" s="4">
        <f t="shared" si="20"/>
        <v>-14.504999999999654</v>
      </c>
    </row>
    <row r="429" spans="1:7" x14ac:dyDescent="0.3">
      <c r="A429" s="2">
        <v>43508</v>
      </c>
      <c r="B429" s="1">
        <v>42.722499999999997</v>
      </c>
      <c r="C429" s="1">
        <v>1638.01</v>
      </c>
      <c r="D429" s="1">
        <v>165.04</v>
      </c>
      <c r="E429" s="3">
        <f t="shared" si="21"/>
        <v>2111.3450000000007</v>
      </c>
      <c r="F429" s="4">
        <f t="shared" si="19"/>
        <v>127.27000000000044</v>
      </c>
      <c r="G429" s="4">
        <f t="shared" si="20"/>
        <v>-127.27000000000044</v>
      </c>
    </row>
    <row r="430" spans="1:7" x14ac:dyDescent="0.3">
      <c r="A430" s="2">
        <v>43507</v>
      </c>
      <c r="B430" s="1">
        <v>42.357500000000002</v>
      </c>
      <c r="C430" s="1">
        <v>1591</v>
      </c>
      <c r="D430" s="1">
        <v>165.79</v>
      </c>
      <c r="E430" s="3">
        <f t="shared" si="21"/>
        <v>1984.0750000000003</v>
      </c>
      <c r="F430" s="4">
        <f t="shared" si="19"/>
        <v>24.110000000000127</v>
      </c>
      <c r="G430" s="4">
        <f t="shared" si="20"/>
        <v>-24.110000000000127</v>
      </c>
    </row>
    <row r="431" spans="1:7" x14ac:dyDescent="0.3">
      <c r="A431" s="2">
        <v>43504</v>
      </c>
      <c r="B431" s="1">
        <v>42.602499999999999</v>
      </c>
      <c r="C431" s="1">
        <v>1588.22</v>
      </c>
      <c r="D431" s="1">
        <v>167.33</v>
      </c>
      <c r="E431" s="3">
        <f t="shared" si="21"/>
        <v>1959.9650000000001</v>
      </c>
      <c r="F431" s="4">
        <f t="shared" si="19"/>
        <v>-77.924999999999727</v>
      </c>
      <c r="G431" s="4">
        <f t="shared" si="20"/>
        <v>77.924999999999727</v>
      </c>
    </row>
    <row r="432" spans="1:7" x14ac:dyDescent="0.3">
      <c r="A432" s="2">
        <v>43503</v>
      </c>
      <c r="B432" s="1">
        <v>42.734999999999999</v>
      </c>
      <c r="C432" s="1">
        <v>1614.37</v>
      </c>
      <c r="D432" s="1">
        <v>166.38</v>
      </c>
      <c r="E432" s="3">
        <f t="shared" si="21"/>
        <v>2037.8899999999999</v>
      </c>
      <c r="F432" s="4">
        <f t="shared" si="19"/>
        <v>-10.830000000000382</v>
      </c>
      <c r="G432" s="4">
        <f t="shared" si="20"/>
        <v>10.830000000000382</v>
      </c>
    </row>
    <row r="433" spans="1:7" x14ac:dyDescent="0.3">
      <c r="A433" s="2">
        <v>43502</v>
      </c>
      <c r="B433" s="1">
        <v>43.56</v>
      </c>
      <c r="C433" s="1">
        <v>1640.26</v>
      </c>
      <c r="D433" s="1">
        <v>170.49</v>
      </c>
      <c r="E433" s="3">
        <f t="shared" si="21"/>
        <v>2048.7200000000003</v>
      </c>
      <c r="F433" s="4">
        <f t="shared" si="19"/>
        <v>-22.949999999999818</v>
      </c>
      <c r="G433" s="4">
        <f t="shared" si="20"/>
        <v>22.949999999999818</v>
      </c>
    </row>
    <row r="434" spans="1:7" x14ac:dyDescent="0.3">
      <c r="A434" s="2">
        <v>43501</v>
      </c>
      <c r="B434" s="1">
        <v>43.545000000000002</v>
      </c>
      <c r="C434" s="1">
        <v>1658.81</v>
      </c>
      <c r="D434" s="1">
        <v>171.16</v>
      </c>
      <c r="E434" s="3">
        <f t="shared" si="21"/>
        <v>2071.67</v>
      </c>
      <c r="F434" s="4">
        <f t="shared" si="19"/>
        <v>49.425000000000182</v>
      </c>
      <c r="G434" s="4">
        <f t="shared" si="20"/>
        <v>-49.425000000000182</v>
      </c>
    </row>
    <row r="435" spans="1:7" x14ac:dyDescent="0.3">
      <c r="A435" s="2">
        <v>43500</v>
      </c>
      <c r="B435" s="1">
        <v>42.8125</v>
      </c>
      <c r="C435" s="1">
        <v>1633.31</v>
      </c>
      <c r="D435" s="1">
        <v>169.25</v>
      </c>
      <c r="E435" s="3">
        <f t="shared" si="21"/>
        <v>2022.2449999999999</v>
      </c>
      <c r="F435" s="4">
        <f t="shared" si="19"/>
        <v>2.4850000000001273</v>
      </c>
      <c r="G435" s="4">
        <f t="shared" si="20"/>
        <v>-2.4850000000001273</v>
      </c>
    </row>
    <row r="436" spans="1:7" x14ac:dyDescent="0.3">
      <c r="A436" s="2">
        <v>43497</v>
      </c>
      <c r="B436" s="1">
        <v>41.63</v>
      </c>
      <c r="C436" s="1">
        <v>1626.23</v>
      </c>
      <c r="D436" s="1">
        <v>165.71</v>
      </c>
      <c r="E436" s="3">
        <f t="shared" si="21"/>
        <v>2019.7599999999998</v>
      </c>
      <c r="F436" s="4">
        <f t="shared" si="19"/>
        <v>-164.40000000000009</v>
      </c>
      <c r="G436" s="4">
        <f t="shared" si="20"/>
        <v>164.40000000000009</v>
      </c>
    </row>
    <row r="437" spans="1:7" x14ac:dyDescent="0.3">
      <c r="A437" s="2">
        <v>43496</v>
      </c>
      <c r="B437" s="1">
        <v>41.61</v>
      </c>
      <c r="C437" s="1">
        <v>1718.73</v>
      </c>
      <c r="D437" s="1">
        <v>166.69</v>
      </c>
      <c r="E437" s="3">
        <f t="shared" si="21"/>
        <v>2184.16</v>
      </c>
      <c r="F437" s="4">
        <f t="shared" si="19"/>
        <v>-213.92500000000109</v>
      </c>
      <c r="G437" s="4">
        <f t="shared" si="20"/>
        <v>213.92500000000109</v>
      </c>
    </row>
    <row r="438" spans="1:7" x14ac:dyDescent="0.3">
      <c r="A438" s="2">
        <v>43495</v>
      </c>
      <c r="B438" s="1">
        <v>41.3125</v>
      </c>
      <c r="C438" s="1">
        <v>1670.43</v>
      </c>
      <c r="D438" s="1">
        <v>150.41999999999999</v>
      </c>
      <c r="E438" s="3">
        <f t="shared" si="21"/>
        <v>2398.0850000000009</v>
      </c>
      <c r="F438" s="4">
        <f t="shared" si="19"/>
        <v>160.62500000000091</v>
      </c>
      <c r="G438" s="4">
        <f t="shared" si="20"/>
        <v>-160.62500000000091</v>
      </c>
    </row>
    <row r="439" spans="1:7" x14ac:dyDescent="0.3">
      <c r="A439" s="2">
        <v>43494</v>
      </c>
      <c r="B439" s="1">
        <v>38.67</v>
      </c>
      <c r="C439" s="1">
        <v>1593.88</v>
      </c>
      <c r="D439" s="1">
        <v>144.19</v>
      </c>
      <c r="E439" s="3">
        <f t="shared" si="21"/>
        <v>2237.46</v>
      </c>
      <c r="F439" s="4">
        <f t="shared" si="19"/>
        <v>-42.670000000000528</v>
      </c>
      <c r="G439" s="4">
        <f t="shared" si="20"/>
        <v>42.670000000000528</v>
      </c>
    </row>
    <row r="440" spans="1:7" x14ac:dyDescent="0.3">
      <c r="A440" s="2">
        <v>43493</v>
      </c>
      <c r="B440" s="1">
        <v>39.075000000000003</v>
      </c>
      <c r="C440" s="1">
        <v>1637.89</v>
      </c>
      <c r="D440" s="1">
        <v>147.47</v>
      </c>
      <c r="E440" s="3">
        <f t="shared" si="21"/>
        <v>2280.1300000000006</v>
      </c>
      <c r="F440" s="4">
        <f t="shared" si="19"/>
        <v>-52.809999999999036</v>
      </c>
      <c r="G440" s="4">
        <f t="shared" si="20"/>
        <v>52.809999999999036</v>
      </c>
    </row>
    <row r="441" spans="1:7" x14ac:dyDescent="0.3">
      <c r="A441" s="2">
        <v>43490</v>
      </c>
      <c r="B441" s="1">
        <v>39.44</v>
      </c>
      <c r="C441" s="1">
        <v>1670.57</v>
      </c>
      <c r="D441" s="1">
        <v>149.01</v>
      </c>
      <c r="E441" s="3">
        <f t="shared" si="21"/>
        <v>2332.9399999999996</v>
      </c>
      <c r="F441" s="4">
        <f t="shared" si="19"/>
        <v>30.930000000000291</v>
      </c>
      <c r="G441" s="4">
        <f t="shared" si="20"/>
        <v>-30.930000000000291</v>
      </c>
    </row>
    <row r="442" spans="1:7" x14ac:dyDescent="0.3">
      <c r="A442" s="2">
        <v>43489</v>
      </c>
      <c r="B442" s="1">
        <v>38.174999999999997</v>
      </c>
      <c r="C442" s="1">
        <v>1654.93</v>
      </c>
      <c r="D442" s="1">
        <v>145.83000000000001</v>
      </c>
      <c r="E442" s="3">
        <f t="shared" si="21"/>
        <v>2302.0099999999993</v>
      </c>
      <c r="F442" s="4">
        <f t="shared" si="19"/>
        <v>-16.030000000000655</v>
      </c>
      <c r="G442" s="4">
        <f t="shared" si="20"/>
        <v>16.030000000000655</v>
      </c>
    </row>
    <row r="443" spans="1:7" x14ac:dyDescent="0.3">
      <c r="A443" s="2">
        <v>43488</v>
      </c>
      <c r="B443" s="1">
        <v>38.479999999999997</v>
      </c>
      <c r="C443" s="1">
        <v>1640.02</v>
      </c>
      <c r="D443" s="1">
        <v>144.30000000000001</v>
      </c>
      <c r="E443" s="3">
        <f t="shared" si="21"/>
        <v>2318.04</v>
      </c>
      <c r="F443" s="4">
        <f t="shared" si="19"/>
        <v>88.849999999999454</v>
      </c>
      <c r="G443" s="4">
        <f t="shared" si="20"/>
        <v>-88.849999999999454</v>
      </c>
    </row>
    <row r="444" spans="1:7" x14ac:dyDescent="0.3">
      <c r="A444" s="2">
        <v>43487</v>
      </c>
      <c r="B444" s="1">
        <v>38.325000000000003</v>
      </c>
      <c r="C444" s="1">
        <v>1632.17</v>
      </c>
      <c r="D444" s="1">
        <v>147.57</v>
      </c>
      <c r="E444" s="3">
        <f t="shared" si="21"/>
        <v>2229.1900000000005</v>
      </c>
      <c r="F444" s="4">
        <f t="shared" si="19"/>
        <v>-122.6599999999994</v>
      </c>
      <c r="G444" s="4">
        <f t="shared" si="20"/>
        <v>122.6599999999994</v>
      </c>
    </row>
    <row r="445" spans="1:7" x14ac:dyDescent="0.3">
      <c r="A445" s="2">
        <v>43486</v>
      </c>
      <c r="B445" s="1">
        <v>39.204999999999998</v>
      </c>
      <c r="C445" s="1">
        <v>1696.2</v>
      </c>
      <c r="D445" s="1">
        <v>150.04</v>
      </c>
      <c r="E445" s="3">
        <f t="shared" si="21"/>
        <v>2351.85</v>
      </c>
      <c r="F445" s="4">
        <f t="shared" si="19"/>
        <v>0</v>
      </c>
      <c r="G445" s="4">
        <f t="shared" si="20"/>
        <v>0</v>
      </c>
    </row>
    <row r="446" spans="1:7" x14ac:dyDescent="0.3">
      <c r="A446" s="2">
        <v>43483</v>
      </c>
      <c r="B446" s="1">
        <v>39.204999999999998</v>
      </c>
      <c r="C446" s="1">
        <v>1696.2</v>
      </c>
      <c r="D446" s="1">
        <v>150.04</v>
      </c>
      <c r="E446" s="3">
        <f t="shared" si="21"/>
        <v>2351.85</v>
      </c>
      <c r="F446" s="4">
        <f t="shared" si="19"/>
        <v>-16.8400000000006</v>
      </c>
      <c r="G446" s="4">
        <f t="shared" si="20"/>
        <v>16.8400000000006</v>
      </c>
    </row>
    <row r="447" spans="1:7" x14ac:dyDescent="0.3">
      <c r="A447" s="2">
        <v>43482</v>
      </c>
      <c r="B447" s="1">
        <v>38.965000000000003</v>
      </c>
      <c r="C447" s="1">
        <v>1693.22</v>
      </c>
      <c r="D447" s="1">
        <v>148.30000000000001</v>
      </c>
      <c r="E447" s="3">
        <f t="shared" si="21"/>
        <v>2368.6900000000005</v>
      </c>
      <c r="F447" s="4">
        <f t="shared" si="19"/>
        <v>15.180000000000746</v>
      </c>
      <c r="G447" s="4">
        <f t="shared" si="20"/>
        <v>-15.180000000000746</v>
      </c>
    </row>
    <row r="448" spans="1:7" x14ac:dyDescent="0.3">
      <c r="A448" s="2">
        <v>43481</v>
      </c>
      <c r="B448" s="1">
        <v>38.734999999999999</v>
      </c>
      <c r="C448" s="1">
        <v>1683.78</v>
      </c>
      <c r="D448" s="1">
        <v>147.54</v>
      </c>
      <c r="E448" s="3">
        <f t="shared" si="21"/>
        <v>2353.5099999999998</v>
      </c>
      <c r="F448" s="4">
        <f t="shared" si="19"/>
        <v>70.014999999999873</v>
      </c>
      <c r="G448" s="4">
        <f t="shared" si="20"/>
        <v>-70.014999999999873</v>
      </c>
    </row>
    <row r="449" spans="1:7" x14ac:dyDescent="0.3">
      <c r="A449" s="2">
        <v>43480</v>
      </c>
      <c r="B449" s="1">
        <v>38.267499999999998</v>
      </c>
      <c r="C449" s="1">
        <v>1674.56</v>
      </c>
      <c r="D449" s="1">
        <v>148.94999999999999</v>
      </c>
      <c r="E449" s="3">
        <f t="shared" si="21"/>
        <v>2283.4949999999999</v>
      </c>
      <c r="F449" s="4">
        <f t="shared" si="19"/>
        <v>81.874999999999545</v>
      </c>
      <c r="G449" s="4">
        <f t="shared" si="20"/>
        <v>-81.874999999999545</v>
      </c>
    </row>
    <row r="450" spans="1:7" x14ac:dyDescent="0.3">
      <c r="A450" s="2">
        <v>43479</v>
      </c>
      <c r="B450" s="1">
        <v>37.5</v>
      </c>
      <c r="C450" s="1">
        <v>1617.21</v>
      </c>
      <c r="D450" s="1">
        <v>145.38999999999999</v>
      </c>
      <c r="E450" s="3">
        <f t="shared" si="21"/>
        <v>2201.6200000000003</v>
      </c>
      <c r="F450" s="4">
        <f t="shared" si="19"/>
        <v>-107.12499999999955</v>
      </c>
      <c r="G450" s="4">
        <f t="shared" si="20"/>
        <v>107.12499999999955</v>
      </c>
    </row>
    <row r="451" spans="1:7" x14ac:dyDescent="0.3">
      <c r="A451" s="2">
        <v>43476</v>
      </c>
      <c r="B451" s="1">
        <v>38.072499999999998</v>
      </c>
      <c r="C451" s="1">
        <v>1640.56</v>
      </c>
      <c r="D451" s="1">
        <v>143.80000000000001</v>
      </c>
      <c r="E451" s="3">
        <f t="shared" si="21"/>
        <v>2308.7449999999999</v>
      </c>
      <c r="F451" s="4">
        <f t="shared" si="19"/>
        <v>-42.195000000000618</v>
      </c>
      <c r="G451" s="4">
        <f t="shared" si="20"/>
        <v>42.195000000000618</v>
      </c>
    </row>
    <row r="452" spans="1:7" x14ac:dyDescent="0.3">
      <c r="A452" s="2">
        <v>43475</v>
      </c>
      <c r="B452" s="1">
        <v>38.450000000000003</v>
      </c>
      <c r="C452" s="1">
        <v>1656.22</v>
      </c>
      <c r="D452" s="1">
        <v>144.19999999999999</v>
      </c>
      <c r="E452" s="3">
        <f t="shared" si="21"/>
        <v>2350.9400000000005</v>
      </c>
      <c r="F452" s="4">
        <f t="shared" si="19"/>
        <v>0.32500000000027285</v>
      </c>
      <c r="G452" s="4">
        <f t="shared" si="20"/>
        <v>-0.32500000000027285</v>
      </c>
    </row>
    <row r="453" spans="1:7" x14ac:dyDescent="0.3">
      <c r="A453" s="2">
        <v>43474</v>
      </c>
      <c r="B453" s="1">
        <v>38.327500000000001</v>
      </c>
      <c r="C453" s="1">
        <v>1659.42</v>
      </c>
      <c r="D453" s="1">
        <v>144.22999999999999</v>
      </c>
      <c r="E453" s="3">
        <f t="shared" si="21"/>
        <v>2350.6150000000002</v>
      </c>
      <c r="F453" s="4">
        <f t="shared" ref="F453:F516" si="22">E453-E454</f>
        <v>3.680000000000291</v>
      </c>
      <c r="G453" s="4">
        <f t="shared" ref="G453:G516" si="23">-F453</f>
        <v>-3.680000000000291</v>
      </c>
    </row>
    <row r="454" spans="1:7" x14ac:dyDescent="0.3">
      <c r="A454" s="2">
        <v>43473</v>
      </c>
      <c r="B454" s="1">
        <v>37.6875</v>
      </c>
      <c r="C454" s="1">
        <v>1656.58</v>
      </c>
      <c r="D454" s="1">
        <v>142.53</v>
      </c>
      <c r="E454" s="3">
        <f t="shared" ref="E454:E517" si="24">50*B454+2*C454-20*D454</f>
        <v>2346.9349999999999</v>
      </c>
      <c r="F454" s="4">
        <f t="shared" si="22"/>
        <v>-0.21000000000049113</v>
      </c>
      <c r="G454" s="4">
        <f t="shared" si="23"/>
        <v>0.21000000000049113</v>
      </c>
    </row>
    <row r="455" spans="1:7" x14ac:dyDescent="0.3">
      <c r="A455" s="2">
        <v>43472</v>
      </c>
      <c r="B455" s="1">
        <v>36.982500000000002</v>
      </c>
      <c r="C455" s="1">
        <v>1629.51</v>
      </c>
      <c r="D455" s="1">
        <v>138.05000000000001</v>
      </c>
      <c r="E455" s="3">
        <f t="shared" si="24"/>
        <v>2347.1450000000004</v>
      </c>
      <c r="F455" s="4">
        <f t="shared" si="22"/>
        <v>102.11499999999978</v>
      </c>
      <c r="G455" s="4">
        <f t="shared" si="23"/>
        <v>-102.11499999999978</v>
      </c>
    </row>
    <row r="456" spans="1:7" x14ac:dyDescent="0.3">
      <c r="A456" s="2">
        <v>43469</v>
      </c>
      <c r="B456" s="1">
        <v>37.064999999999998</v>
      </c>
      <c r="C456" s="1">
        <v>1575.39</v>
      </c>
      <c r="D456" s="1">
        <v>137.94999999999999</v>
      </c>
      <c r="E456" s="3">
        <f t="shared" si="24"/>
        <v>2245.0300000000007</v>
      </c>
      <c r="F456" s="4">
        <f t="shared" si="22"/>
        <v>101.89500000000135</v>
      </c>
      <c r="G456" s="4">
        <f t="shared" si="23"/>
        <v>-101.89500000000135</v>
      </c>
    </row>
    <row r="457" spans="1:7" x14ac:dyDescent="0.3">
      <c r="A457" s="2">
        <v>43468</v>
      </c>
      <c r="B457" s="1">
        <v>35.547499999999999</v>
      </c>
      <c r="C457" s="1">
        <v>1500.28</v>
      </c>
      <c r="D457" s="1">
        <v>131.74</v>
      </c>
      <c r="E457" s="3">
        <f t="shared" si="24"/>
        <v>2143.1349999999993</v>
      </c>
      <c r="F457" s="4">
        <f t="shared" si="22"/>
        <v>-195.52500000000055</v>
      </c>
      <c r="G457" s="4">
        <f t="shared" si="23"/>
        <v>195.52500000000055</v>
      </c>
    </row>
    <row r="458" spans="1:7" x14ac:dyDescent="0.3">
      <c r="A458" s="2">
        <v>43467</v>
      </c>
      <c r="B458" s="1">
        <v>39.479999999999997</v>
      </c>
      <c r="C458" s="1">
        <v>1539.13</v>
      </c>
      <c r="D458" s="1">
        <v>135.68</v>
      </c>
      <c r="E458" s="3">
        <f t="shared" si="24"/>
        <v>2338.66</v>
      </c>
      <c r="F458" s="4">
        <f t="shared" si="22"/>
        <v>-15.230000000000473</v>
      </c>
      <c r="G458" s="4">
        <f t="shared" si="23"/>
        <v>15.230000000000473</v>
      </c>
    </row>
    <row r="459" spans="1:7" x14ac:dyDescent="0.3">
      <c r="A459" s="2">
        <v>43466</v>
      </c>
      <c r="B459" s="1">
        <v>39.435000000000002</v>
      </c>
      <c r="C459" s="1">
        <v>1501.97</v>
      </c>
      <c r="D459" s="1">
        <v>131.09</v>
      </c>
      <c r="E459" s="3">
        <f t="shared" si="24"/>
        <v>2353.8900000000003</v>
      </c>
      <c r="F459" s="4">
        <f t="shared" si="22"/>
        <v>0</v>
      </c>
      <c r="G459" s="4">
        <f t="shared" si="23"/>
        <v>0</v>
      </c>
    </row>
    <row r="460" spans="1:7" x14ac:dyDescent="0.3">
      <c r="A460" s="2">
        <v>43465</v>
      </c>
      <c r="B460" s="1">
        <v>39.435000000000002</v>
      </c>
      <c r="C460" s="1">
        <v>1501.97</v>
      </c>
      <c r="D460" s="1">
        <v>131.09</v>
      </c>
      <c r="E460" s="3">
        <f t="shared" si="24"/>
        <v>2353.8900000000003</v>
      </c>
      <c r="F460" s="4">
        <f t="shared" si="22"/>
        <v>108.97500000000036</v>
      </c>
      <c r="G460" s="4">
        <f t="shared" si="23"/>
        <v>-108.97500000000036</v>
      </c>
    </row>
    <row r="461" spans="1:7" x14ac:dyDescent="0.3">
      <c r="A461" s="2">
        <v>43462</v>
      </c>
      <c r="B461" s="1">
        <v>39.057499999999997</v>
      </c>
      <c r="C461" s="1">
        <v>1478.02</v>
      </c>
      <c r="D461" s="1">
        <v>133.19999999999999</v>
      </c>
      <c r="E461" s="3">
        <f t="shared" si="24"/>
        <v>2244.915</v>
      </c>
      <c r="F461" s="4">
        <f t="shared" si="22"/>
        <v>60.1599999999994</v>
      </c>
      <c r="G461" s="4">
        <f t="shared" si="23"/>
        <v>-60.1599999999994</v>
      </c>
    </row>
    <row r="462" spans="1:7" x14ac:dyDescent="0.3">
      <c r="A462" s="2">
        <v>43461</v>
      </c>
      <c r="B462" s="1">
        <v>39.037500000000001</v>
      </c>
      <c r="C462" s="1">
        <v>1461.64</v>
      </c>
      <c r="D462" s="1">
        <v>134.52000000000001</v>
      </c>
      <c r="E462" s="3">
        <f t="shared" si="24"/>
        <v>2184.7550000000006</v>
      </c>
      <c r="F462" s="4">
        <f t="shared" si="22"/>
        <v>-38.069999999999254</v>
      </c>
      <c r="G462" s="4">
        <f t="shared" si="23"/>
        <v>38.069999999999254</v>
      </c>
    </row>
    <row r="463" spans="1:7" x14ac:dyDescent="0.3">
      <c r="A463" s="2">
        <v>43460</v>
      </c>
      <c r="B463" s="1">
        <v>39.292499999999997</v>
      </c>
      <c r="C463" s="1">
        <v>1470.9</v>
      </c>
      <c r="D463" s="1">
        <v>134.18</v>
      </c>
      <c r="E463" s="3">
        <f t="shared" si="24"/>
        <v>2222.8249999999998</v>
      </c>
      <c r="F463" s="4">
        <f t="shared" si="22"/>
        <v>180.72999999999956</v>
      </c>
      <c r="G463" s="4">
        <f t="shared" si="23"/>
        <v>-180.72999999999956</v>
      </c>
    </row>
    <row r="464" spans="1:7" x14ac:dyDescent="0.3">
      <c r="A464" s="2">
        <v>43459</v>
      </c>
      <c r="B464" s="1">
        <v>36.707500000000003</v>
      </c>
      <c r="C464" s="1">
        <v>1343.96</v>
      </c>
      <c r="D464" s="1">
        <v>124.06</v>
      </c>
      <c r="E464" s="3">
        <f t="shared" si="24"/>
        <v>2042.0950000000003</v>
      </c>
      <c r="F464" s="4">
        <f t="shared" si="22"/>
        <v>0</v>
      </c>
      <c r="G464" s="4">
        <f t="shared" si="23"/>
        <v>0</v>
      </c>
    </row>
    <row r="465" spans="1:7" x14ac:dyDescent="0.3">
      <c r="A465" s="2">
        <v>43458</v>
      </c>
      <c r="B465" s="1">
        <v>36.707500000000003</v>
      </c>
      <c r="C465" s="1">
        <v>1343.96</v>
      </c>
      <c r="D465" s="1">
        <v>124.06</v>
      </c>
      <c r="E465" s="3">
        <f t="shared" si="24"/>
        <v>2042.0950000000003</v>
      </c>
      <c r="F465" s="4">
        <f t="shared" si="22"/>
        <v>-97.929999999999382</v>
      </c>
      <c r="G465" s="4">
        <f t="shared" si="23"/>
        <v>97.929999999999382</v>
      </c>
    </row>
    <row r="466" spans="1:7" x14ac:dyDescent="0.3">
      <c r="A466" s="2">
        <v>43455</v>
      </c>
      <c r="B466" s="1">
        <v>37.682499999999997</v>
      </c>
      <c r="C466" s="1">
        <v>1377.45</v>
      </c>
      <c r="D466" s="1">
        <v>124.95</v>
      </c>
      <c r="E466" s="3">
        <f t="shared" si="24"/>
        <v>2140.0249999999996</v>
      </c>
      <c r="F466" s="4">
        <f t="shared" si="22"/>
        <v>-74.010000000000218</v>
      </c>
      <c r="G466" s="4">
        <f t="shared" si="23"/>
        <v>74.010000000000218</v>
      </c>
    </row>
    <row r="467" spans="1:7" x14ac:dyDescent="0.3">
      <c r="A467" s="2">
        <v>43454</v>
      </c>
      <c r="B467" s="1">
        <v>39.207500000000003</v>
      </c>
      <c r="C467" s="1">
        <v>1460.83</v>
      </c>
      <c r="D467" s="1">
        <v>133.4</v>
      </c>
      <c r="E467" s="3">
        <f t="shared" si="24"/>
        <v>2214.0349999999999</v>
      </c>
      <c r="F467" s="4">
        <f t="shared" si="22"/>
        <v>-122.44999999999982</v>
      </c>
      <c r="G467" s="4">
        <f t="shared" si="23"/>
        <v>122.44999999999982</v>
      </c>
    </row>
    <row r="468" spans="1:7" x14ac:dyDescent="0.3">
      <c r="A468" s="2">
        <v>43453</v>
      </c>
      <c r="B468" s="1">
        <v>40.222499999999997</v>
      </c>
      <c r="C468" s="1">
        <v>1495.08</v>
      </c>
      <c r="D468" s="1">
        <v>133.24</v>
      </c>
      <c r="E468" s="3">
        <f t="shared" si="24"/>
        <v>2336.4849999999997</v>
      </c>
      <c r="F468" s="4">
        <f t="shared" si="22"/>
        <v>30.849999999999454</v>
      </c>
      <c r="G468" s="4">
        <f t="shared" si="23"/>
        <v>-30.849999999999454</v>
      </c>
    </row>
    <row r="469" spans="1:7" x14ac:dyDescent="0.3">
      <c r="A469" s="2">
        <v>43452</v>
      </c>
      <c r="B469" s="1">
        <v>41.517499999999998</v>
      </c>
      <c r="C469" s="1">
        <v>1551.48</v>
      </c>
      <c r="D469" s="1">
        <v>143.66</v>
      </c>
      <c r="E469" s="3">
        <f t="shared" si="24"/>
        <v>2305.6350000000002</v>
      </c>
      <c r="F469" s="4">
        <f t="shared" si="22"/>
        <v>18.365000000000691</v>
      </c>
      <c r="G469" s="4">
        <f t="shared" si="23"/>
        <v>-18.365000000000691</v>
      </c>
    </row>
    <row r="470" spans="1:7" x14ac:dyDescent="0.3">
      <c r="A470" s="2">
        <v>43451</v>
      </c>
      <c r="B470" s="1">
        <v>40.984999999999999</v>
      </c>
      <c r="C470" s="1">
        <v>1520.91</v>
      </c>
      <c r="D470" s="1">
        <v>140.19</v>
      </c>
      <c r="E470" s="3">
        <f t="shared" si="24"/>
        <v>2287.2699999999995</v>
      </c>
      <c r="F470" s="4">
        <f t="shared" si="22"/>
        <v>-83.850000000000364</v>
      </c>
      <c r="G470" s="4">
        <f t="shared" si="23"/>
        <v>83.850000000000364</v>
      </c>
    </row>
    <row r="471" spans="1:7" x14ac:dyDescent="0.3">
      <c r="A471" s="2">
        <v>43448</v>
      </c>
      <c r="B471" s="1">
        <v>41.37</v>
      </c>
      <c r="C471" s="1">
        <v>1591.91</v>
      </c>
      <c r="D471" s="1">
        <v>144.06</v>
      </c>
      <c r="E471" s="3">
        <f t="shared" si="24"/>
        <v>2371.12</v>
      </c>
      <c r="F471" s="4">
        <f t="shared" si="22"/>
        <v>-182.31500000000051</v>
      </c>
      <c r="G471" s="4">
        <f t="shared" si="23"/>
        <v>182.31500000000051</v>
      </c>
    </row>
    <row r="472" spans="1:7" x14ac:dyDescent="0.3">
      <c r="A472" s="2">
        <v>43447</v>
      </c>
      <c r="B472" s="1">
        <v>42.737499999999997</v>
      </c>
      <c r="C472" s="1">
        <v>1658.38</v>
      </c>
      <c r="D472" s="1">
        <v>145.01</v>
      </c>
      <c r="E472" s="3">
        <f t="shared" si="24"/>
        <v>2553.4350000000004</v>
      </c>
      <c r="F472" s="4">
        <f t="shared" si="22"/>
        <v>2.6050000000004729</v>
      </c>
      <c r="G472" s="4">
        <f t="shared" si="23"/>
        <v>-2.6050000000004729</v>
      </c>
    </row>
    <row r="473" spans="1:7" x14ac:dyDescent="0.3">
      <c r="A473" s="2">
        <v>43446</v>
      </c>
      <c r="B473" s="1">
        <v>42.274999999999999</v>
      </c>
      <c r="C473" s="1">
        <v>1663.54</v>
      </c>
      <c r="D473" s="1">
        <v>144.5</v>
      </c>
      <c r="E473" s="3">
        <f t="shared" si="24"/>
        <v>2550.83</v>
      </c>
      <c r="F473" s="4">
        <f t="shared" si="22"/>
        <v>-1.9249999999992724</v>
      </c>
      <c r="G473" s="4">
        <f t="shared" si="23"/>
        <v>1.9249999999992724</v>
      </c>
    </row>
    <row r="474" spans="1:7" x14ac:dyDescent="0.3">
      <c r="A474" s="2">
        <v>43445</v>
      </c>
      <c r="B474" s="1">
        <v>42.157499999999999</v>
      </c>
      <c r="C474" s="1">
        <v>1643.24</v>
      </c>
      <c r="D474" s="1">
        <v>142.08000000000001</v>
      </c>
      <c r="E474" s="3">
        <f t="shared" si="24"/>
        <v>2552.7549999999992</v>
      </c>
      <c r="F474" s="4">
        <f t="shared" si="22"/>
        <v>-12.305000000000291</v>
      </c>
      <c r="G474" s="4">
        <f t="shared" si="23"/>
        <v>12.305000000000291</v>
      </c>
    </row>
    <row r="475" spans="1:7" x14ac:dyDescent="0.3">
      <c r="A475" s="2">
        <v>43444</v>
      </c>
      <c r="B475" s="1">
        <v>42.4</v>
      </c>
      <c r="C475" s="1">
        <v>1641.03</v>
      </c>
      <c r="D475" s="1">
        <v>141.85</v>
      </c>
      <c r="E475" s="3">
        <f t="shared" si="24"/>
        <v>2565.0599999999995</v>
      </c>
      <c r="F475" s="4">
        <f t="shared" si="22"/>
        <v>-50.925000000001091</v>
      </c>
      <c r="G475" s="4">
        <f t="shared" si="23"/>
        <v>50.925000000001091</v>
      </c>
    </row>
    <row r="476" spans="1:7" x14ac:dyDescent="0.3">
      <c r="A476" s="2">
        <v>43441</v>
      </c>
      <c r="B476" s="1">
        <v>42.122500000000002</v>
      </c>
      <c r="C476" s="1">
        <v>1629.13</v>
      </c>
      <c r="D476" s="1">
        <v>137.41999999999999</v>
      </c>
      <c r="E476" s="3">
        <f t="shared" si="24"/>
        <v>2615.9850000000006</v>
      </c>
      <c r="F476" s="4">
        <f t="shared" si="22"/>
        <v>-173.79499999999962</v>
      </c>
      <c r="G476" s="4">
        <f t="shared" si="23"/>
        <v>173.79499999999962</v>
      </c>
    </row>
    <row r="477" spans="1:7" x14ac:dyDescent="0.3">
      <c r="A477" s="2">
        <v>43440</v>
      </c>
      <c r="B477" s="1">
        <v>43.68</v>
      </c>
      <c r="C477" s="1">
        <v>1699.19</v>
      </c>
      <c r="D477" s="1">
        <v>139.63</v>
      </c>
      <c r="E477" s="3">
        <f t="shared" si="24"/>
        <v>2789.78</v>
      </c>
      <c r="F477" s="4">
        <f t="shared" si="22"/>
        <v>2.955000000000382</v>
      </c>
      <c r="G477" s="4">
        <f t="shared" si="23"/>
        <v>-2.955000000000382</v>
      </c>
    </row>
    <row r="478" spans="1:7" x14ac:dyDescent="0.3">
      <c r="A478" s="2">
        <v>43439</v>
      </c>
      <c r="B478" s="1">
        <v>44.172499999999999</v>
      </c>
      <c r="C478" s="1">
        <v>1668.4</v>
      </c>
      <c r="D478" s="1">
        <v>137.93</v>
      </c>
      <c r="E478" s="3">
        <f t="shared" si="24"/>
        <v>2786.8249999999998</v>
      </c>
      <c r="F478" s="4">
        <f t="shared" si="22"/>
        <v>0</v>
      </c>
      <c r="G478" s="4">
        <f t="shared" si="23"/>
        <v>0</v>
      </c>
    </row>
    <row r="479" spans="1:7" x14ac:dyDescent="0.3">
      <c r="A479" s="2">
        <v>43438</v>
      </c>
      <c r="B479" s="1">
        <v>44.172499999999999</v>
      </c>
      <c r="C479" s="1">
        <v>1668.4</v>
      </c>
      <c r="D479" s="1">
        <v>137.93</v>
      </c>
      <c r="E479" s="3">
        <f t="shared" si="24"/>
        <v>2786.8249999999998</v>
      </c>
      <c r="F479" s="4">
        <f t="shared" si="22"/>
        <v>-246.34499999999935</v>
      </c>
      <c r="G479" s="4">
        <f t="shared" si="23"/>
        <v>246.34499999999935</v>
      </c>
    </row>
    <row r="480" spans="1:7" x14ac:dyDescent="0.3">
      <c r="A480" s="2">
        <v>43437</v>
      </c>
      <c r="B480" s="1">
        <v>46.204999999999998</v>
      </c>
      <c r="C480" s="1">
        <v>1772.36</v>
      </c>
      <c r="D480" s="1">
        <v>141.09</v>
      </c>
      <c r="E480" s="3">
        <f t="shared" si="24"/>
        <v>3033.1699999999992</v>
      </c>
      <c r="F480" s="4">
        <f t="shared" si="22"/>
        <v>232.77999999999929</v>
      </c>
      <c r="G480" s="4">
        <f t="shared" si="23"/>
        <v>-232.77999999999929</v>
      </c>
    </row>
    <row r="481" spans="1:7" x14ac:dyDescent="0.3">
      <c r="A481" s="2">
        <v>43434</v>
      </c>
      <c r="B481" s="1">
        <v>44.645000000000003</v>
      </c>
      <c r="C481" s="1">
        <v>1690.17</v>
      </c>
      <c r="D481" s="1">
        <v>140.61000000000001</v>
      </c>
      <c r="E481" s="3">
        <f t="shared" si="24"/>
        <v>2800.39</v>
      </c>
      <c r="F481" s="4">
        <f t="shared" si="22"/>
        <v>-17.524999999999181</v>
      </c>
      <c r="G481" s="4">
        <f t="shared" si="23"/>
        <v>17.524999999999181</v>
      </c>
    </row>
    <row r="482" spans="1:7" x14ac:dyDescent="0.3">
      <c r="A482" s="2">
        <v>43433</v>
      </c>
      <c r="B482" s="1">
        <v>44.887500000000003</v>
      </c>
      <c r="C482" s="1">
        <v>1673.57</v>
      </c>
      <c r="D482" s="1">
        <v>138.68</v>
      </c>
      <c r="E482" s="3">
        <f t="shared" si="24"/>
        <v>2817.9149999999991</v>
      </c>
      <c r="F482" s="4">
        <f t="shared" si="22"/>
        <v>-64.135000000001128</v>
      </c>
      <c r="G482" s="4">
        <f t="shared" si="23"/>
        <v>64.135000000001128</v>
      </c>
    </row>
    <row r="483" spans="1:7" x14ac:dyDescent="0.3">
      <c r="A483" s="2">
        <v>43432</v>
      </c>
      <c r="B483" s="1">
        <v>45.234999999999999</v>
      </c>
      <c r="C483" s="1">
        <v>1677.75</v>
      </c>
      <c r="D483" s="1">
        <v>136.76</v>
      </c>
      <c r="E483" s="3">
        <f t="shared" si="24"/>
        <v>2882.05</v>
      </c>
      <c r="F483" s="4">
        <f t="shared" si="22"/>
        <v>241.21000000000004</v>
      </c>
      <c r="G483" s="4">
        <f t="shared" si="23"/>
        <v>-241.21000000000004</v>
      </c>
    </row>
    <row r="484" spans="1:7" x14ac:dyDescent="0.3">
      <c r="A484" s="2">
        <v>43431</v>
      </c>
      <c r="B484" s="1">
        <v>43.56</v>
      </c>
      <c r="C484" s="1">
        <v>1581.42</v>
      </c>
      <c r="D484" s="1">
        <v>135</v>
      </c>
      <c r="E484" s="3">
        <f t="shared" si="24"/>
        <v>2640.84</v>
      </c>
      <c r="F484" s="4">
        <f t="shared" si="22"/>
        <v>23.0300000000002</v>
      </c>
      <c r="G484" s="4">
        <f t="shared" si="23"/>
        <v>-23.0300000000002</v>
      </c>
    </row>
    <row r="485" spans="1:7" x14ac:dyDescent="0.3">
      <c r="A485" s="2">
        <v>43430</v>
      </c>
      <c r="B485" s="1">
        <v>43.655000000000001</v>
      </c>
      <c r="C485" s="1">
        <v>1581.33</v>
      </c>
      <c r="D485" s="1">
        <v>136.38</v>
      </c>
      <c r="E485" s="3">
        <f t="shared" si="24"/>
        <v>2617.81</v>
      </c>
      <c r="F485" s="4">
        <f t="shared" si="22"/>
        <v>94.664999999999964</v>
      </c>
      <c r="G485" s="4">
        <f t="shared" si="23"/>
        <v>-94.664999999999964</v>
      </c>
    </row>
    <row r="486" spans="1:7" x14ac:dyDescent="0.3">
      <c r="A486" s="2">
        <v>43427</v>
      </c>
      <c r="B486" s="1">
        <v>43.072499999999998</v>
      </c>
      <c r="C486" s="1">
        <v>1502.06</v>
      </c>
      <c r="D486" s="1">
        <v>131.72999999999999</v>
      </c>
      <c r="E486" s="3">
        <f t="shared" si="24"/>
        <v>2523.145</v>
      </c>
      <c r="F486" s="4">
        <f t="shared" si="22"/>
        <v>-23.665000000000418</v>
      </c>
      <c r="G486" s="4">
        <f t="shared" si="23"/>
        <v>23.665000000000418</v>
      </c>
    </row>
    <row r="487" spans="1:7" x14ac:dyDescent="0.3">
      <c r="A487" s="2">
        <v>43426</v>
      </c>
      <c r="B487" s="1">
        <v>44.195</v>
      </c>
      <c r="C487" s="1">
        <v>1516.73</v>
      </c>
      <c r="D487" s="1">
        <v>134.82</v>
      </c>
      <c r="E487" s="3">
        <f t="shared" si="24"/>
        <v>2546.8100000000004</v>
      </c>
      <c r="F487" s="4">
        <f t="shared" si="22"/>
        <v>0</v>
      </c>
      <c r="G487" s="4">
        <f t="shared" si="23"/>
        <v>0</v>
      </c>
    </row>
    <row r="488" spans="1:7" x14ac:dyDescent="0.3">
      <c r="A488" s="2">
        <v>43425</v>
      </c>
      <c r="B488" s="1">
        <v>44.195</v>
      </c>
      <c r="C488" s="1">
        <v>1516.73</v>
      </c>
      <c r="D488" s="1">
        <v>134.82</v>
      </c>
      <c r="E488" s="3">
        <f t="shared" si="24"/>
        <v>2546.8100000000004</v>
      </c>
      <c r="F488" s="4">
        <f t="shared" si="22"/>
        <v>-7.7599999999993088</v>
      </c>
      <c r="G488" s="4">
        <f t="shared" si="23"/>
        <v>7.7599999999993088</v>
      </c>
    </row>
    <row r="489" spans="1:7" x14ac:dyDescent="0.3">
      <c r="A489" s="2">
        <v>43424</v>
      </c>
      <c r="B489" s="1">
        <v>44.244999999999997</v>
      </c>
      <c r="C489" s="1">
        <v>1495.46</v>
      </c>
      <c r="D489" s="1">
        <v>132.43</v>
      </c>
      <c r="E489" s="3">
        <f t="shared" si="24"/>
        <v>2554.5699999999997</v>
      </c>
      <c r="F489" s="4">
        <f t="shared" si="22"/>
        <v>-162.26000000000022</v>
      </c>
      <c r="G489" s="4">
        <f t="shared" si="23"/>
        <v>162.26000000000022</v>
      </c>
    </row>
    <row r="490" spans="1:7" x14ac:dyDescent="0.3">
      <c r="A490" s="2">
        <v>43423</v>
      </c>
      <c r="B490" s="1">
        <v>46.465000000000003</v>
      </c>
      <c r="C490" s="1">
        <v>1512.29</v>
      </c>
      <c r="D490" s="1">
        <v>131.55000000000001</v>
      </c>
      <c r="E490" s="3">
        <f t="shared" si="24"/>
        <v>2716.83</v>
      </c>
      <c r="F490" s="4">
        <f t="shared" si="22"/>
        <v>-98.514999999999873</v>
      </c>
      <c r="G490" s="4">
        <f t="shared" si="23"/>
        <v>98.514999999999873</v>
      </c>
    </row>
    <row r="491" spans="1:7" x14ac:dyDescent="0.3">
      <c r="A491" s="2">
        <v>43420</v>
      </c>
      <c r="B491" s="1">
        <v>48.3825</v>
      </c>
      <c r="C491" s="1">
        <v>1593.41</v>
      </c>
      <c r="D491" s="1">
        <v>139.53</v>
      </c>
      <c r="E491" s="3">
        <f t="shared" si="24"/>
        <v>2815.3449999999998</v>
      </c>
      <c r="F491" s="4">
        <f t="shared" si="22"/>
        <v>60.839999999999691</v>
      </c>
      <c r="G491" s="4">
        <f t="shared" si="23"/>
        <v>-60.839999999999691</v>
      </c>
    </row>
    <row r="492" spans="1:7" x14ac:dyDescent="0.3">
      <c r="A492" s="2">
        <v>43419</v>
      </c>
      <c r="B492" s="1">
        <v>47.852499999999999</v>
      </c>
      <c r="C492" s="1">
        <v>1619.44</v>
      </c>
      <c r="D492" s="1">
        <v>143.85</v>
      </c>
      <c r="E492" s="3">
        <f t="shared" si="24"/>
        <v>2754.5050000000001</v>
      </c>
      <c r="F492" s="4">
        <f t="shared" si="22"/>
        <v>105.88499999999976</v>
      </c>
      <c r="G492" s="4">
        <f t="shared" si="23"/>
        <v>-105.88499999999976</v>
      </c>
    </row>
    <row r="493" spans="1:7" x14ac:dyDescent="0.3">
      <c r="A493" s="2">
        <v>43418</v>
      </c>
      <c r="B493" s="1">
        <v>46.7</v>
      </c>
      <c r="C493" s="1">
        <v>1599.01</v>
      </c>
      <c r="D493" s="1">
        <v>144.22</v>
      </c>
      <c r="E493" s="3">
        <f t="shared" si="24"/>
        <v>2648.6200000000003</v>
      </c>
      <c r="F493" s="4">
        <f t="shared" si="22"/>
        <v>-173.39499999999998</v>
      </c>
      <c r="G493" s="4">
        <f t="shared" si="23"/>
        <v>173.39499999999998</v>
      </c>
    </row>
    <row r="494" spans="1:7" x14ac:dyDescent="0.3">
      <c r="A494" s="2">
        <v>43417</v>
      </c>
      <c r="B494" s="1">
        <v>48.057499999999997</v>
      </c>
      <c r="C494" s="1">
        <v>1631.17</v>
      </c>
      <c r="D494" s="1">
        <v>142.16</v>
      </c>
      <c r="E494" s="3">
        <f t="shared" si="24"/>
        <v>2822.0150000000003</v>
      </c>
      <c r="F494" s="4">
        <f t="shared" si="22"/>
        <v>-47.809999999999491</v>
      </c>
      <c r="G494" s="4">
        <f t="shared" si="23"/>
        <v>47.809999999999491</v>
      </c>
    </row>
    <row r="495" spans="1:7" x14ac:dyDescent="0.3">
      <c r="A495" s="2">
        <v>43416</v>
      </c>
      <c r="B495" s="1">
        <v>48.542499999999997</v>
      </c>
      <c r="C495" s="1">
        <v>1636.85</v>
      </c>
      <c r="D495" s="1">
        <v>141.55000000000001</v>
      </c>
      <c r="E495" s="3">
        <f t="shared" si="24"/>
        <v>2869.8249999999998</v>
      </c>
      <c r="F495" s="4">
        <f t="shared" si="22"/>
        <v>-211.71000000000049</v>
      </c>
      <c r="G495" s="4">
        <f t="shared" si="23"/>
        <v>211.71000000000049</v>
      </c>
    </row>
    <row r="496" spans="1:7" x14ac:dyDescent="0.3">
      <c r="A496" s="2">
        <v>43413</v>
      </c>
      <c r="B496" s="1">
        <v>51.1175</v>
      </c>
      <c r="C496" s="1">
        <v>1712.43</v>
      </c>
      <c r="D496" s="1">
        <v>144.96</v>
      </c>
      <c r="E496" s="3">
        <f t="shared" si="24"/>
        <v>3081.5350000000003</v>
      </c>
      <c r="F496" s="4">
        <f t="shared" si="22"/>
        <v>-77.009999999999309</v>
      </c>
      <c r="G496" s="4">
        <f t="shared" si="23"/>
        <v>77.009999999999309</v>
      </c>
    </row>
    <row r="497" spans="1:7" x14ac:dyDescent="0.3">
      <c r="A497" s="2">
        <v>43412</v>
      </c>
      <c r="B497" s="1">
        <v>52.122500000000002</v>
      </c>
      <c r="C497" s="1">
        <v>1754.91</v>
      </c>
      <c r="D497" s="1">
        <v>147.87</v>
      </c>
      <c r="E497" s="3">
        <f t="shared" si="24"/>
        <v>3158.5449999999996</v>
      </c>
      <c r="F497" s="4">
        <f t="shared" si="22"/>
        <v>53.789999999999964</v>
      </c>
      <c r="G497" s="4">
        <f t="shared" si="23"/>
        <v>-53.789999999999964</v>
      </c>
    </row>
    <row r="498" spans="1:7" x14ac:dyDescent="0.3">
      <c r="A498" s="2">
        <v>43411</v>
      </c>
      <c r="B498" s="1">
        <v>52.487499999999997</v>
      </c>
      <c r="C498" s="1">
        <v>1755.49</v>
      </c>
      <c r="D498" s="1">
        <v>151.53</v>
      </c>
      <c r="E498" s="3">
        <f t="shared" si="24"/>
        <v>3104.7549999999997</v>
      </c>
      <c r="F498" s="4">
        <f t="shared" si="22"/>
        <v>270.80999999999995</v>
      </c>
      <c r="G498" s="4">
        <f t="shared" si="23"/>
        <v>-270.80999999999995</v>
      </c>
    </row>
    <row r="499" spans="1:7" x14ac:dyDescent="0.3">
      <c r="A499" s="2">
        <v>43410</v>
      </c>
      <c r="B499" s="1">
        <v>50.942500000000003</v>
      </c>
      <c r="C499" s="1">
        <v>1642.81</v>
      </c>
      <c r="D499" s="1">
        <v>149.94</v>
      </c>
      <c r="E499" s="3">
        <f t="shared" si="24"/>
        <v>2833.9449999999997</v>
      </c>
      <c r="F499" s="4">
        <f t="shared" si="22"/>
        <v>32.069999999999709</v>
      </c>
      <c r="G499" s="4">
        <f t="shared" si="23"/>
        <v>-32.069999999999709</v>
      </c>
    </row>
    <row r="500" spans="1:7" x14ac:dyDescent="0.3">
      <c r="A500" s="2">
        <v>43409</v>
      </c>
      <c r="B500" s="1">
        <v>50.397500000000001</v>
      </c>
      <c r="C500" s="1">
        <v>1627.8</v>
      </c>
      <c r="D500" s="1">
        <v>148.68</v>
      </c>
      <c r="E500" s="3">
        <f t="shared" si="24"/>
        <v>2801.875</v>
      </c>
      <c r="F500" s="4">
        <f t="shared" si="22"/>
        <v>-115.68499999999949</v>
      </c>
      <c r="G500" s="4">
        <f t="shared" si="23"/>
        <v>115.68499999999949</v>
      </c>
    </row>
    <row r="501" spans="1:7" x14ac:dyDescent="0.3">
      <c r="A501" s="2">
        <v>43406</v>
      </c>
      <c r="B501" s="1">
        <v>51.87</v>
      </c>
      <c r="C501" s="1">
        <v>1665.53</v>
      </c>
      <c r="D501" s="1">
        <v>150.35</v>
      </c>
      <c r="E501" s="3">
        <f t="shared" si="24"/>
        <v>2917.5599999999995</v>
      </c>
      <c r="F501" s="4">
        <f t="shared" si="22"/>
        <v>-156.25</v>
      </c>
      <c r="G501" s="4">
        <f t="shared" si="23"/>
        <v>156.25</v>
      </c>
    </row>
    <row r="502" spans="1:7" x14ac:dyDescent="0.3">
      <c r="A502" s="2">
        <v>43405</v>
      </c>
      <c r="B502" s="1">
        <v>55.555</v>
      </c>
      <c r="C502" s="1">
        <v>1665.53</v>
      </c>
      <c r="D502" s="1">
        <v>151.75</v>
      </c>
      <c r="E502" s="3">
        <f t="shared" si="24"/>
        <v>3073.8099999999995</v>
      </c>
      <c r="F502" s="4">
        <f t="shared" si="22"/>
        <v>177.83999999999878</v>
      </c>
      <c r="G502" s="4">
        <f t="shared" si="23"/>
        <v>-177.83999999999878</v>
      </c>
    </row>
    <row r="503" spans="1:7" x14ac:dyDescent="0.3">
      <c r="A503" s="2">
        <v>43404</v>
      </c>
      <c r="B503" s="1">
        <v>54.715000000000003</v>
      </c>
      <c r="C503" s="1">
        <v>1598.01</v>
      </c>
      <c r="D503" s="1">
        <v>151.79</v>
      </c>
      <c r="E503" s="3">
        <f t="shared" si="24"/>
        <v>2895.9700000000007</v>
      </c>
      <c r="F503" s="4">
        <f t="shared" si="22"/>
        <v>93.280000000000655</v>
      </c>
      <c r="G503" s="4">
        <f t="shared" si="23"/>
        <v>-93.280000000000655</v>
      </c>
    </row>
    <row r="504" spans="1:7" x14ac:dyDescent="0.3">
      <c r="A504" s="2">
        <v>43403</v>
      </c>
      <c r="B504" s="1">
        <v>53.325000000000003</v>
      </c>
      <c r="C504" s="1">
        <v>1530.42</v>
      </c>
      <c r="D504" s="1">
        <v>146.22</v>
      </c>
      <c r="E504" s="3">
        <f t="shared" si="24"/>
        <v>2802.69</v>
      </c>
      <c r="F504" s="4">
        <f t="shared" si="22"/>
        <v>-86.269999999999982</v>
      </c>
      <c r="G504" s="4">
        <f t="shared" si="23"/>
        <v>86.269999999999982</v>
      </c>
    </row>
    <row r="505" spans="1:7" x14ac:dyDescent="0.3">
      <c r="A505" s="2">
        <v>43402</v>
      </c>
      <c r="B505" s="1">
        <v>53.06</v>
      </c>
      <c r="C505" s="1">
        <v>1538.88</v>
      </c>
      <c r="D505" s="1">
        <v>142.09</v>
      </c>
      <c r="E505" s="3">
        <f t="shared" si="24"/>
        <v>2888.96</v>
      </c>
      <c r="F505" s="4">
        <f t="shared" si="22"/>
        <v>-193.00999999999976</v>
      </c>
      <c r="G505" s="4">
        <f t="shared" si="23"/>
        <v>193.00999999999976</v>
      </c>
    </row>
    <row r="506" spans="1:7" x14ac:dyDescent="0.3">
      <c r="A506" s="2">
        <v>43399</v>
      </c>
      <c r="B506" s="1">
        <v>54.075000000000003</v>
      </c>
      <c r="C506" s="1">
        <v>1642.81</v>
      </c>
      <c r="D506" s="1">
        <v>145.37</v>
      </c>
      <c r="E506" s="3">
        <f t="shared" si="24"/>
        <v>3081.97</v>
      </c>
      <c r="F506" s="4">
        <f t="shared" si="22"/>
        <v>-210.87000000000035</v>
      </c>
      <c r="G506" s="4">
        <f t="shared" si="23"/>
        <v>210.87000000000035</v>
      </c>
    </row>
    <row r="507" spans="1:7" x14ac:dyDescent="0.3">
      <c r="A507" s="2">
        <v>43398</v>
      </c>
      <c r="B507" s="1">
        <v>54.95</v>
      </c>
      <c r="C507" s="1">
        <v>1782.17</v>
      </c>
      <c r="D507" s="1">
        <v>150.94999999999999</v>
      </c>
      <c r="E507" s="3">
        <f t="shared" si="24"/>
        <v>3292.84</v>
      </c>
      <c r="F507" s="4">
        <f t="shared" si="22"/>
        <v>196.61500000000024</v>
      </c>
      <c r="G507" s="4">
        <f t="shared" si="23"/>
        <v>-196.61500000000024</v>
      </c>
    </row>
    <row r="508" spans="1:7" x14ac:dyDescent="0.3">
      <c r="A508" s="2">
        <v>43397</v>
      </c>
      <c r="B508" s="1">
        <v>53.772500000000001</v>
      </c>
      <c r="C508" s="1">
        <v>1664.2</v>
      </c>
      <c r="D508" s="1">
        <v>146.04</v>
      </c>
      <c r="E508" s="3">
        <f t="shared" si="24"/>
        <v>3096.2249999999999</v>
      </c>
      <c r="F508" s="4">
        <f t="shared" si="22"/>
        <v>-137.5</v>
      </c>
      <c r="G508" s="4">
        <f t="shared" si="23"/>
        <v>137.5</v>
      </c>
    </row>
    <row r="509" spans="1:7" x14ac:dyDescent="0.3">
      <c r="A509" s="2">
        <v>43396</v>
      </c>
      <c r="B509" s="1">
        <v>55.682499999999997</v>
      </c>
      <c r="C509" s="1">
        <v>1768.7</v>
      </c>
      <c r="D509" s="1">
        <v>154.38999999999999</v>
      </c>
      <c r="E509" s="3">
        <f t="shared" si="24"/>
        <v>3233.7249999999999</v>
      </c>
      <c r="F509" s="4">
        <f t="shared" si="22"/>
        <v>-7.4000000000005457</v>
      </c>
      <c r="G509" s="4">
        <f t="shared" si="23"/>
        <v>7.4000000000005457</v>
      </c>
    </row>
    <row r="510" spans="1:7" x14ac:dyDescent="0.3">
      <c r="A510" s="2">
        <v>43395</v>
      </c>
      <c r="B510" s="1">
        <v>55.162500000000001</v>
      </c>
      <c r="C510" s="1">
        <v>1789.3</v>
      </c>
      <c r="D510" s="1">
        <v>154.78</v>
      </c>
      <c r="E510" s="3">
        <f t="shared" si="24"/>
        <v>3241.1250000000005</v>
      </c>
      <c r="F510" s="4">
        <f t="shared" si="22"/>
        <v>52.690000000000964</v>
      </c>
      <c r="G510" s="4">
        <f t="shared" si="23"/>
        <v>-52.690000000000964</v>
      </c>
    </row>
    <row r="511" spans="1:7" x14ac:dyDescent="0.3">
      <c r="A511" s="2">
        <v>43392</v>
      </c>
      <c r="B511" s="1">
        <v>54.827500000000001</v>
      </c>
      <c r="C511" s="1">
        <v>1764.03</v>
      </c>
      <c r="D511" s="1">
        <v>154.05000000000001</v>
      </c>
      <c r="E511" s="3">
        <f t="shared" si="24"/>
        <v>3188.4349999999995</v>
      </c>
      <c r="F511" s="4">
        <f t="shared" si="22"/>
        <v>45.144999999998618</v>
      </c>
      <c r="G511" s="4">
        <f t="shared" si="23"/>
        <v>-45.144999999998618</v>
      </c>
    </row>
    <row r="512" spans="1:7" x14ac:dyDescent="0.3">
      <c r="A512" s="2">
        <v>43391</v>
      </c>
      <c r="B512" s="1">
        <v>54.005000000000003</v>
      </c>
      <c r="C512" s="1">
        <v>1770.72</v>
      </c>
      <c r="D512" s="1">
        <v>154.91999999999999</v>
      </c>
      <c r="E512" s="3">
        <f t="shared" si="24"/>
        <v>3143.2900000000009</v>
      </c>
      <c r="F512" s="4">
        <f t="shared" si="22"/>
        <v>-96.644999999999527</v>
      </c>
      <c r="G512" s="4">
        <f t="shared" si="23"/>
        <v>96.644999999999527</v>
      </c>
    </row>
    <row r="513" spans="1:7" x14ac:dyDescent="0.3">
      <c r="A513" s="2">
        <v>43390</v>
      </c>
      <c r="B513" s="1">
        <v>55.297499999999999</v>
      </c>
      <c r="C513" s="1">
        <v>1831.73</v>
      </c>
      <c r="D513" s="1">
        <v>159.41999999999999</v>
      </c>
      <c r="E513" s="3">
        <f t="shared" si="24"/>
        <v>3239.9350000000004</v>
      </c>
      <c r="F513" s="4">
        <f t="shared" si="22"/>
        <v>-1.2599999999997635</v>
      </c>
      <c r="G513" s="4">
        <f t="shared" si="23"/>
        <v>1.2599999999997635</v>
      </c>
    </row>
    <row r="514" spans="1:7" x14ac:dyDescent="0.3">
      <c r="A514" s="2">
        <v>43389</v>
      </c>
      <c r="B514" s="1">
        <v>55.537500000000001</v>
      </c>
      <c r="C514" s="1">
        <v>1819.96</v>
      </c>
      <c r="D514" s="1">
        <v>158.78</v>
      </c>
      <c r="E514" s="3">
        <f t="shared" si="24"/>
        <v>3241.1950000000002</v>
      </c>
      <c r="F514" s="4">
        <f t="shared" si="22"/>
        <v>72.695000000000618</v>
      </c>
      <c r="G514" s="4">
        <f t="shared" si="23"/>
        <v>-72.695000000000618</v>
      </c>
    </row>
    <row r="515" spans="1:7" x14ac:dyDescent="0.3">
      <c r="A515" s="2">
        <v>43388</v>
      </c>
      <c r="B515" s="1">
        <v>54.34</v>
      </c>
      <c r="C515" s="1">
        <v>1760.95</v>
      </c>
      <c r="D515" s="1">
        <v>153.52000000000001</v>
      </c>
      <c r="E515" s="3">
        <f t="shared" si="24"/>
        <v>3168.4999999999995</v>
      </c>
      <c r="F515" s="4">
        <f t="shared" si="22"/>
        <v>-110.29499999999962</v>
      </c>
      <c r="G515" s="4">
        <f t="shared" si="23"/>
        <v>110.29499999999962</v>
      </c>
    </row>
    <row r="516" spans="1:7" x14ac:dyDescent="0.3">
      <c r="A516" s="2">
        <v>43385</v>
      </c>
      <c r="B516" s="1">
        <v>55.527500000000003</v>
      </c>
      <c r="C516" s="1">
        <v>1788.61</v>
      </c>
      <c r="D516" s="1">
        <v>153.74</v>
      </c>
      <c r="E516" s="3">
        <f t="shared" si="24"/>
        <v>3278.7949999999992</v>
      </c>
      <c r="F516" s="4">
        <f t="shared" si="22"/>
        <v>226.44999999999982</v>
      </c>
      <c r="G516" s="4">
        <f t="shared" si="23"/>
        <v>-226.44999999999982</v>
      </c>
    </row>
    <row r="517" spans="1:7" x14ac:dyDescent="0.3">
      <c r="A517" s="2">
        <v>43384</v>
      </c>
      <c r="B517" s="1">
        <v>53.612499999999997</v>
      </c>
      <c r="C517" s="1">
        <v>1719.36</v>
      </c>
      <c r="D517" s="1">
        <v>153.35</v>
      </c>
      <c r="E517" s="3">
        <f t="shared" si="24"/>
        <v>3052.3449999999993</v>
      </c>
      <c r="F517" s="4">
        <f t="shared" ref="F517:F580" si="25">E517-E518</f>
        <v>-135.05500000000075</v>
      </c>
      <c r="G517" s="4">
        <f t="shared" ref="G517:G580" si="26">-F517</f>
        <v>135.05500000000075</v>
      </c>
    </row>
    <row r="518" spans="1:7" x14ac:dyDescent="0.3">
      <c r="A518" s="2">
        <v>43383</v>
      </c>
      <c r="B518" s="1">
        <v>54.09</v>
      </c>
      <c r="C518" s="1">
        <v>1755.25</v>
      </c>
      <c r="D518" s="1">
        <v>151.38</v>
      </c>
      <c r="E518" s="3">
        <f t="shared" ref="E518:E581" si="27">50*B518+2*C518-20*D518</f>
        <v>3187.4</v>
      </c>
      <c r="F518" s="4">
        <f t="shared" si="25"/>
        <v>-231.11499999999933</v>
      </c>
      <c r="G518" s="4">
        <f t="shared" si="26"/>
        <v>231.11499999999933</v>
      </c>
    </row>
    <row r="519" spans="1:7" x14ac:dyDescent="0.3">
      <c r="A519" s="2">
        <v>43382</v>
      </c>
      <c r="B519" s="1">
        <v>56.717500000000001</v>
      </c>
      <c r="C519" s="1">
        <v>1870.32</v>
      </c>
      <c r="D519" s="1">
        <v>157.9</v>
      </c>
      <c r="E519" s="3">
        <f t="shared" si="27"/>
        <v>3418.5149999999994</v>
      </c>
      <c r="F519" s="4">
        <f t="shared" si="25"/>
        <v>37.549999999999272</v>
      </c>
      <c r="G519" s="4">
        <f t="shared" si="26"/>
        <v>-37.549999999999272</v>
      </c>
    </row>
    <row r="520" spans="1:7" x14ac:dyDescent="0.3">
      <c r="A520" s="2">
        <v>43381</v>
      </c>
      <c r="B520" s="1">
        <v>55.942500000000003</v>
      </c>
      <c r="C520" s="1">
        <v>1864.42</v>
      </c>
      <c r="D520" s="1">
        <v>157.25</v>
      </c>
      <c r="E520" s="3">
        <f t="shared" si="27"/>
        <v>3380.9650000000001</v>
      </c>
      <c r="F520" s="4">
        <f t="shared" si="25"/>
        <v>-55.359999999999673</v>
      </c>
      <c r="G520" s="4">
        <f t="shared" si="26"/>
        <v>55.359999999999673</v>
      </c>
    </row>
    <row r="521" spans="1:7" x14ac:dyDescent="0.3">
      <c r="A521" s="2">
        <v>43378</v>
      </c>
      <c r="B521" s="1">
        <v>56.072499999999998</v>
      </c>
      <c r="C521" s="1">
        <v>1889.65</v>
      </c>
      <c r="D521" s="1">
        <v>157.33000000000001</v>
      </c>
      <c r="E521" s="3">
        <f t="shared" si="27"/>
        <v>3436.3249999999998</v>
      </c>
      <c r="F521" s="4">
        <f t="shared" si="25"/>
        <v>-55.390000000000327</v>
      </c>
      <c r="G521" s="4">
        <f t="shared" si="26"/>
        <v>55.390000000000327</v>
      </c>
    </row>
    <row r="522" spans="1:7" x14ac:dyDescent="0.3">
      <c r="A522" s="2">
        <v>43377</v>
      </c>
      <c r="B522" s="1">
        <v>56.997500000000002</v>
      </c>
      <c r="C522" s="1">
        <v>1909.42</v>
      </c>
      <c r="D522" s="1">
        <v>158.85</v>
      </c>
      <c r="E522" s="3">
        <f t="shared" si="27"/>
        <v>3491.7150000000001</v>
      </c>
      <c r="F522" s="4">
        <f t="shared" si="25"/>
        <v>-66.079999999999927</v>
      </c>
      <c r="G522" s="4">
        <f t="shared" si="26"/>
        <v>66.079999999999927</v>
      </c>
    </row>
    <row r="523" spans="1:7" x14ac:dyDescent="0.3">
      <c r="A523" s="2">
        <v>43376</v>
      </c>
      <c r="B523" s="1">
        <v>58.017499999999998</v>
      </c>
      <c r="C523" s="1">
        <v>1952.76</v>
      </c>
      <c r="D523" s="1">
        <v>162.43</v>
      </c>
      <c r="E523" s="3">
        <f t="shared" si="27"/>
        <v>3557.7950000000001</v>
      </c>
      <c r="F523" s="4">
        <f t="shared" si="25"/>
        <v>-64.224999999999454</v>
      </c>
      <c r="G523" s="4">
        <f t="shared" si="26"/>
        <v>64.224999999999454</v>
      </c>
    </row>
    <row r="524" spans="1:7" x14ac:dyDescent="0.3">
      <c r="A524" s="2">
        <v>43375</v>
      </c>
      <c r="B524" s="1">
        <v>57.32</v>
      </c>
      <c r="C524" s="1">
        <v>1971.31</v>
      </c>
      <c r="D524" s="1">
        <v>159.33000000000001</v>
      </c>
      <c r="E524" s="3">
        <f t="shared" si="27"/>
        <v>3622.0199999999995</v>
      </c>
      <c r="F524" s="4">
        <f t="shared" si="25"/>
        <v>21.350000000000364</v>
      </c>
      <c r="G524" s="4">
        <f t="shared" si="26"/>
        <v>-21.350000000000364</v>
      </c>
    </row>
    <row r="525" spans="1:7" x14ac:dyDescent="0.3">
      <c r="A525" s="2">
        <v>43374</v>
      </c>
      <c r="B525" s="1">
        <v>56.814999999999998</v>
      </c>
      <c r="C525" s="1">
        <v>2004.36</v>
      </c>
      <c r="D525" s="1">
        <v>162.44</v>
      </c>
      <c r="E525" s="3">
        <f t="shared" si="27"/>
        <v>3600.6699999999992</v>
      </c>
      <c r="F525" s="4">
        <f t="shared" si="25"/>
        <v>62.119999999999436</v>
      </c>
      <c r="G525" s="4">
        <f t="shared" si="26"/>
        <v>-62.119999999999436</v>
      </c>
    </row>
    <row r="526" spans="1:7" x14ac:dyDescent="0.3">
      <c r="A526" s="2">
        <v>43371</v>
      </c>
      <c r="B526" s="1">
        <v>56.435000000000002</v>
      </c>
      <c r="C526" s="1">
        <v>2003</v>
      </c>
      <c r="D526" s="1">
        <v>164.46</v>
      </c>
      <c r="E526" s="3">
        <f t="shared" si="27"/>
        <v>3538.5499999999997</v>
      </c>
      <c r="F526" s="4">
        <f t="shared" si="25"/>
        <v>77.514999999999873</v>
      </c>
      <c r="G526" s="4">
        <f t="shared" si="26"/>
        <v>-77.514999999999873</v>
      </c>
    </row>
    <row r="527" spans="1:7" x14ac:dyDescent="0.3">
      <c r="A527" s="2">
        <v>43370</v>
      </c>
      <c r="B527" s="1">
        <v>56.237499999999997</v>
      </c>
      <c r="C527" s="1">
        <v>2012.98</v>
      </c>
      <c r="D527" s="1">
        <v>168.84</v>
      </c>
      <c r="E527" s="3">
        <f t="shared" si="27"/>
        <v>3461.0349999999999</v>
      </c>
      <c r="F527" s="4">
        <f t="shared" si="25"/>
        <v>95.085000000000036</v>
      </c>
      <c r="G527" s="4">
        <f t="shared" si="26"/>
        <v>-95.085000000000036</v>
      </c>
    </row>
    <row r="528" spans="1:7" x14ac:dyDescent="0.3">
      <c r="A528" s="2">
        <v>43369</v>
      </c>
      <c r="B528" s="1">
        <v>55.104999999999997</v>
      </c>
      <c r="C528" s="1">
        <v>1974.85</v>
      </c>
      <c r="D528" s="1">
        <v>166.95</v>
      </c>
      <c r="E528" s="3">
        <f t="shared" si="27"/>
        <v>3365.95</v>
      </c>
      <c r="F528" s="4">
        <f t="shared" si="25"/>
        <v>-62.325000000000728</v>
      </c>
      <c r="G528" s="4">
        <f t="shared" si="26"/>
        <v>62.325000000000728</v>
      </c>
    </row>
    <row r="529" spans="1:7" x14ac:dyDescent="0.3">
      <c r="A529" s="2">
        <v>43368</v>
      </c>
      <c r="B529" s="1">
        <v>55.547499999999999</v>
      </c>
      <c r="C529" s="1">
        <v>1974.55</v>
      </c>
      <c r="D529" s="1">
        <v>164.91</v>
      </c>
      <c r="E529" s="3">
        <f t="shared" si="27"/>
        <v>3428.2750000000005</v>
      </c>
      <c r="F529" s="4">
        <f t="shared" si="25"/>
        <v>107.88000000000102</v>
      </c>
      <c r="G529" s="4">
        <f t="shared" si="26"/>
        <v>-107.88000000000102</v>
      </c>
    </row>
    <row r="530" spans="1:7" x14ac:dyDescent="0.3">
      <c r="A530" s="2">
        <v>43367</v>
      </c>
      <c r="B530" s="1">
        <v>55.197499999999998</v>
      </c>
      <c r="C530" s="1">
        <v>1934.36</v>
      </c>
      <c r="D530" s="1">
        <v>165.41</v>
      </c>
      <c r="E530" s="3">
        <f t="shared" si="27"/>
        <v>3320.3949999999995</v>
      </c>
      <c r="F530" s="4">
        <f t="shared" si="25"/>
        <v>28.224999999999454</v>
      </c>
      <c r="G530" s="4">
        <f t="shared" si="26"/>
        <v>-28.224999999999454</v>
      </c>
    </row>
    <row r="531" spans="1:7" x14ac:dyDescent="0.3">
      <c r="A531" s="2">
        <v>43364</v>
      </c>
      <c r="B531" s="1">
        <v>54.414999999999999</v>
      </c>
      <c r="C531" s="1">
        <v>1915.01</v>
      </c>
      <c r="D531" s="1">
        <v>162.93</v>
      </c>
      <c r="E531" s="3">
        <f t="shared" si="27"/>
        <v>3292.17</v>
      </c>
      <c r="F531" s="4">
        <f t="shared" si="25"/>
        <v>-26.4050000000002</v>
      </c>
      <c r="G531" s="4">
        <f t="shared" si="26"/>
        <v>26.4050000000002</v>
      </c>
    </row>
    <row r="532" spans="1:7" x14ac:dyDescent="0.3">
      <c r="A532" s="2">
        <v>43363</v>
      </c>
      <c r="B532" s="1">
        <v>55.0075</v>
      </c>
      <c r="C532" s="1">
        <v>1944.3</v>
      </c>
      <c r="D532" s="1">
        <v>166.02</v>
      </c>
      <c r="E532" s="3">
        <f t="shared" si="27"/>
        <v>3318.5750000000003</v>
      </c>
      <c r="F532" s="4">
        <f t="shared" si="25"/>
        <v>-2.6900000000000546</v>
      </c>
      <c r="G532" s="4">
        <f t="shared" si="26"/>
        <v>2.6900000000000546</v>
      </c>
    </row>
    <row r="533" spans="1:7" x14ac:dyDescent="0.3">
      <c r="A533" s="2">
        <v>43362</v>
      </c>
      <c r="B533" s="1">
        <v>54.592500000000001</v>
      </c>
      <c r="C533" s="1">
        <v>1926.42</v>
      </c>
      <c r="D533" s="1">
        <v>163.06</v>
      </c>
      <c r="E533" s="3">
        <f t="shared" si="27"/>
        <v>3321.2650000000003</v>
      </c>
      <c r="F533" s="4">
        <f t="shared" si="25"/>
        <v>-82.835000000000036</v>
      </c>
      <c r="G533" s="4">
        <f t="shared" si="26"/>
        <v>82.835000000000036</v>
      </c>
    </row>
    <row r="534" spans="1:7" x14ac:dyDescent="0.3">
      <c r="A534" s="2">
        <v>43361</v>
      </c>
      <c r="B534" s="1">
        <v>54.56</v>
      </c>
      <c r="C534" s="1">
        <v>1941.05</v>
      </c>
      <c r="D534" s="1">
        <v>160.30000000000001</v>
      </c>
      <c r="E534" s="3">
        <f t="shared" si="27"/>
        <v>3404.1000000000004</v>
      </c>
      <c r="F534" s="4">
        <f t="shared" si="25"/>
        <v>76.140000000001237</v>
      </c>
      <c r="G534" s="4">
        <f t="shared" si="26"/>
        <v>-76.140000000001237</v>
      </c>
    </row>
    <row r="535" spans="1:7" x14ac:dyDescent="0.3">
      <c r="A535" s="2">
        <v>43360</v>
      </c>
      <c r="B535" s="1">
        <v>54.47</v>
      </c>
      <c r="C535" s="1">
        <v>1908.03</v>
      </c>
      <c r="D535" s="1">
        <v>160.58000000000001</v>
      </c>
      <c r="E535" s="3">
        <f t="shared" si="27"/>
        <v>3327.9599999999991</v>
      </c>
      <c r="F535" s="4">
        <f t="shared" si="25"/>
        <v>-164.02000000000135</v>
      </c>
      <c r="G535" s="4">
        <f t="shared" si="26"/>
        <v>164.02000000000135</v>
      </c>
    </row>
    <row r="536" spans="1:7" x14ac:dyDescent="0.3">
      <c r="A536" s="2">
        <v>43357</v>
      </c>
      <c r="B536" s="1">
        <v>55.96</v>
      </c>
      <c r="C536" s="1">
        <v>1970.19</v>
      </c>
      <c r="D536" s="1">
        <v>162.32</v>
      </c>
      <c r="E536" s="3">
        <f t="shared" si="27"/>
        <v>3491.9800000000005</v>
      </c>
      <c r="F536" s="4">
        <f t="shared" si="25"/>
        <v>-90.684999999999036</v>
      </c>
      <c r="G536" s="4">
        <f t="shared" si="26"/>
        <v>90.684999999999036</v>
      </c>
    </row>
    <row r="537" spans="1:7" x14ac:dyDescent="0.3">
      <c r="A537" s="2">
        <v>43356</v>
      </c>
      <c r="B537" s="1">
        <v>56.602499999999999</v>
      </c>
      <c r="C537" s="1">
        <v>1989.87</v>
      </c>
      <c r="D537" s="1">
        <v>161.36000000000001</v>
      </c>
      <c r="E537" s="3">
        <f t="shared" si="27"/>
        <v>3582.6649999999995</v>
      </c>
      <c r="F537" s="4">
        <f t="shared" si="25"/>
        <v>79.289999999999509</v>
      </c>
      <c r="G537" s="4">
        <f t="shared" si="26"/>
        <v>-79.289999999999509</v>
      </c>
    </row>
    <row r="538" spans="1:7" x14ac:dyDescent="0.3">
      <c r="A538" s="2">
        <v>43355</v>
      </c>
      <c r="B538" s="1">
        <v>55.267499999999998</v>
      </c>
      <c r="C538" s="1">
        <v>1990</v>
      </c>
      <c r="D538" s="1">
        <v>162</v>
      </c>
      <c r="E538" s="3">
        <f t="shared" si="27"/>
        <v>3503.375</v>
      </c>
      <c r="F538" s="4">
        <f t="shared" si="25"/>
        <v>49.75</v>
      </c>
      <c r="G538" s="4">
        <f t="shared" si="26"/>
        <v>-49.75</v>
      </c>
    </row>
    <row r="539" spans="1:7" x14ac:dyDescent="0.3">
      <c r="A539" s="2">
        <v>43354</v>
      </c>
      <c r="B539" s="1">
        <v>55.962499999999999</v>
      </c>
      <c r="C539" s="1">
        <v>1987.15</v>
      </c>
      <c r="D539" s="1">
        <v>165.94</v>
      </c>
      <c r="E539" s="3">
        <f t="shared" si="27"/>
        <v>3453.625</v>
      </c>
      <c r="F539" s="4">
        <f t="shared" si="25"/>
        <v>130.07999999999993</v>
      </c>
      <c r="G539" s="4">
        <f t="shared" si="26"/>
        <v>-130.07999999999993</v>
      </c>
    </row>
    <row r="540" spans="1:7" x14ac:dyDescent="0.3">
      <c r="A540" s="2">
        <v>43353</v>
      </c>
      <c r="B540" s="1">
        <v>54.582500000000003</v>
      </c>
      <c r="C540" s="1">
        <v>1939.01</v>
      </c>
      <c r="D540" s="1">
        <v>164.18</v>
      </c>
      <c r="E540" s="3">
        <f t="shared" si="27"/>
        <v>3323.5450000000001</v>
      </c>
      <c r="F540" s="4">
        <f t="shared" si="25"/>
        <v>-86.044999999999618</v>
      </c>
      <c r="G540" s="4">
        <f t="shared" si="26"/>
        <v>86.044999999999618</v>
      </c>
    </row>
    <row r="541" spans="1:7" x14ac:dyDescent="0.3">
      <c r="A541" s="2">
        <v>43350</v>
      </c>
      <c r="B541" s="1">
        <v>55.325000000000003</v>
      </c>
      <c r="C541" s="1">
        <v>1952.07</v>
      </c>
      <c r="D541" s="1">
        <v>163.04</v>
      </c>
      <c r="E541" s="3">
        <f t="shared" si="27"/>
        <v>3409.5899999999997</v>
      </c>
      <c r="F541" s="4">
        <f t="shared" si="25"/>
        <v>-45.180000000000291</v>
      </c>
      <c r="G541" s="4">
        <f t="shared" si="26"/>
        <v>45.180000000000291</v>
      </c>
    </row>
    <row r="542" spans="1:7" x14ac:dyDescent="0.3">
      <c r="A542" s="2">
        <v>43349</v>
      </c>
      <c r="B542" s="1">
        <v>55.774999999999999</v>
      </c>
      <c r="C542" s="1">
        <v>1958.31</v>
      </c>
      <c r="D542" s="1">
        <v>162.53</v>
      </c>
      <c r="E542" s="3">
        <f t="shared" si="27"/>
        <v>3454.77</v>
      </c>
      <c r="F542" s="4">
        <f t="shared" si="25"/>
        <v>-27.144999999999072</v>
      </c>
      <c r="G542" s="4">
        <f t="shared" si="26"/>
        <v>27.144999999999072</v>
      </c>
    </row>
    <row r="543" spans="1:7" x14ac:dyDescent="0.3">
      <c r="A543" s="2">
        <v>43348</v>
      </c>
      <c r="B543" s="1">
        <v>56.717500000000001</v>
      </c>
      <c r="C543" s="1">
        <v>1994.82</v>
      </c>
      <c r="D543" s="1">
        <v>167.18</v>
      </c>
      <c r="E543" s="3">
        <f t="shared" si="27"/>
        <v>3481.9149999999991</v>
      </c>
      <c r="F543" s="4">
        <f t="shared" si="25"/>
        <v>-28.405000000001564</v>
      </c>
      <c r="G543" s="4">
        <f t="shared" si="26"/>
        <v>28.405000000001564</v>
      </c>
    </row>
    <row r="544" spans="1:7" x14ac:dyDescent="0.3">
      <c r="A544" s="2">
        <v>43347</v>
      </c>
      <c r="B544" s="1">
        <v>57.09</v>
      </c>
      <c r="C544" s="1">
        <v>2039.51</v>
      </c>
      <c r="D544" s="1">
        <v>171.16</v>
      </c>
      <c r="E544" s="3">
        <f t="shared" si="27"/>
        <v>3510.3200000000006</v>
      </c>
      <c r="F544" s="4">
        <f t="shared" si="25"/>
        <v>154.12500000000045</v>
      </c>
      <c r="G544" s="4">
        <f t="shared" si="26"/>
        <v>-154.12500000000045</v>
      </c>
    </row>
    <row r="545" spans="1:7" x14ac:dyDescent="0.3">
      <c r="A545" s="2">
        <v>43346</v>
      </c>
      <c r="B545" s="1">
        <v>56.907499999999999</v>
      </c>
      <c r="C545" s="1">
        <v>2012.71</v>
      </c>
      <c r="D545" s="1">
        <v>175.73</v>
      </c>
      <c r="E545" s="3">
        <f t="shared" si="27"/>
        <v>3356.1950000000002</v>
      </c>
      <c r="F545" s="4">
        <f t="shared" si="25"/>
        <v>0</v>
      </c>
      <c r="G545" s="4">
        <f t="shared" si="26"/>
        <v>0</v>
      </c>
    </row>
    <row r="546" spans="1:7" x14ac:dyDescent="0.3">
      <c r="A546" s="2">
        <v>43343</v>
      </c>
      <c r="B546" s="1">
        <v>56.907499999999999</v>
      </c>
      <c r="C546" s="1">
        <v>2012.71</v>
      </c>
      <c r="D546" s="1">
        <v>175.73</v>
      </c>
      <c r="E546" s="3">
        <f t="shared" si="27"/>
        <v>3356.1950000000002</v>
      </c>
      <c r="F546" s="4">
        <f t="shared" si="25"/>
        <v>91.359999999999673</v>
      </c>
      <c r="G546" s="4">
        <f t="shared" si="26"/>
        <v>-91.359999999999673</v>
      </c>
    </row>
    <row r="547" spans="1:7" x14ac:dyDescent="0.3">
      <c r="A547" s="2">
        <v>43342</v>
      </c>
      <c r="B547" s="1">
        <v>56.2575</v>
      </c>
      <c r="C547" s="1">
        <v>2002.38</v>
      </c>
      <c r="D547" s="1">
        <v>177.64</v>
      </c>
      <c r="E547" s="3">
        <f t="shared" si="27"/>
        <v>3264.8350000000005</v>
      </c>
      <c r="F547" s="4">
        <f t="shared" si="25"/>
        <v>-0.61499999999932697</v>
      </c>
      <c r="G547" s="4">
        <f t="shared" si="26"/>
        <v>0.61499999999932697</v>
      </c>
    </row>
    <row r="548" spans="1:7" x14ac:dyDescent="0.3">
      <c r="A548" s="2">
        <v>43341</v>
      </c>
      <c r="B548" s="1">
        <v>55.744999999999997</v>
      </c>
      <c r="C548" s="1">
        <v>1998.1</v>
      </c>
      <c r="D548" s="1">
        <v>175.9</v>
      </c>
      <c r="E548" s="3">
        <f t="shared" si="27"/>
        <v>3265.45</v>
      </c>
      <c r="F548" s="4">
        <f t="shared" si="25"/>
        <v>178.76000000000022</v>
      </c>
      <c r="G548" s="4">
        <f t="shared" si="26"/>
        <v>-178.76000000000022</v>
      </c>
    </row>
    <row r="549" spans="1:7" x14ac:dyDescent="0.3">
      <c r="A549" s="2">
        <v>43340</v>
      </c>
      <c r="B549" s="1">
        <v>54.924999999999997</v>
      </c>
      <c r="C549" s="1">
        <v>1932.82</v>
      </c>
      <c r="D549" s="1">
        <v>176.26</v>
      </c>
      <c r="E549" s="3">
        <f t="shared" si="27"/>
        <v>3086.6899999999996</v>
      </c>
      <c r="F549" s="4">
        <f t="shared" si="25"/>
        <v>56.279999999999291</v>
      </c>
      <c r="G549" s="4">
        <f t="shared" si="26"/>
        <v>-56.279999999999291</v>
      </c>
    </row>
    <row r="550" spans="1:7" x14ac:dyDescent="0.3">
      <c r="A550" s="2">
        <v>43339</v>
      </c>
      <c r="B550" s="1">
        <v>54.484999999999999</v>
      </c>
      <c r="C550" s="1">
        <v>1927.68</v>
      </c>
      <c r="D550" s="1">
        <v>177.46</v>
      </c>
      <c r="E550" s="3">
        <f t="shared" si="27"/>
        <v>3030.4100000000003</v>
      </c>
      <c r="F550" s="4">
        <f t="shared" si="25"/>
        <v>10.529999999999745</v>
      </c>
      <c r="G550" s="4">
        <f t="shared" si="26"/>
        <v>-10.529999999999745</v>
      </c>
    </row>
    <row r="551" spans="1:7" x14ac:dyDescent="0.3">
      <c r="A551" s="2">
        <v>43336</v>
      </c>
      <c r="B551" s="1">
        <v>54.04</v>
      </c>
      <c r="C551" s="1">
        <v>1905.39</v>
      </c>
      <c r="D551" s="1">
        <v>174.64500000000001</v>
      </c>
      <c r="E551" s="3">
        <f t="shared" si="27"/>
        <v>3019.8800000000006</v>
      </c>
      <c r="F551" s="4">
        <f t="shared" si="25"/>
        <v>-21.544999999999618</v>
      </c>
      <c r="G551" s="4">
        <f t="shared" si="26"/>
        <v>21.544999999999618</v>
      </c>
    </row>
    <row r="552" spans="1:7" x14ac:dyDescent="0.3">
      <c r="A552" s="2">
        <v>43335</v>
      </c>
      <c r="B552" s="1">
        <v>53.872500000000002</v>
      </c>
      <c r="C552" s="1">
        <v>1902.9</v>
      </c>
      <c r="D552" s="1">
        <v>172.9</v>
      </c>
      <c r="E552" s="3">
        <f t="shared" si="27"/>
        <v>3041.4250000000002</v>
      </c>
      <c r="F552" s="4">
        <f t="shared" si="25"/>
        <v>16.299999999999727</v>
      </c>
      <c r="G552" s="4">
        <f t="shared" si="26"/>
        <v>-16.299999999999727</v>
      </c>
    </row>
    <row r="553" spans="1:7" x14ac:dyDescent="0.3">
      <c r="A553" s="2">
        <v>43334</v>
      </c>
      <c r="B553" s="1">
        <v>53.762500000000003</v>
      </c>
      <c r="C553" s="1">
        <v>1904.9</v>
      </c>
      <c r="D553" s="1">
        <v>173.64</v>
      </c>
      <c r="E553" s="3">
        <f t="shared" si="27"/>
        <v>3025.1250000000005</v>
      </c>
      <c r="F553" s="4">
        <f t="shared" si="25"/>
        <v>22.6850000000004</v>
      </c>
      <c r="G553" s="4">
        <f t="shared" si="26"/>
        <v>-22.6850000000004</v>
      </c>
    </row>
    <row r="554" spans="1:7" x14ac:dyDescent="0.3">
      <c r="A554" s="2">
        <v>43333</v>
      </c>
      <c r="B554" s="1">
        <v>53.76</v>
      </c>
      <c r="C554" s="1">
        <v>1883.42</v>
      </c>
      <c r="D554" s="1">
        <v>172.62</v>
      </c>
      <c r="E554" s="3">
        <f t="shared" si="27"/>
        <v>3002.44</v>
      </c>
      <c r="F554" s="4">
        <f t="shared" si="25"/>
        <v>5.7699999999999818</v>
      </c>
      <c r="G554" s="4">
        <f t="shared" si="26"/>
        <v>-5.7699999999999818</v>
      </c>
    </row>
    <row r="555" spans="1:7" x14ac:dyDescent="0.3">
      <c r="A555" s="2">
        <v>43332</v>
      </c>
      <c r="B555" s="1">
        <v>53.865000000000002</v>
      </c>
      <c r="C555" s="1">
        <v>1876.71</v>
      </c>
      <c r="D555" s="1">
        <v>172.5</v>
      </c>
      <c r="E555" s="3">
        <f t="shared" si="27"/>
        <v>2996.67</v>
      </c>
      <c r="F555" s="4">
        <f t="shared" si="25"/>
        <v>-11.520000000000437</v>
      </c>
      <c r="G555" s="4">
        <f t="shared" si="26"/>
        <v>11.520000000000437</v>
      </c>
    </row>
    <row r="556" spans="1:7" x14ac:dyDescent="0.3">
      <c r="A556" s="2">
        <v>43329</v>
      </c>
      <c r="B556" s="1">
        <v>54.395000000000003</v>
      </c>
      <c r="C556" s="1">
        <v>1882.22</v>
      </c>
      <c r="D556" s="1">
        <v>173.8</v>
      </c>
      <c r="E556" s="3">
        <f t="shared" si="27"/>
        <v>3008.1900000000005</v>
      </c>
      <c r="F556" s="4">
        <f t="shared" si="25"/>
        <v>62.650000000000546</v>
      </c>
      <c r="G556" s="4">
        <f t="shared" si="26"/>
        <v>-62.650000000000546</v>
      </c>
    </row>
    <row r="557" spans="1:7" x14ac:dyDescent="0.3">
      <c r="A557" s="2">
        <v>43328</v>
      </c>
      <c r="B557" s="1">
        <v>53.33</v>
      </c>
      <c r="C557" s="1">
        <v>1886.52</v>
      </c>
      <c r="D557" s="1">
        <v>174.7</v>
      </c>
      <c r="E557" s="3">
        <f t="shared" si="27"/>
        <v>2945.54</v>
      </c>
      <c r="F557" s="4">
        <f t="shared" si="25"/>
        <v>142.90000000000009</v>
      </c>
      <c r="G557" s="4">
        <f t="shared" si="26"/>
        <v>-142.90000000000009</v>
      </c>
    </row>
    <row r="558" spans="1:7" x14ac:dyDescent="0.3">
      <c r="A558" s="2">
        <v>43327</v>
      </c>
      <c r="B558" s="1">
        <v>52.56</v>
      </c>
      <c r="C558" s="1">
        <v>1882.62</v>
      </c>
      <c r="D558" s="1">
        <v>179.53</v>
      </c>
      <c r="E558" s="3">
        <f t="shared" si="27"/>
        <v>2802.64</v>
      </c>
      <c r="F558" s="4">
        <f t="shared" si="25"/>
        <v>-36.335000000000036</v>
      </c>
      <c r="G558" s="4">
        <f t="shared" si="26"/>
        <v>36.335000000000036</v>
      </c>
    </row>
    <row r="559" spans="1:7" x14ac:dyDescent="0.3">
      <c r="A559" s="2">
        <v>43326</v>
      </c>
      <c r="B559" s="1">
        <v>52.4375</v>
      </c>
      <c r="C559" s="1">
        <v>1919.65</v>
      </c>
      <c r="D559" s="1">
        <v>181.11</v>
      </c>
      <c r="E559" s="3">
        <f t="shared" si="27"/>
        <v>2838.9749999999999</v>
      </c>
      <c r="F559" s="4">
        <f t="shared" si="25"/>
        <v>36.700000000000273</v>
      </c>
      <c r="G559" s="4">
        <f t="shared" si="26"/>
        <v>-36.700000000000273</v>
      </c>
    </row>
    <row r="560" spans="1:7" x14ac:dyDescent="0.3">
      <c r="A560" s="2">
        <v>43325</v>
      </c>
      <c r="B560" s="1">
        <v>52.217500000000001</v>
      </c>
      <c r="C560" s="1">
        <v>1896.2</v>
      </c>
      <c r="D560" s="1">
        <v>180.05</v>
      </c>
      <c r="E560" s="3">
        <f t="shared" si="27"/>
        <v>2802.2749999999996</v>
      </c>
      <c r="F560" s="4">
        <f t="shared" si="25"/>
        <v>40.749999999999091</v>
      </c>
      <c r="G560" s="4">
        <f t="shared" si="26"/>
        <v>-40.749999999999091</v>
      </c>
    </row>
    <row r="561" spans="1:7" x14ac:dyDescent="0.3">
      <c r="A561" s="2">
        <v>43322</v>
      </c>
      <c r="B561" s="1">
        <v>51.8825</v>
      </c>
      <c r="C561" s="1">
        <v>1886.3</v>
      </c>
      <c r="D561" s="1">
        <v>180.26</v>
      </c>
      <c r="E561" s="3">
        <f t="shared" si="27"/>
        <v>2761.5250000000005</v>
      </c>
      <c r="F561" s="4">
        <f t="shared" si="25"/>
        <v>15.285000000000764</v>
      </c>
      <c r="G561" s="4">
        <f t="shared" si="26"/>
        <v>-15.285000000000764</v>
      </c>
    </row>
    <row r="562" spans="1:7" x14ac:dyDescent="0.3">
      <c r="A562" s="2">
        <v>43321</v>
      </c>
      <c r="B562" s="1">
        <v>52.22</v>
      </c>
      <c r="C562" s="1">
        <v>1898.52</v>
      </c>
      <c r="D562" s="1">
        <v>183.09</v>
      </c>
      <c r="E562" s="3">
        <f t="shared" si="27"/>
        <v>2746.24</v>
      </c>
      <c r="F562" s="4">
        <f t="shared" si="25"/>
        <v>86.175000000000182</v>
      </c>
      <c r="G562" s="4">
        <f t="shared" si="26"/>
        <v>-86.175000000000182</v>
      </c>
    </row>
    <row r="563" spans="1:7" x14ac:dyDescent="0.3">
      <c r="A563" s="2">
        <v>43320</v>
      </c>
      <c r="B563" s="1">
        <v>51.8125</v>
      </c>
      <c r="C563" s="1">
        <v>1886.52</v>
      </c>
      <c r="D563" s="1">
        <v>185.18</v>
      </c>
      <c r="E563" s="3">
        <f t="shared" si="27"/>
        <v>2660.0649999999996</v>
      </c>
      <c r="F563" s="4">
        <f t="shared" si="25"/>
        <v>22.429999999999382</v>
      </c>
      <c r="G563" s="4">
        <f t="shared" si="26"/>
        <v>-22.429999999999382</v>
      </c>
    </row>
    <row r="564" spans="1:7" x14ac:dyDescent="0.3">
      <c r="A564" s="2">
        <v>43319</v>
      </c>
      <c r="B564" s="1">
        <v>51.777500000000003</v>
      </c>
      <c r="C564" s="1">
        <v>1862.48</v>
      </c>
      <c r="D564" s="1">
        <v>183.81</v>
      </c>
      <c r="E564" s="3">
        <f t="shared" si="27"/>
        <v>2637.6350000000002</v>
      </c>
      <c r="F564" s="4">
        <f t="shared" si="25"/>
        <v>42.5600000000004</v>
      </c>
      <c r="G564" s="4">
        <f t="shared" si="26"/>
        <v>-42.5600000000004</v>
      </c>
    </row>
    <row r="565" spans="1:7" x14ac:dyDescent="0.3">
      <c r="A565" s="2">
        <v>43318</v>
      </c>
      <c r="B565" s="1">
        <v>52.267499999999998</v>
      </c>
      <c r="C565" s="1">
        <v>1847.75</v>
      </c>
      <c r="D565" s="1">
        <v>185.69</v>
      </c>
      <c r="E565" s="3">
        <f t="shared" si="27"/>
        <v>2595.0749999999998</v>
      </c>
      <c r="F565" s="4">
        <f t="shared" si="25"/>
        <v>-95.7800000000002</v>
      </c>
      <c r="G565" s="4">
        <f t="shared" si="26"/>
        <v>95.7800000000002</v>
      </c>
    </row>
    <row r="566" spans="1:7" x14ac:dyDescent="0.3">
      <c r="A566" s="2">
        <v>43315</v>
      </c>
      <c r="B566" s="1">
        <v>51.997500000000002</v>
      </c>
      <c r="C566" s="1">
        <v>1823.29</v>
      </c>
      <c r="D566" s="1">
        <v>177.78</v>
      </c>
      <c r="E566" s="3">
        <f t="shared" si="27"/>
        <v>2690.855</v>
      </c>
      <c r="F566" s="4">
        <f t="shared" si="25"/>
        <v>-42.779999999999745</v>
      </c>
      <c r="G566" s="4">
        <f t="shared" si="26"/>
        <v>42.779999999999745</v>
      </c>
    </row>
    <row r="567" spans="1:7" x14ac:dyDescent="0.3">
      <c r="A567" s="2">
        <v>43314</v>
      </c>
      <c r="B567" s="1">
        <v>51.847499999999997</v>
      </c>
      <c r="C567" s="1">
        <v>1834.33</v>
      </c>
      <c r="D567" s="1">
        <v>176.37</v>
      </c>
      <c r="E567" s="3">
        <f t="shared" si="27"/>
        <v>2733.6349999999998</v>
      </c>
      <c r="F567" s="4">
        <f t="shared" si="25"/>
        <v>53.544999999999618</v>
      </c>
      <c r="G567" s="4">
        <f t="shared" si="26"/>
        <v>-53.544999999999618</v>
      </c>
    </row>
    <row r="568" spans="1:7" x14ac:dyDescent="0.3">
      <c r="A568" s="2">
        <v>43313</v>
      </c>
      <c r="B568" s="1">
        <v>50.375</v>
      </c>
      <c r="C568" s="1">
        <v>1797.17</v>
      </c>
      <c r="D568" s="1">
        <v>171.65</v>
      </c>
      <c r="E568" s="3">
        <f t="shared" si="27"/>
        <v>2680.09</v>
      </c>
      <c r="F568" s="4">
        <f t="shared" si="25"/>
        <v>198.1850000000004</v>
      </c>
      <c r="G568" s="4">
        <f t="shared" si="26"/>
        <v>-198.1850000000004</v>
      </c>
    </row>
    <row r="569" spans="1:7" x14ac:dyDescent="0.3">
      <c r="A569" s="2">
        <v>43312</v>
      </c>
      <c r="B569" s="1">
        <v>47.572499999999998</v>
      </c>
      <c r="C569" s="1">
        <v>1777.44</v>
      </c>
      <c r="D569" s="1">
        <v>172.58</v>
      </c>
      <c r="E569" s="3">
        <f t="shared" si="27"/>
        <v>2481.9049999999997</v>
      </c>
      <c r="F569" s="4">
        <f t="shared" si="25"/>
        <v>-29.210000000000946</v>
      </c>
      <c r="G569" s="4">
        <f t="shared" si="26"/>
        <v>29.210000000000946</v>
      </c>
    </row>
    <row r="570" spans="1:7" x14ac:dyDescent="0.3">
      <c r="A570" s="2">
        <v>43311</v>
      </c>
      <c r="B570" s="1">
        <v>47.477499999999999</v>
      </c>
      <c r="C570" s="1">
        <v>1779.22</v>
      </c>
      <c r="D570" s="1">
        <v>171.06</v>
      </c>
      <c r="E570" s="3">
        <f t="shared" si="27"/>
        <v>2511.1150000000007</v>
      </c>
      <c r="F570" s="4">
        <f t="shared" si="25"/>
        <v>-12.874999999999545</v>
      </c>
      <c r="G570" s="4">
        <f t="shared" si="26"/>
        <v>12.874999999999545</v>
      </c>
    </row>
    <row r="571" spans="1:7" x14ac:dyDescent="0.3">
      <c r="A571" s="2">
        <v>43308</v>
      </c>
      <c r="B571" s="1">
        <v>47.744999999999997</v>
      </c>
      <c r="C571" s="1">
        <v>1817.27</v>
      </c>
      <c r="D571" s="1">
        <v>174.89</v>
      </c>
      <c r="E571" s="3">
        <f t="shared" si="27"/>
        <v>2523.9900000000002</v>
      </c>
      <c r="F571" s="4">
        <f t="shared" si="25"/>
        <v>5.5650000000000546</v>
      </c>
      <c r="G571" s="4">
        <f t="shared" si="26"/>
        <v>-5.5650000000000546</v>
      </c>
    </row>
    <row r="572" spans="1:7" x14ac:dyDescent="0.3">
      <c r="A572" s="2">
        <v>43307</v>
      </c>
      <c r="B572" s="1">
        <v>48.552500000000002</v>
      </c>
      <c r="C572" s="1">
        <v>1808</v>
      </c>
      <c r="D572" s="1">
        <v>176.26</v>
      </c>
      <c r="E572" s="3">
        <f t="shared" si="27"/>
        <v>2518.4250000000002</v>
      </c>
      <c r="F572" s="4">
        <f t="shared" si="25"/>
        <v>705.95500000000084</v>
      </c>
      <c r="G572" s="4">
        <f t="shared" si="26"/>
        <v>-705.95500000000084</v>
      </c>
    </row>
    <row r="573" spans="1:7" x14ac:dyDescent="0.3">
      <c r="A573" s="2">
        <v>43306</v>
      </c>
      <c r="B573" s="1">
        <v>48.704999999999998</v>
      </c>
      <c r="C573" s="1">
        <v>1863.61</v>
      </c>
      <c r="D573" s="1">
        <v>217.5</v>
      </c>
      <c r="E573" s="3">
        <f t="shared" si="27"/>
        <v>1812.4699999999993</v>
      </c>
      <c r="F573" s="4">
        <f t="shared" si="25"/>
        <v>34.889999999999418</v>
      </c>
      <c r="G573" s="4">
        <f t="shared" si="26"/>
        <v>-34.889999999999418</v>
      </c>
    </row>
    <row r="574" spans="1:7" x14ac:dyDescent="0.3">
      <c r="A574" s="2">
        <v>43305</v>
      </c>
      <c r="B574" s="1">
        <v>48.25</v>
      </c>
      <c r="C574" s="1">
        <v>1829.24</v>
      </c>
      <c r="D574" s="1">
        <v>214.67</v>
      </c>
      <c r="E574" s="3">
        <f t="shared" si="27"/>
        <v>1777.58</v>
      </c>
      <c r="F574" s="4">
        <f t="shared" si="25"/>
        <v>-3.3450000000002547</v>
      </c>
      <c r="G574" s="4">
        <f t="shared" si="26"/>
        <v>3.3450000000002547</v>
      </c>
    </row>
    <row r="575" spans="1:7" x14ac:dyDescent="0.3">
      <c r="A575" s="2">
        <v>43304</v>
      </c>
      <c r="B575" s="1">
        <v>47.902500000000003</v>
      </c>
      <c r="C575" s="1">
        <v>1802</v>
      </c>
      <c r="D575" s="1">
        <v>210.91</v>
      </c>
      <c r="E575" s="3">
        <f t="shared" si="27"/>
        <v>1780.9250000000002</v>
      </c>
      <c r="F575" s="4">
        <f t="shared" si="25"/>
        <v>-40.674999999999272</v>
      </c>
      <c r="G575" s="4">
        <f t="shared" si="26"/>
        <v>40.674999999999272</v>
      </c>
    </row>
    <row r="576" spans="1:7" x14ac:dyDescent="0.3">
      <c r="A576" s="2">
        <v>43301</v>
      </c>
      <c r="B576" s="1">
        <v>47.86</v>
      </c>
      <c r="C576" s="1">
        <v>1813.7</v>
      </c>
      <c r="D576" s="1">
        <v>209.94</v>
      </c>
      <c r="E576" s="3">
        <f t="shared" si="27"/>
        <v>1821.5999999999995</v>
      </c>
      <c r="F576" s="4">
        <f t="shared" si="25"/>
        <v>-41.040000000000873</v>
      </c>
      <c r="G576" s="4">
        <f t="shared" si="26"/>
        <v>41.040000000000873</v>
      </c>
    </row>
    <row r="577" spans="1:7" x14ac:dyDescent="0.3">
      <c r="A577" s="2">
        <v>43300</v>
      </c>
      <c r="B577" s="1">
        <v>47.97</v>
      </c>
      <c r="C577" s="1">
        <v>1812.97</v>
      </c>
      <c r="D577" s="1">
        <v>208.09</v>
      </c>
      <c r="E577" s="3">
        <f t="shared" si="27"/>
        <v>1862.6400000000003</v>
      </c>
      <c r="F577" s="4">
        <f t="shared" si="25"/>
        <v>-15.999999999999091</v>
      </c>
      <c r="G577" s="4">
        <f t="shared" si="26"/>
        <v>15.999999999999091</v>
      </c>
    </row>
    <row r="578" spans="1:7" x14ac:dyDescent="0.3">
      <c r="A578" s="2">
        <v>43299</v>
      </c>
      <c r="B578" s="1">
        <v>47.6</v>
      </c>
      <c r="C578" s="1">
        <v>1842.92</v>
      </c>
      <c r="D578" s="1">
        <v>209.36</v>
      </c>
      <c r="E578" s="3">
        <f t="shared" si="27"/>
        <v>1878.6399999999994</v>
      </c>
      <c r="F578" s="4">
        <f t="shared" si="25"/>
        <v>-2.5450000000009823</v>
      </c>
      <c r="G578" s="4">
        <f t="shared" si="26"/>
        <v>2.5450000000009823</v>
      </c>
    </row>
    <row r="579" spans="1:7" x14ac:dyDescent="0.3">
      <c r="A579" s="2">
        <v>43298</v>
      </c>
      <c r="B579" s="1">
        <v>47.862499999999997</v>
      </c>
      <c r="C579" s="1">
        <v>1843.93</v>
      </c>
      <c r="D579" s="1">
        <v>209.99</v>
      </c>
      <c r="E579" s="3">
        <f t="shared" si="27"/>
        <v>1881.1850000000004</v>
      </c>
      <c r="F579" s="4">
        <f t="shared" si="25"/>
        <v>-5.569999999999709</v>
      </c>
      <c r="G579" s="4">
        <f t="shared" si="26"/>
        <v>5.569999999999709</v>
      </c>
    </row>
    <row r="580" spans="1:7" x14ac:dyDescent="0.3">
      <c r="A580" s="2">
        <v>43297</v>
      </c>
      <c r="B580" s="1">
        <v>47.727499999999999</v>
      </c>
      <c r="C580" s="1">
        <v>1822.49</v>
      </c>
      <c r="D580" s="1">
        <v>207.23</v>
      </c>
      <c r="E580" s="3">
        <f t="shared" si="27"/>
        <v>1886.7550000000001</v>
      </c>
      <c r="F580" s="4">
        <f t="shared" si="25"/>
        <v>15.470000000000255</v>
      </c>
      <c r="G580" s="4">
        <f t="shared" si="26"/>
        <v>-15.470000000000255</v>
      </c>
    </row>
    <row r="581" spans="1:7" x14ac:dyDescent="0.3">
      <c r="A581" s="2">
        <v>43294</v>
      </c>
      <c r="B581" s="1">
        <v>47.832500000000003</v>
      </c>
      <c r="C581" s="1">
        <v>1813.03</v>
      </c>
      <c r="D581" s="1">
        <v>207.32</v>
      </c>
      <c r="E581" s="3">
        <f t="shared" si="27"/>
        <v>1871.2849999999999</v>
      </c>
      <c r="F581" s="4">
        <f t="shared" ref="F581:F644" si="28">E581-E582</f>
        <v>28.569999999999709</v>
      </c>
      <c r="G581" s="4">
        <f t="shared" ref="G581:G644" si="29">-F581</f>
        <v>-28.569999999999709</v>
      </c>
    </row>
    <row r="582" spans="1:7" x14ac:dyDescent="0.3">
      <c r="A582" s="2">
        <v>43293</v>
      </c>
      <c r="B582" s="1">
        <v>47.7575</v>
      </c>
      <c r="C582" s="1">
        <v>1796.62</v>
      </c>
      <c r="D582" s="1">
        <v>206.92</v>
      </c>
      <c r="E582" s="3">
        <f t="shared" ref="E582:E645" si="30">50*B582+2*C582-20*D582</f>
        <v>1842.7150000000001</v>
      </c>
      <c r="F582" s="4">
        <f t="shared" si="28"/>
        <v>35.014999999999873</v>
      </c>
      <c r="G582" s="4">
        <f t="shared" si="29"/>
        <v>-35.014999999999873</v>
      </c>
    </row>
    <row r="583" spans="1:7" x14ac:dyDescent="0.3">
      <c r="A583" s="2">
        <v>43292</v>
      </c>
      <c r="B583" s="1">
        <v>46.97</v>
      </c>
      <c r="C583" s="1">
        <v>1755</v>
      </c>
      <c r="D583" s="1">
        <v>202.54</v>
      </c>
      <c r="E583" s="3">
        <f t="shared" si="30"/>
        <v>1807.7000000000003</v>
      </c>
      <c r="F583" s="4">
        <f t="shared" si="28"/>
        <v>12.985000000000582</v>
      </c>
      <c r="G583" s="4">
        <f t="shared" si="29"/>
        <v>-12.985000000000582</v>
      </c>
    </row>
    <row r="584" spans="1:7" x14ac:dyDescent="0.3">
      <c r="A584" s="2">
        <v>43291</v>
      </c>
      <c r="B584" s="1">
        <v>47.587499999999999</v>
      </c>
      <c r="C584" s="1">
        <v>1743.07</v>
      </c>
      <c r="D584" s="1">
        <v>203.54</v>
      </c>
      <c r="E584" s="3">
        <f t="shared" si="30"/>
        <v>1794.7149999999997</v>
      </c>
      <c r="F584" s="4">
        <f t="shared" si="28"/>
        <v>29.224999999999909</v>
      </c>
      <c r="G584" s="4">
        <f t="shared" si="29"/>
        <v>-29.224999999999909</v>
      </c>
    </row>
    <row r="585" spans="1:7" x14ac:dyDescent="0.3">
      <c r="A585" s="2">
        <v>43290</v>
      </c>
      <c r="B585" s="1">
        <v>47.645000000000003</v>
      </c>
      <c r="C585" s="1">
        <v>1739.02</v>
      </c>
      <c r="D585" s="1">
        <v>204.74</v>
      </c>
      <c r="E585" s="3">
        <f t="shared" si="30"/>
        <v>1765.4899999999998</v>
      </c>
      <c r="F585" s="4">
        <f t="shared" si="28"/>
        <v>59.204999999999472</v>
      </c>
      <c r="G585" s="4">
        <f t="shared" si="29"/>
        <v>-59.204999999999472</v>
      </c>
    </row>
    <row r="586" spans="1:7" x14ac:dyDescent="0.3">
      <c r="A586" s="2">
        <v>43287</v>
      </c>
      <c r="B586" s="1">
        <v>46.9925</v>
      </c>
      <c r="C586" s="1">
        <v>1710.63</v>
      </c>
      <c r="D586" s="1">
        <v>203.23</v>
      </c>
      <c r="E586" s="3">
        <f t="shared" si="30"/>
        <v>1706.2850000000003</v>
      </c>
      <c r="F586" s="4">
        <f t="shared" si="28"/>
        <v>-41.674999999999727</v>
      </c>
      <c r="G586" s="4">
        <f t="shared" si="29"/>
        <v>41.674999999999727</v>
      </c>
    </row>
    <row r="587" spans="1:7" x14ac:dyDescent="0.3">
      <c r="A587" s="2">
        <v>43286</v>
      </c>
      <c r="B587" s="1">
        <v>46.35</v>
      </c>
      <c r="C587" s="1">
        <v>1699.73</v>
      </c>
      <c r="D587" s="1">
        <v>198.45</v>
      </c>
      <c r="E587" s="3">
        <f t="shared" si="30"/>
        <v>1747.96</v>
      </c>
      <c r="F587" s="4">
        <f t="shared" si="28"/>
        <v>-84.360000000000127</v>
      </c>
      <c r="G587" s="4">
        <f t="shared" si="29"/>
        <v>84.360000000000127</v>
      </c>
    </row>
    <row r="588" spans="1:7" x14ac:dyDescent="0.3">
      <c r="A588" s="2">
        <v>43285</v>
      </c>
      <c r="B588" s="1">
        <v>45.98</v>
      </c>
      <c r="C588" s="1">
        <v>1693.96</v>
      </c>
      <c r="D588" s="1">
        <v>192.73</v>
      </c>
      <c r="E588" s="3">
        <f t="shared" si="30"/>
        <v>1832.3200000000002</v>
      </c>
      <c r="F588" s="4">
        <f t="shared" si="28"/>
        <v>0</v>
      </c>
      <c r="G588" s="4">
        <f t="shared" si="29"/>
        <v>0</v>
      </c>
    </row>
    <row r="589" spans="1:7" x14ac:dyDescent="0.3">
      <c r="A589" s="2">
        <v>43284</v>
      </c>
      <c r="B589" s="1">
        <v>45.98</v>
      </c>
      <c r="C589" s="1">
        <v>1693.96</v>
      </c>
      <c r="D589" s="1">
        <v>192.73</v>
      </c>
      <c r="E589" s="3">
        <f t="shared" si="30"/>
        <v>1832.3200000000002</v>
      </c>
      <c r="F589" s="4">
        <f t="shared" si="28"/>
        <v>12.210000000000946</v>
      </c>
      <c r="G589" s="4">
        <f t="shared" si="29"/>
        <v>-12.210000000000946</v>
      </c>
    </row>
    <row r="590" spans="1:7" x14ac:dyDescent="0.3">
      <c r="A590" s="2">
        <v>43283</v>
      </c>
      <c r="B590" s="1">
        <v>46.795000000000002</v>
      </c>
      <c r="C590" s="1">
        <v>1713.78</v>
      </c>
      <c r="D590" s="1">
        <v>197.36</v>
      </c>
      <c r="E590" s="3">
        <f t="shared" si="30"/>
        <v>1820.1099999999992</v>
      </c>
      <c r="F590" s="4">
        <f t="shared" si="28"/>
        <v>-6.9650000000015098</v>
      </c>
      <c r="G590" s="4">
        <f t="shared" si="29"/>
        <v>6.9650000000015098</v>
      </c>
    </row>
    <row r="591" spans="1:7" x14ac:dyDescent="0.3">
      <c r="A591" s="2">
        <v>43280</v>
      </c>
      <c r="B591" s="1">
        <v>46.277500000000003</v>
      </c>
      <c r="C591" s="1">
        <v>1699.8</v>
      </c>
      <c r="D591" s="1">
        <v>194.32</v>
      </c>
      <c r="E591" s="3">
        <f t="shared" si="30"/>
        <v>1827.0750000000007</v>
      </c>
      <c r="F591" s="4">
        <f t="shared" si="28"/>
        <v>30.025000000001</v>
      </c>
      <c r="G591" s="4">
        <f t="shared" si="29"/>
        <v>-30.025000000001</v>
      </c>
    </row>
    <row r="592" spans="1:7" x14ac:dyDescent="0.3">
      <c r="A592" s="2">
        <v>43279</v>
      </c>
      <c r="B592" s="1">
        <v>46.375</v>
      </c>
      <c r="C592" s="1">
        <v>1701.45</v>
      </c>
      <c r="D592" s="1">
        <v>196.23</v>
      </c>
      <c r="E592" s="3">
        <f t="shared" si="30"/>
        <v>1797.0499999999997</v>
      </c>
      <c r="F592" s="4">
        <f t="shared" si="28"/>
        <v>90.829999999999472</v>
      </c>
      <c r="G592" s="4">
        <f t="shared" si="29"/>
        <v>-90.829999999999472</v>
      </c>
    </row>
    <row r="593" spans="1:7" x14ac:dyDescent="0.3">
      <c r="A593" s="2">
        <v>43278</v>
      </c>
      <c r="B593" s="1">
        <v>46.04</v>
      </c>
      <c r="C593" s="1">
        <v>1660.51</v>
      </c>
      <c r="D593" s="1">
        <v>195.84</v>
      </c>
      <c r="E593" s="3">
        <f t="shared" si="30"/>
        <v>1706.2200000000003</v>
      </c>
      <c r="F593" s="4">
        <f t="shared" si="28"/>
        <v>-1.3350000000000364</v>
      </c>
      <c r="G593" s="4">
        <f t="shared" si="29"/>
        <v>1.3350000000000364</v>
      </c>
    </row>
    <row r="594" spans="1:7" x14ac:dyDescent="0.3">
      <c r="A594" s="2">
        <v>43277</v>
      </c>
      <c r="B594" s="1">
        <v>46.107500000000002</v>
      </c>
      <c r="C594" s="1">
        <v>1691.09</v>
      </c>
      <c r="D594" s="1">
        <v>199</v>
      </c>
      <c r="E594" s="3">
        <f t="shared" si="30"/>
        <v>1707.5550000000003</v>
      </c>
      <c r="F594" s="4">
        <f t="shared" si="28"/>
        <v>31.130000000000109</v>
      </c>
      <c r="G594" s="4">
        <f t="shared" si="29"/>
        <v>-31.130000000000109</v>
      </c>
    </row>
    <row r="595" spans="1:7" x14ac:dyDescent="0.3">
      <c r="A595" s="2">
        <v>43276</v>
      </c>
      <c r="B595" s="1">
        <v>45.542499999999997</v>
      </c>
      <c r="C595" s="1">
        <v>1663.15</v>
      </c>
      <c r="D595" s="1">
        <v>196.35</v>
      </c>
      <c r="E595" s="3">
        <f t="shared" si="30"/>
        <v>1676.4250000000002</v>
      </c>
      <c r="F595" s="4">
        <f t="shared" si="28"/>
        <v>-31.614999999999782</v>
      </c>
      <c r="G595" s="4">
        <f t="shared" si="29"/>
        <v>31.614999999999782</v>
      </c>
    </row>
    <row r="596" spans="1:7" x14ac:dyDescent="0.3">
      <c r="A596" s="2">
        <v>43273</v>
      </c>
      <c r="B596" s="1">
        <v>46.23</v>
      </c>
      <c r="C596" s="1">
        <v>1715.67</v>
      </c>
      <c r="D596" s="1">
        <v>201.74</v>
      </c>
      <c r="E596" s="3">
        <f t="shared" si="30"/>
        <v>1708.04</v>
      </c>
      <c r="F596" s="4">
        <f t="shared" si="28"/>
        <v>-40.650000000000546</v>
      </c>
      <c r="G596" s="4">
        <f t="shared" si="29"/>
        <v>40.650000000000546</v>
      </c>
    </row>
    <row r="597" spans="1:7" x14ac:dyDescent="0.3">
      <c r="A597" s="2">
        <v>43272</v>
      </c>
      <c r="B597" s="1">
        <v>46.365000000000002</v>
      </c>
      <c r="C597" s="1">
        <v>1730.22</v>
      </c>
      <c r="D597" s="1">
        <v>201.5</v>
      </c>
      <c r="E597" s="3">
        <f t="shared" si="30"/>
        <v>1748.6900000000005</v>
      </c>
      <c r="F597" s="4">
        <f t="shared" si="28"/>
        <v>-42.719999999999345</v>
      </c>
      <c r="G597" s="4">
        <f t="shared" si="29"/>
        <v>42.719999999999345</v>
      </c>
    </row>
    <row r="598" spans="1:7" x14ac:dyDescent="0.3">
      <c r="A598" s="2">
        <v>43271</v>
      </c>
      <c r="B598" s="1">
        <v>46.625</v>
      </c>
      <c r="C598" s="1">
        <v>1750.08</v>
      </c>
      <c r="D598" s="1">
        <v>202</v>
      </c>
      <c r="E598" s="3">
        <f t="shared" si="30"/>
        <v>1791.4099999999999</v>
      </c>
      <c r="F598" s="4">
        <f t="shared" si="28"/>
        <v>-49.474999999999454</v>
      </c>
      <c r="G598" s="4">
        <f t="shared" si="29"/>
        <v>49.474999999999454</v>
      </c>
    </row>
    <row r="599" spans="1:7" x14ac:dyDescent="0.3">
      <c r="A599" s="2">
        <v>43270</v>
      </c>
      <c r="B599" s="1">
        <v>46.422499999999999</v>
      </c>
      <c r="C599" s="1">
        <v>1734.78</v>
      </c>
      <c r="D599" s="1">
        <v>197.49</v>
      </c>
      <c r="E599" s="3">
        <f t="shared" si="30"/>
        <v>1840.8849999999993</v>
      </c>
      <c r="F599" s="4">
        <f t="shared" si="28"/>
        <v>0.25499999999919964</v>
      </c>
      <c r="G599" s="4">
        <f t="shared" si="29"/>
        <v>-0.25499999999919964</v>
      </c>
    </row>
    <row r="600" spans="1:7" x14ac:dyDescent="0.3">
      <c r="A600" s="2">
        <v>43269</v>
      </c>
      <c r="B600" s="1">
        <v>47.185000000000002</v>
      </c>
      <c r="C600" s="1">
        <v>1723.79</v>
      </c>
      <c r="D600" s="1">
        <v>198.31</v>
      </c>
      <c r="E600" s="3">
        <f t="shared" si="30"/>
        <v>1840.63</v>
      </c>
      <c r="F600" s="4">
        <f t="shared" si="28"/>
        <v>-34.8100000000004</v>
      </c>
      <c r="G600" s="4">
        <f t="shared" si="29"/>
        <v>34.8100000000004</v>
      </c>
    </row>
    <row r="601" spans="1:7" x14ac:dyDescent="0.3">
      <c r="A601" s="2">
        <v>43266</v>
      </c>
      <c r="B601" s="1">
        <v>47.21</v>
      </c>
      <c r="C601" s="1">
        <v>1715.97</v>
      </c>
      <c r="D601" s="1">
        <v>195.85</v>
      </c>
      <c r="E601" s="3">
        <f t="shared" si="30"/>
        <v>1875.4400000000005</v>
      </c>
      <c r="F601" s="4">
        <f t="shared" si="28"/>
        <v>-21.079999999999018</v>
      </c>
      <c r="G601" s="4">
        <f t="shared" si="29"/>
        <v>21.079999999999018</v>
      </c>
    </row>
    <row r="602" spans="1:7" x14ac:dyDescent="0.3">
      <c r="A602" s="2">
        <v>43265</v>
      </c>
      <c r="B602" s="1">
        <v>47.7</v>
      </c>
      <c r="C602" s="1">
        <v>1723.86</v>
      </c>
      <c r="D602" s="1">
        <v>196.81</v>
      </c>
      <c r="E602" s="3">
        <f t="shared" si="30"/>
        <v>1896.5199999999995</v>
      </c>
      <c r="F602" s="4">
        <f t="shared" si="28"/>
        <v>-48.75</v>
      </c>
      <c r="G602" s="4">
        <f t="shared" si="29"/>
        <v>48.75</v>
      </c>
    </row>
    <row r="603" spans="1:7" x14ac:dyDescent="0.3">
      <c r="A603" s="2">
        <v>43264</v>
      </c>
      <c r="B603" s="1">
        <v>47.674999999999997</v>
      </c>
      <c r="C603" s="1">
        <v>1704.86</v>
      </c>
      <c r="D603" s="1">
        <v>192.41</v>
      </c>
      <c r="E603" s="3">
        <f t="shared" si="30"/>
        <v>1945.2699999999995</v>
      </c>
      <c r="F603" s="4">
        <f t="shared" si="28"/>
        <v>-7.7300000000004729</v>
      </c>
      <c r="G603" s="4">
        <f t="shared" si="29"/>
        <v>7.7300000000004729</v>
      </c>
    </row>
    <row r="604" spans="1:7" x14ac:dyDescent="0.3">
      <c r="A604" s="2">
        <v>43263</v>
      </c>
      <c r="B604" s="1">
        <v>48.07</v>
      </c>
      <c r="C604" s="1">
        <v>1698.75</v>
      </c>
      <c r="D604" s="1">
        <v>192.4</v>
      </c>
      <c r="E604" s="3">
        <f t="shared" si="30"/>
        <v>1953</v>
      </c>
      <c r="F604" s="4">
        <f t="shared" si="28"/>
        <v>15.184999999999945</v>
      </c>
      <c r="G604" s="4">
        <f t="shared" si="29"/>
        <v>-15.184999999999945</v>
      </c>
    </row>
    <row r="605" spans="1:7" x14ac:dyDescent="0.3">
      <c r="A605" s="2">
        <v>43262</v>
      </c>
      <c r="B605" s="1">
        <v>47.807499999999997</v>
      </c>
      <c r="C605" s="1">
        <v>1689.12</v>
      </c>
      <c r="D605" s="1">
        <v>191.54</v>
      </c>
      <c r="E605" s="3">
        <f t="shared" si="30"/>
        <v>1937.8150000000001</v>
      </c>
      <c r="F605" s="4">
        <f t="shared" si="28"/>
        <v>-44.414999999999509</v>
      </c>
      <c r="G605" s="4">
        <f t="shared" si="29"/>
        <v>44.414999999999509</v>
      </c>
    </row>
    <row r="606" spans="1:7" x14ac:dyDescent="0.3">
      <c r="A606" s="2">
        <v>43259</v>
      </c>
      <c r="B606" s="1">
        <v>47.924999999999997</v>
      </c>
      <c r="C606" s="1">
        <v>1683.99</v>
      </c>
      <c r="D606" s="1">
        <v>189.1</v>
      </c>
      <c r="E606" s="3">
        <f t="shared" si="30"/>
        <v>1982.2299999999996</v>
      </c>
      <c r="F606" s="4">
        <f t="shared" si="28"/>
        <v>-51.020000000000437</v>
      </c>
      <c r="G606" s="4">
        <f t="shared" si="29"/>
        <v>51.020000000000437</v>
      </c>
    </row>
    <row r="607" spans="1:7" x14ac:dyDescent="0.3">
      <c r="A607" s="2">
        <v>43258</v>
      </c>
      <c r="B607" s="1">
        <v>48.365000000000002</v>
      </c>
      <c r="C607" s="1">
        <v>1689.3</v>
      </c>
      <c r="D607" s="1">
        <v>188.18</v>
      </c>
      <c r="E607" s="3">
        <f t="shared" si="30"/>
        <v>2033.25</v>
      </c>
      <c r="F607" s="4">
        <f t="shared" si="28"/>
        <v>43.800000000000182</v>
      </c>
      <c r="G607" s="4">
        <f t="shared" si="29"/>
        <v>-43.800000000000182</v>
      </c>
    </row>
    <row r="608" spans="1:7" x14ac:dyDescent="0.3">
      <c r="A608" s="2">
        <v>43257</v>
      </c>
      <c r="B608" s="1">
        <v>48.494999999999997</v>
      </c>
      <c r="C608" s="1">
        <v>1695.75</v>
      </c>
      <c r="D608" s="1">
        <v>191.34</v>
      </c>
      <c r="E608" s="3">
        <f t="shared" si="30"/>
        <v>1989.4499999999998</v>
      </c>
      <c r="F608" s="4">
        <f t="shared" si="28"/>
        <v>39.175000000000182</v>
      </c>
      <c r="G608" s="4">
        <f t="shared" si="29"/>
        <v>-39.175000000000182</v>
      </c>
    </row>
    <row r="609" spans="1:7" x14ac:dyDescent="0.3">
      <c r="A609" s="2">
        <v>43256</v>
      </c>
      <c r="B609" s="1">
        <v>48.327500000000001</v>
      </c>
      <c r="C609" s="1">
        <v>1696.35</v>
      </c>
      <c r="D609" s="1">
        <v>192.94</v>
      </c>
      <c r="E609" s="3">
        <f t="shared" si="30"/>
        <v>1950.2749999999996</v>
      </c>
      <c r="F609" s="4">
        <f t="shared" si="28"/>
        <v>87.459999999999582</v>
      </c>
      <c r="G609" s="4">
        <f t="shared" si="29"/>
        <v>-87.459999999999582</v>
      </c>
    </row>
    <row r="610" spans="1:7" x14ac:dyDescent="0.3">
      <c r="A610" s="2">
        <v>43255</v>
      </c>
      <c r="B610" s="1">
        <v>47.957500000000003</v>
      </c>
      <c r="C610" s="1">
        <v>1665.27</v>
      </c>
      <c r="D610" s="1">
        <v>193.28</v>
      </c>
      <c r="E610" s="3">
        <f t="shared" si="30"/>
        <v>1862.8150000000001</v>
      </c>
      <c r="F610" s="4">
        <f t="shared" si="28"/>
        <v>81.535000000000309</v>
      </c>
      <c r="G610" s="4">
        <f t="shared" si="29"/>
        <v>-81.535000000000309</v>
      </c>
    </row>
    <row r="611" spans="1:7" x14ac:dyDescent="0.3">
      <c r="A611" s="2">
        <v>43252</v>
      </c>
      <c r="B611" s="1">
        <v>47.56</v>
      </c>
      <c r="C611" s="1">
        <v>1641.54</v>
      </c>
      <c r="D611" s="1">
        <v>193.99</v>
      </c>
      <c r="E611" s="3">
        <f t="shared" si="30"/>
        <v>1781.2799999999997</v>
      </c>
      <c r="F611" s="4">
        <f t="shared" si="28"/>
        <v>21.764999999999873</v>
      </c>
      <c r="G611" s="4">
        <f t="shared" si="29"/>
        <v>-21.764999999999873</v>
      </c>
    </row>
    <row r="612" spans="1:7" x14ac:dyDescent="0.3">
      <c r="A612" s="2">
        <v>43251</v>
      </c>
      <c r="B612" s="1">
        <v>46.717500000000001</v>
      </c>
      <c r="C612" s="1">
        <v>1629.62</v>
      </c>
      <c r="D612" s="1">
        <v>191.78</v>
      </c>
      <c r="E612" s="3">
        <f t="shared" si="30"/>
        <v>1759.5149999999999</v>
      </c>
      <c r="F612" s="4">
        <f t="shared" si="28"/>
        <v>-80.615000000001146</v>
      </c>
      <c r="G612" s="4">
        <f t="shared" si="29"/>
        <v>80.615000000001146</v>
      </c>
    </row>
    <row r="613" spans="1:7" x14ac:dyDescent="0.3">
      <c r="A613" s="2">
        <v>43250</v>
      </c>
      <c r="B613" s="1">
        <v>46.875</v>
      </c>
      <c r="C613" s="1">
        <v>1624.89</v>
      </c>
      <c r="D613" s="1">
        <v>187.67</v>
      </c>
      <c r="E613" s="3">
        <f t="shared" si="30"/>
        <v>1840.130000000001</v>
      </c>
      <c r="F613" s="4">
        <f t="shared" si="28"/>
        <v>-19.559999999998581</v>
      </c>
      <c r="G613" s="4">
        <f t="shared" si="29"/>
        <v>19.559999999998581</v>
      </c>
    </row>
    <row r="614" spans="1:7" x14ac:dyDescent="0.3">
      <c r="A614" s="2">
        <v>43249</v>
      </c>
      <c r="B614" s="1">
        <v>46.975000000000001</v>
      </c>
      <c r="C614" s="1">
        <v>1612.87</v>
      </c>
      <c r="D614" s="1">
        <v>185.74</v>
      </c>
      <c r="E614" s="3">
        <f t="shared" si="30"/>
        <v>1859.6899999999996</v>
      </c>
      <c r="F614" s="4">
        <f t="shared" si="28"/>
        <v>-19.460000000000946</v>
      </c>
      <c r="G614" s="4">
        <f t="shared" si="29"/>
        <v>19.460000000000946</v>
      </c>
    </row>
    <row r="615" spans="1:7" x14ac:dyDescent="0.3">
      <c r="A615" s="2">
        <v>43248</v>
      </c>
      <c r="B615" s="1">
        <v>47.145000000000003</v>
      </c>
      <c r="C615" s="1">
        <v>1610.15</v>
      </c>
      <c r="D615" s="1">
        <v>184.92</v>
      </c>
      <c r="E615" s="3">
        <f t="shared" si="30"/>
        <v>1879.1500000000005</v>
      </c>
      <c r="F615" s="4">
        <f t="shared" si="28"/>
        <v>0</v>
      </c>
      <c r="G615" s="4">
        <f t="shared" si="29"/>
        <v>0</v>
      </c>
    </row>
    <row r="616" spans="1:7" x14ac:dyDescent="0.3">
      <c r="A616" s="2">
        <v>43245</v>
      </c>
      <c r="B616" s="1">
        <v>47.145000000000003</v>
      </c>
      <c r="C616" s="1">
        <v>1610.15</v>
      </c>
      <c r="D616" s="1">
        <v>184.92</v>
      </c>
      <c r="E616" s="3">
        <f t="shared" si="30"/>
        <v>1879.1500000000005</v>
      </c>
      <c r="F616" s="4">
        <f t="shared" si="28"/>
        <v>39.735000000001492</v>
      </c>
      <c r="G616" s="4">
        <f t="shared" si="29"/>
        <v>-39.735000000001492</v>
      </c>
    </row>
    <row r="617" spans="1:7" x14ac:dyDescent="0.3">
      <c r="A617" s="2">
        <v>43244</v>
      </c>
      <c r="B617" s="1">
        <v>47.037500000000001</v>
      </c>
      <c r="C617" s="1">
        <v>1603.07</v>
      </c>
      <c r="D617" s="1">
        <v>185.93</v>
      </c>
      <c r="E617" s="3">
        <f t="shared" si="30"/>
        <v>1839.4149999999991</v>
      </c>
      <c r="F617" s="4">
        <f t="shared" si="28"/>
        <v>19.194999999999709</v>
      </c>
      <c r="G617" s="4">
        <f t="shared" si="29"/>
        <v>-19.194999999999709</v>
      </c>
    </row>
    <row r="618" spans="1:7" x14ac:dyDescent="0.3">
      <c r="A618" s="2">
        <v>43243</v>
      </c>
      <c r="B618" s="1">
        <v>47.09</v>
      </c>
      <c r="C618" s="1">
        <v>1601.86</v>
      </c>
      <c r="D618" s="1">
        <v>186.9</v>
      </c>
      <c r="E618" s="3">
        <f t="shared" si="30"/>
        <v>1820.2199999999993</v>
      </c>
      <c r="F618" s="4">
        <f t="shared" si="28"/>
        <v>-6.0800000000008367</v>
      </c>
      <c r="G618" s="4">
        <f t="shared" si="29"/>
        <v>6.0800000000008367</v>
      </c>
    </row>
    <row r="619" spans="1:7" x14ac:dyDescent="0.3">
      <c r="A619" s="2">
        <v>43242</v>
      </c>
      <c r="B619" s="1">
        <v>46.79</v>
      </c>
      <c r="C619" s="1">
        <v>1581.4</v>
      </c>
      <c r="D619" s="1">
        <v>183.8</v>
      </c>
      <c r="E619" s="3">
        <f t="shared" si="30"/>
        <v>1826.3000000000002</v>
      </c>
      <c r="F619" s="4">
        <f t="shared" si="28"/>
        <v>-0.19499999999970896</v>
      </c>
      <c r="G619" s="4">
        <f t="shared" si="29"/>
        <v>0.19499999999970896</v>
      </c>
    </row>
    <row r="620" spans="1:7" x14ac:dyDescent="0.3">
      <c r="A620" s="2">
        <v>43241</v>
      </c>
      <c r="B620" s="1">
        <v>46.907499999999999</v>
      </c>
      <c r="C620" s="1">
        <v>1585.46</v>
      </c>
      <c r="D620" s="1">
        <v>184.49</v>
      </c>
      <c r="E620" s="3">
        <f t="shared" si="30"/>
        <v>1826.4949999999999</v>
      </c>
      <c r="F620" s="4">
        <f t="shared" si="28"/>
        <v>2.4800000000004729</v>
      </c>
      <c r="G620" s="4">
        <f t="shared" si="29"/>
        <v>-2.4800000000004729</v>
      </c>
    </row>
    <row r="621" spans="1:7" x14ac:dyDescent="0.3">
      <c r="A621" s="2">
        <v>43238</v>
      </c>
      <c r="B621" s="1">
        <v>46.577500000000001</v>
      </c>
      <c r="C621" s="1">
        <v>1574.37</v>
      </c>
      <c r="D621" s="1">
        <v>182.68</v>
      </c>
      <c r="E621" s="3">
        <f t="shared" si="30"/>
        <v>1824.0149999999994</v>
      </c>
      <c r="F621" s="4">
        <f t="shared" si="28"/>
        <v>-1.6800000000012005</v>
      </c>
      <c r="G621" s="4">
        <f t="shared" si="29"/>
        <v>1.6800000000012005</v>
      </c>
    </row>
    <row r="622" spans="1:7" x14ac:dyDescent="0.3">
      <c r="A622" s="2">
        <v>43237</v>
      </c>
      <c r="B622" s="1">
        <v>46.747500000000002</v>
      </c>
      <c r="C622" s="1">
        <v>1581.76</v>
      </c>
      <c r="D622" s="1">
        <v>183.76</v>
      </c>
      <c r="E622" s="3">
        <f t="shared" si="30"/>
        <v>1825.6950000000006</v>
      </c>
      <c r="F622" s="4">
        <f t="shared" si="28"/>
        <v>-37.114999999998872</v>
      </c>
      <c r="G622" s="4">
        <f t="shared" si="29"/>
        <v>37.114999999998872</v>
      </c>
    </row>
    <row r="623" spans="1:7" x14ac:dyDescent="0.3">
      <c r="A623" s="2">
        <v>43236</v>
      </c>
      <c r="B623" s="1">
        <v>47.045000000000002</v>
      </c>
      <c r="C623" s="1">
        <v>1587.28</v>
      </c>
      <c r="D623" s="1">
        <v>183.2</v>
      </c>
      <c r="E623" s="3">
        <f t="shared" si="30"/>
        <v>1862.8099999999995</v>
      </c>
      <c r="F623" s="4">
        <f t="shared" si="28"/>
        <v>66.469999999999345</v>
      </c>
      <c r="G623" s="4">
        <f t="shared" si="29"/>
        <v>-66.469999999999345</v>
      </c>
    </row>
    <row r="624" spans="1:7" x14ac:dyDescent="0.3">
      <c r="A624" s="2">
        <v>43235</v>
      </c>
      <c r="B624" s="1">
        <v>46.61</v>
      </c>
      <c r="C624" s="1">
        <v>1576.12</v>
      </c>
      <c r="D624" s="1">
        <v>184.32</v>
      </c>
      <c r="E624" s="3">
        <f t="shared" si="30"/>
        <v>1796.3400000000001</v>
      </c>
      <c r="F624" s="4">
        <f t="shared" si="28"/>
        <v>-25.815000000000055</v>
      </c>
      <c r="G624" s="4">
        <f t="shared" si="29"/>
        <v>25.815000000000055</v>
      </c>
    </row>
    <row r="625" spans="1:7" x14ac:dyDescent="0.3">
      <c r="A625" s="2">
        <v>43234</v>
      </c>
      <c r="B625" s="1">
        <v>47.037500000000001</v>
      </c>
      <c r="C625" s="1">
        <v>1601.54</v>
      </c>
      <c r="D625" s="1">
        <v>186.64</v>
      </c>
      <c r="E625" s="3">
        <f t="shared" si="30"/>
        <v>1822.1550000000002</v>
      </c>
      <c r="F625" s="4">
        <f t="shared" si="28"/>
        <v>-1.239999999999327</v>
      </c>
      <c r="G625" s="4">
        <f t="shared" si="29"/>
        <v>1.239999999999327</v>
      </c>
    </row>
    <row r="626" spans="1:7" x14ac:dyDescent="0.3">
      <c r="A626" s="2">
        <v>43231</v>
      </c>
      <c r="B626" s="1">
        <v>47.147500000000001</v>
      </c>
      <c r="C626" s="1">
        <v>1602.91</v>
      </c>
      <c r="D626" s="1">
        <v>186.99</v>
      </c>
      <c r="E626" s="3">
        <f t="shared" si="30"/>
        <v>1823.3949999999995</v>
      </c>
      <c r="F626" s="4">
        <f t="shared" si="28"/>
        <v>-59.665000000000418</v>
      </c>
      <c r="G626" s="4">
        <f t="shared" si="29"/>
        <v>59.665000000000418</v>
      </c>
    </row>
    <row r="627" spans="1:7" x14ac:dyDescent="0.3">
      <c r="A627" s="2">
        <v>43230</v>
      </c>
      <c r="B627" s="1">
        <v>47.51</v>
      </c>
      <c r="C627" s="1">
        <v>1609.08</v>
      </c>
      <c r="D627" s="1">
        <v>185.53</v>
      </c>
      <c r="E627" s="3">
        <f t="shared" si="30"/>
        <v>1883.06</v>
      </c>
      <c r="F627" s="4">
        <f t="shared" si="28"/>
        <v>-21.740000000000236</v>
      </c>
      <c r="G627" s="4">
        <f t="shared" si="29"/>
        <v>21.740000000000236</v>
      </c>
    </row>
    <row r="628" spans="1:7" x14ac:dyDescent="0.3">
      <c r="A628" s="2">
        <v>43229</v>
      </c>
      <c r="B628" s="1">
        <v>46.84</v>
      </c>
      <c r="C628" s="1">
        <v>1608</v>
      </c>
      <c r="D628" s="1">
        <v>182.66</v>
      </c>
      <c r="E628" s="3">
        <f t="shared" si="30"/>
        <v>1904.8000000000002</v>
      </c>
      <c r="F628" s="4">
        <f t="shared" si="28"/>
        <v>-27.205000000000837</v>
      </c>
      <c r="G628" s="4">
        <f t="shared" si="29"/>
        <v>27.205000000000837</v>
      </c>
    </row>
    <row r="629" spans="1:7" x14ac:dyDescent="0.3">
      <c r="A629" s="2">
        <v>43228</v>
      </c>
      <c r="B629" s="1">
        <v>46.512500000000003</v>
      </c>
      <c r="C629" s="1">
        <v>1592.39</v>
      </c>
      <c r="D629" s="1">
        <v>178.92</v>
      </c>
      <c r="E629" s="3">
        <f t="shared" si="30"/>
        <v>1932.005000000001</v>
      </c>
      <c r="F629" s="4">
        <f t="shared" si="28"/>
        <v>-23.374999999999545</v>
      </c>
      <c r="G629" s="4">
        <f t="shared" si="29"/>
        <v>23.374999999999545</v>
      </c>
    </row>
    <row r="630" spans="1:7" x14ac:dyDescent="0.3">
      <c r="A630" s="2">
        <v>43227</v>
      </c>
      <c r="B630" s="1">
        <v>46.29</v>
      </c>
      <c r="C630" s="1">
        <v>1600.14</v>
      </c>
      <c r="D630" s="1">
        <v>177.97</v>
      </c>
      <c r="E630" s="3">
        <f t="shared" si="30"/>
        <v>1955.3800000000006</v>
      </c>
      <c r="F630" s="4">
        <f t="shared" si="28"/>
        <v>27.805000000001201</v>
      </c>
      <c r="G630" s="4">
        <f t="shared" si="29"/>
        <v>-27.805000000001201</v>
      </c>
    </row>
    <row r="631" spans="1:7" x14ac:dyDescent="0.3">
      <c r="A631" s="2">
        <v>43224</v>
      </c>
      <c r="B631" s="1">
        <v>45.957500000000003</v>
      </c>
      <c r="C631" s="1">
        <v>1580.95</v>
      </c>
      <c r="D631" s="1">
        <v>176.61</v>
      </c>
      <c r="E631" s="3">
        <f t="shared" si="30"/>
        <v>1927.5749999999994</v>
      </c>
      <c r="F631" s="4">
        <f t="shared" si="28"/>
        <v>52.699999999999818</v>
      </c>
      <c r="G631" s="4">
        <f t="shared" si="29"/>
        <v>-52.699999999999818</v>
      </c>
    </row>
    <row r="632" spans="1:7" x14ac:dyDescent="0.3">
      <c r="A632" s="2">
        <v>43223</v>
      </c>
      <c r="B632" s="1">
        <v>44.222499999999997</v>
      </c>
      <c r="C632" s="1">
        <v>1572.075</v>
      </c>
      <c r="D632" s="1">
        <v>174.02</v>
      </c>
      <c r="E632" s="3">
        <f t="shared" si="30"/>
        <v>1874.8749999999995</v>
      </c>
      <c r="F632" s="4">
        <f t="shared" si="28"/>
        <v>49.789999999998599</v>
      </c>
      <c r="G632" s="4">
        <f t="shared" si="29"/>
        <v>-49.789999999998599</v>
      </c>
    </row>
    <row r="633" spans="1:7" x14ac:dyDescent="0.3">
      <c r="A633" s="2">
        <v>43222</v>
      </c>
      <c r="B633" s="1">
        <v>44.142499999999998</v>
      </c>
      <c r="C633" s="1">
        <v>1569.68</v>
      </c>
      <c r="D633" s="1">
        <v>176.07</v>
      </c>
      <c r="E633" s="3">
        <f t="shared" si="30"/>
        <v>1825.0850000000009</v>
      </c>
      <c r="F633" s="4">
        <f t="shared" si="28"/>
        <v>24.015000000000782</v>
      </c>
      <c r="G633" s="4">
        <f t="shared" si="29"/>
        <v>-24.015000000000782</v>
      </c>
    </row>
    <row r="634" spans="1:7" x14ac:dyDescent="0.3">
      <c r="A634" s="2">
        <v>43221</v>
      </c>
      <c r="B634" s="1">
        <v>42.274999999999999</v>
      </c>
      <c r="C634" s="1">
        <v>1582.26</v>
      </c>
      <c r="D634" s="1">
        <v>173.86</v>
      </c>
      <c r="E634" s="3">
        <f t="shared" si="30"/>
        <v>1801.0700000000002</v>
      </c>
      <c r="F634" s="4">
        <f t="shared" si="28"/>
        <v>43.059999999999945</v>
      </c>
      <c r="G634" s="4">
        <f t="shared" si="29"/>
        <v>-43.059999999999945</v>
      </c>
    </row>
    <row r="635" spans="1:7" x14ac:dyDescent="0.3">
      <c r="A635" s="2">
        <v>43220</v>
      </c>
      <c r="B635" s="1">
        <v>41.314999999999998</v>
      </c>
      <c r="C635" s="1">
        <v>1566.13</v>
      </c>
      <c r="D635" s="1">
        <v>172</v>
      </c>
      <c r="E635" s="3">
        <f t="shared" si="30"/>
        <v>1758.0100000000002</v>
      </c>
      <c r="F635" s="4">
        <f t="shared" si="28"/>
        <v>55.570000000000618</v>
      </c>
      <c r="G635" s="4">
        <f t="shared" si="29"/>
        <v>-55.570000000000618</v>
      </c>
    </row>
    <row r="636" spans="1:7" x14ac:dyDescent="0.3">
      <c r="A636" s="2">
        <v>43217</v>
      </c>
      <c r="B636" s="1">
        <v>40.58</v>
      </c>
      <c r="C636" s="1">
        <v>1572.62</v>
      </c>
      <c r="D636" s="1">
        <v>173.59</v>
      </c>
      <c r="E636" s="3">
        <f t="shared" si="30"/>
        <v>1702.4399999999996</v>
      </c>
      <c r="F636" s="4">
        <f t="shared" si="28"/>
        <v>96.969999999999345</v>
      </c>
      <c r="G636" s="4">
        <f t="shared" si="29"/>
        <v>-96.969999999999345</v>
      </c>
    </row>
    <row r="637" spans="1:7" x14ac:dyDescent="0.3">
      <c r="A637" s="2">
        <v>43216</v>
      </c>
      <c r="B637" s="1">
        <v>41.055</v>
      </c>
      <c r="C637" s="1">
        <v>1517.96</v>
      </c>
      <c r="D637" s="1">
        <v>174.16</v>
      </c>
      <c r="E637" s="3">
        <f t="shared" si="30"/>
        <v>1605.4700000000003</v>
      </c>
      <c r="F637" s="4">
        <f t="shared" si="28"/>
        <v>-166.69499999999971</v>
      </c>
      <c r="G637" s="4">
        <f t="shared" si="29"/>
        <v>166.69499999999971</v>
      </c>
    </row>
    <row r="638" spans="1:7" x14ac:dyDescent="0.3">
      <c r="A638" s="2">
        <v>43215</v>
      </c>
      <c r="B638" s="1">
        <v>40.912500000000001</v>
      </c>
      <c r="C638" s="1">
        <v>1460.17</v>
      </c>
      <c r="D638" s="1">
        <v>159.69</v>
      </c>
      <c r="E638" s="3">
        <f t="shared" si="30"/>
        <v>1772.165</v>
      </c>
      <c r="F638" s="4">
        <f t="shared" si="28"/>
        <v>9.0349999999998545</v>
      </c>
      <c r="G638" s="4">
        <f t="shared" si="29"/>
        <v>-9.0349999999998545</v>
      </c>
    </row>
    <row r="639" spans="1:7" x14ac:dyDescent="0.3">
      <c r="A639" s="2">
        <v>43214</v>
      </c>
      <c r="B639" s="1">
        <v>40.734999999999999</v>
      </c>
      <c r="C639" s="1">
        <v>1460.09</v>
      </c>
      <c r="D639" s="1">
        <v>159.69</v>
      </c>
      <c r="E639" s="3">
        <f t="shared" si="30"/>
        <v>1763.13</v>
      </c>
      <c r="F639" s="4">
        <f t="shared" si="28"/>
        <v>-21.289999999999054</v>
      </c>
      <c r="G639" s="4">
        <f t="shared" si="29"/>
        <v>21.289999999999054</v>
      </c>
    </row>
    <row r="640" spans="1:7" x14ac:dyDescent="0.3">
      <c r="A640" s="2">
        <v>43213</v>
      </c>
      <c r="B640" s="1">
        <v>41.31</v>
      </c>
      <c r="C640" s="1">
        <v>1517.86</v>
      </c>
      <c r="D640" s="1">
        <v>165.84</v>
      </c>
      <c r="E640" s="3">
        <f t="shared" si="30"/>
        <v>1784.4199999999992</v>
      </c>
      <c r="F640" s="4">
        <f t="shared" si="28"/>
        <v>-16.460000000000491</v>
      </c>
      <c r="G640" s="4">
        <f t="shared" si="29"/>
        <v>16.460000000000491</v>
      </c>
    </row>
    <row r="641" spans="1:7" x14ac:dyDescent="0.3">
      <c r="A641" s="2">
        <v>43210</v>
      </c>
      <c r="B641" s="1">
        <v>41.43</v>
      </c>
      <c r="C641" s="1">
        <v>1527.49</v>
      </c>
      <c r="D641" s="1">
        <v>166.28</v>
      </c>
      <c r="E641" s="3">
        <f t="shared" si="30"/>
        <v>1800.8799999999997</v>
      </c>
      <c r="F641" s="4">
        <f t="shared" si="28"/>
        <v>-110.94000000000005</v>
      </c>
      <c r="G641" s="4">
        <f t="shared" si="29"/>
        <v>110.94000000000005</v>
      </c>
    </row>
    <row r="642" spans="1:7" x14ac:dyDescent="0.3">
      <c r="A642" s="2">
        <v>43209</v>
      </c>
      <c r="B642" s="1">
        <v>43.2</v>
      </c>
      <c r="C642" s="1">
        <v>1556.91</v>
      </c>
      <c r="D642" s="1">
        <v>168.1</v>
      </c>
      <c r="E642" s="3">
        <f t="shared" si="30"/>
        <v>1911.8199999999997</v>
      </c>
      <c r="F642" s="4">
        <f t="shared" si="28"/>
        <v>-39.660000000000309</v>
      </c>
      <c r="G642" s="4">
        <f t="shared" si="29"/>
        <v>39.660000000000309</v>
      </c>
    </row>
    <row r="643" spans="1:7" x14ac:dyDescent="0.3">
      <c r="A643" s="2">
        <v>43208</v>
      </c>
      <c r="B643" s="1">
        <v>44.46</v>
      </c>
      <c r="C643" s="1">
        <v>1527.84</v>
      </c>
      <c r="D643" s="1">
        <v>166.36</v>
      </c>
      <c r="E643" s="3">
        <f t="shared" si="30"/>
        <v>1951.48</v>
      </c>
      <c r="F643" s="4">
        <f t="shared" si="28"/>
        <v>89.019999999999982</v>
      </c>
      <c r="G643" s="4">
        <f t="shared" si="29"/>
        <v>-89.019999999999982</v>
      </c>
    </row>
    <row r="644" spans="1:7" x14ac:dyDescent="0.3">
      <c r="A644" s="2">
        <v>43207</v>
      </c>
      <c r="B644" s="1">
        <v>44.56</v>
      </c>
      <c r="C644" s="1">
        <v>1503.83</v>
      </c>
      <c r="D644" s="1">
        <v>168.66</v>
      </c>
      <c r="E644" s="3">
        <f t="shared" si="30"/>
        <v>1862.46</v>
      </c>
      <c r="F644" s="4">
        <f t="shared" si="28"/>
        <v>78.3100000000004</v>
      </c>
      <c r="G644" s="4">
        <f t="shared" si="29"/>
        <v>-78.3100000000004</v>
      </c>
    </row>
    <row r="645" spans="1:7" x14ac:dyDescent="0.3">
      <c r="A645" s="2">
        <v>43206</v>
      </c>
      <c r="B645" s="1">
        <v>43.954999999999998</v>
      </c>
      <c r="C645" s="1">
        <v>1441.5</v>
      </c>
      <c r="D645" s="1">
        <v>164.83</v>
      </c>
      <c r="E645" s="3">
        <f t="shared" si="30"/>
        <v>1784.1499999999996</v>
      </c>
      <c r="F645" s="4">
        <f t="shared" ref="F645:F708" si="31">E645-E646</f>
        <v>28.8449999999998</v>
      </c>
      <c r="G645" s="4">
        <f t="shared" ref="G645:G708" si="32">-F645</f>
        <v>-28.8449999999998</v>
      </c>
    </row>
    <row r="646" spans="1:7" x14ac:dyDescent="0.3">
      <c r="A646" s="2">
        <v>43203</v>
      </c>
      <c r="B646" s="1">
        <v>43.682499999999997</v>
      </c>
      <c r="C646" s="1">
        <v>1430.79</v>
      </c>
      <c r="D646" s="1">
        <v>164.52</v>
      </c>
      <c r="E646" s="3">
        <f t="shared" ref="E646:E709" si="33">50*B646+2*C646-20*D646</f>
        <v>1755.3049999999998</v>
      </c>
      <c r="F646" s="4">
        <f t="shared" si="31"/>
        <v>-41.045000000000073</v>
      </c>
      <c r="G646" s="4">
        <f t="shared" si="32"/>
        <v>41.045000000000073</v>
      </c>
    </row>
    <row r="647" spans="1:7" x14ac:dyDescent="0.3">
      <c r="A647" s="2">
        <v>43202</v>
      </c>
      <c r="B647" s="1">
        <v>43.534999999999997</v>
      </c>
      <c r="C647" s="1">
        <v>1448.5</v>
      </c>
      <c r="D647" s="1">
        <v>163.87</v>
      </c>
      <c r="E647" s="3">
        <f t="shared" si="33"/>
        <v>1796.35</v>
      </c>
      <c r="F647" s="4">
        <f t="shared" si="31"/>
        <v>113.14999999999918</v>
      </c>
      <c r="G647" s="4">
        <f t="shared" si="32"/>
        <v>-113.14999999999918</v>
      </c>
    </row>
    <row r="648" spans="1:7" x14ac:dyDescent="0.3">
      <c r="A648" s="2">
        <v>43201</v>
      </c>
      <c r="B648" s="1">
        <v>43.11</v>
      </c>
      <c r="C648" s="1">
        <v>1427.05</v>
      </c>
      <c r="D648" s="1">
        <v>166.32</v>
      </c>
      <c r="E648" s="3">
        <f t="shared" si="33"/>
        <v>1683.2000000000007</v>
      </c>
      <c r="F648" s="4">
        <f t="shared" si="31"/>
        <v>-54.065000000000055</v>
      </c>
      <c r="G648" s="4">
        <f t="shared" si="32"/>
        <v>54.065000000000055</v>
      </c>
    </row>
    <row r="649" spans="1:7" x14ac:dyDescent="0.3">
      <c r="A649" s="2">
        <v>43200</v>
      </c>
      <c r="B649" s="1">
        <v>43.3125</v>
      </c>
      <c r="C649" s="1">
        <v>1436.22</v>
      </c>
      <c r="D649" s="1">
        <v>165.04</v>
      </c>
      <c r="E649" s="3">
        <f t="shared" si="33"/>
        <v>1737.2650000000008</v>
      </c>
      <c r="F649" s="4">
        <f t="shared" si="31"/>
        <v>-41.919999999998709</v>
      </c>
      <c r="G649" s="4">
        <f t="shared" si="32"/>
        <v>41.919999999998709</v>
      </c>
    </row>
    <row r="650" spans="1:7" x14ac:dyDescent="0.3">
      <c r="A650" s="2">
        <v>43199</v>
      </c>
      <c r="B650" s="1">
        <v>42.512500000000003</v>
      </c>
      <c r="C650" s="1">
        <v>1406.08</v>
      </c>
      <c r="D650" s="1">
        <v>157.93</v>
      </c>
      <c r="E650" s="3">
        <f t="shared" si="33"/>
        <v>1779.1849999999995</v>
      </c>
      <c r="F650" s="4">
        <f t="shared" si="31"/>
        <v>7.9749999999994543</v>
      </c>
      <c r="G650" s="4">
        <f t="shared" si="32"/>
        <v>-7.9749999999994543</v>
      </c>
    </row>
    <row r="651" spans="1:7" x14ac:dyDescent="0.3">
      <c r="A651" s="2">
        <v>43196</v>
      </c>
      <c r="B651" s="1">
        <v>42.094999999999999</v>
      </c>
      <c r="C651" s="1">
        <v>1405.23</v>
      </c>
      <c r="D651" s="1">
        <v>157.19999999999999</v>
      </c>
      <c r="E651" s="3">
        <f t="shared" si="33"/>
        <v>1771.21</v>
      </c>
      <c r="F651" s="4">
        <f t="shared" si="31"/>
        <v>-105.48999999999978</v>
      </c>
      <c r="G651" s="4">
        <f t="shared" si="32"/>
        <v>105.48999999999978</v>
      </c>
    </row>
    <row r="652" spans="1:7" x14ac:dyDescent="0.3">
      <c r="A652" s="2">
        <v>43195</v>
      </c>
      <c r="B652" s="1">
        <v>43.2</v>
      </c>
      <c r="C652" s="1">
        <v>1451.75</v>
      </c>
      <c r="D652" s="1">
        <v>159.34</v>
      </c>
      <c r="E652" s="3">
        <f t="shared" si="33"/>
        <v>1876.6999999999998</v>
      </c>
      <c r="F652" s="4">
        <f t="shared" si="31"/>
        <v>12.4350000000004</v>
      </c>
      <c r="G652" s="4">
        <f t="shared" si="32"/>
        <v>-12.4350000000004</v>
      </c>
    </row>
    <row r="653" spans="1:7" x14ac:dyDescent="0.3">
      <c r="A653" s="2">
        <v>43194</v>
      </c>
      <c r="B653" s="1">
        <v>42.902500000000003</v>
      </c>
      <c r="C653" s="1">
        <v>1410.57</v>
      </c>
      <c r="D653" s="1">
        <v>155.1</v>
      </c>
      <c r="E653" s="3">
        <f t="shared" si="33"/>
        <v>1864.2649999999994</v>
      </c>
      <c r="F653" s="4">
        <f t="shared" si="31"/>
        <v>97.489999999999327</v>
      </c>
      <c r="G653" s="4">
        <f t="shared" si="32"/>
        <v>-97.489999999999327</v>
      </c>
    </row>
    <row r="654" spans="1:7" x14ac:dyDescent="0.3">
      <c r="A654" s="2">
        <v>43193</v>
      </c>
      <c r="B654" s="1">
        <v>42.097499999999997</v>
      </c>
      <c r="C654" s="1">
        <v>1392.05</v>
      </c>
      <c r="D654" s="1">
        <v>156.11000000000001</v>
      </c>
      <c r="E654" s="3">
        <f t="shared" si="33"/>
        <v>1766.7750000000001</v>
      </c>
      <c r="F654" s="4">
        <f t="shared" si="31"/>
        <v>47.095000000000255</v>
      </c>
      <c r="G654" s="4">
        <f t="shared" si="32"/>
        <v>-47.095000000000255</v>
      </c>
    </row>
    <row r="655" spans="1:7" x14ac:dyDescent="0.3">
      <c r="A655" s="2">
        <v>43192</v>
      </c>
      <c r="B655" s="1">
        <v>41.67</v>
      </c>
      <c r="C655" s="1">
        <v>1371.99</v>
      </c>
      <c r="D655" s="1">
        <v>155.38999999999999</v>
      </c>
      <c r="E655" s="3">
        <f t="shared" si="33"/>
        <v>1719.6799999999998</v>
      </c>
      <c r="F655" s="4">
        <f t="shared" si="31"/>
        <v>-76.450000000000728</v>
      </c>
      <c r="G655" s="4">
        <f t="shared" si="32"/>
        <v>76.450000000000728</v>
      </c>
    </row>
    <row r="656" spans="1:7" x14ac:dyDescent="0.3">
      <c r="A656" s="2">
        <v>43189</v>
      </c>
      <c r="B656" s="1">
        <v>41.945</v>
      </c>
      <c r="C656" s="1">
        <v>1447.34</v>
      </c>
      <c r="D656" s="1">
        <v>159.79</v>
      </c>
      <c r="E656" s="3">
        <f t="shared" si="33"/>
        <v>1796.1300000000006</v>
      </c>
      <c r="F656" s="4">
        <f t="shared" si="31"/>
        <v>0</v>
      </c>
      <c r="G656" s="4">
        <f t="shared" si="32"/>
        <v>0</v>
      </c>
    </row>
    <row r="657" spans="1:7" x14ac:dyDescent="0.3">
      <c r="A657" s="2">
        <v>43188</v>
      </c>
      <c r="B657" s="1">
        <v>41.945</v>
      </c>
      <c r="C657" s="1">
        <v>1447.34</v>
      </c>
      <c r="D657" s="1">
        <v>159.79</v>
      </c>
      <c r="E657" s="3">
        <f t="shared" si="33"/>
        <v>1796.1300000000006</v>
      </c>
      <c r="F657" s="4">
        <f t="shared" si="31"/>
        <v>-87.109999999999673</v>
      </c>
      <c r="G657" s="4">
        <f t="shared" si="32"/>
        <v>87.109999999999673</v>
      </c>
    </row>
    <row r="658" spans="1:7" x14ac:dyDescent="0.3">
      <c r="A658" s="2">
        <v>43187</v>
      </c>
      <c r="B658" s="1">
        <v>41.62</v>
      </c>
      <c r="C658" s="1">
        <v>1431.42</v>
      </c>
      <c r="D658" s="1">
        <v>153.03</v>
      </c>
      <c r="E658" s="3">
        <f t="shared" si="33"/>
        <v>1883.2400000000002</v>
      </c>
      <c r="F658" s="4">
        <f t="shared" si="31"/>
        <v>-170.71000000000004</v>
      </c>
      <c r="G658" s="4">
        <f t="shared" si="32"/>
        <v>170.71000000000004</v>
      </c>
    </row>
    <row r="659" spans="1:7" x14ac:dyDescent="0.3">
      <c r="A659" s="2">
        <v>43186</v>
      </c>
      <c r="B659" s="1">
        <v>42.085000000000001</v>
      </c>
      <c r="C659" s="1">
        <v>1497.05</v>
      </c>
      <c r="D659" s="1">
        <v>152.22</v>
      </c>
      <c r="E659" s="3">
        <f t="shared" si="33"/>
        <v>2053.9500000000003</v>
      </c>
      <c r="F659" s="4">
        <f t="shared" si="31"/>
        <v>-16.194999999999254</v>
      </c>
      <c r="G659" s="4">
        <f t="shared" si="32"/>
        <v>16.194999999999254</v>
      </c>
    </row>
    <row r="660" spans="1:7" x14ac:dyDescent="0.3">
      <c r="A660" s="2">
        <v>43185</v>
      </c>
      <c r="B660" s="1">
        <v>43.192500000000003</v>
      </c>
      <c r="C660" s="1">
        <v>1555.86</v>
      </c>
      <c r="D660" s="1">
        <v>160.06</v>
      </c>
      <c r="E660" s="3">
        <f t="shared" si="33"/>
        <v>2070.1449999999995</v>
      </c>
      <c r="F660" s="4">
        <f t="shared" si="31"/>
        <v>205.07499999999936</v>
      </c>
      <c r="G660" s="4">
        <f t="shared" si="32"/>
        <v>-205.07499999999936</v>
      </c>
    </row>
    <row r="661" spans="1:7" x14ac:dyDescent="0.3">
      <c r="A661" s="2">
        <v>43182</v>
      </c>
      <c r="B661" s="1">
        <v>41.234999999999999</v>
      </c>
      <c r="C661" s="1">
        <v>1495.56</v>
      </c>
      <c r="D661" s="1">
        <v>159.38999999999999</v>
      </c>
      <c r="E661" s="3">
        <f t="shared" si="33"/>
        <v>1865.0700000000002</v>
      </c>
      <c r="F661" s="4">
        <f t="shared" si="31"/>
        <v>-37.595000000000255</v>
      </c>
      <c r="G661" s="4">
        <f t="shared" si="32"/>
        <v>37.595000000000255</v>
      </c>
    </row>
    <row r="662" spans="1:7" x14ac:dyDescent="0.3">
      <c r="A662" s="2">
        <v>43181</v>
      </c>
      <c r="B662" s="1">
        <v>42.212499999999999</v>
      </c>
      <c r="C662" s="1">
        <v>1544.92</v>
      </c>
      <c r="D662" s="1">
        <v>164.89</v>
      </c>
      <c r="E662" s="3">
        <f t="shared" si="33"/>
        <v>1902.6650000000004</v>
      </c>
      <c r="F662" s="4">
        <f t="shared" si="31"/>
        <v>-14.1299999999992</v>
      </c>
      <c r="G662" s="4">
        <f t="shared" si="32"/>
        <v>14.1299999999992</v>
      </c>
    </row>
    <row r="663" spans="1:7" x14ac:dyDescent="0.3">
      <c r="A663" s="2">
        <v>43180</v>
      </c>
      <c r="B663" s="1">
        <v>42.817500000000003</v>
      </c>
      <c r="C663" s="1">
        <v>1581.86</v>
      </c>
      <c r="D663" s="1">
        <v>169.39</v>
      </c>
      <c r="E663" s="3">
        <f t="shared" si="33"/>
        <v>1916.7949999999996</v>
      </c>
      <c r="F663" s="4">
        <f t="shared" si="31"/>
        <v>-83.725000000000819</v>
      </c>
      <c r="G663" s="4">
        <f t="shared" si="32"/>
        <v>83.725000000000819</v>
      </c>
    </row>
    <row r="664" spans="1:7" x14ac:dyDescent="0.3">
      <c r="A664" s="2">
        <v>43179</v>
      </c>
      <c r="B664" s="1">
        <v>43.81</v>
      </c>
      <c r="C664" s="1">
        <v>1586.51</v>
      </c>
      <c r="D664" s="1">
        <v>168.15</v>
      </c>
      <c r="E664" s="3">
        <f t="shared" si="33"/>
        <v>2000.5200000000004</v>
      </c>
      <c r="F664" s="4">
        <f t="shared" si="31"/>
        <v>170.60999999999967</v>
      </c>
      <c r="G664" s="4">
        <f t="shared" si="32"/>
        <v>-170.60999999999967</v>
      </c>
    </row>
    <row r="665" spans="1:7" x14ac:dyDescent="0.3">
      <c r="A665" s="2">
        <v>43178</v>
      </c>
      <c r="B665" s="1">
        <v>43.825000000000003</v>
      </c>
      <c r="C665" s="1">
        <v>1544.93</v>
      </c>
      <c r="D665" s="1">
        <v>172.56</v>
      </c>
      <c r="E665" s="3">
        <f t="shared" si="33"/>
        <v>1829.9100000000008</v>
      </c>
      <c r="F665" s="4">
        <f t="shared" si="31"/>
        <v>163.10000000000036</v>
      </c>
      <c r="G665" s="4">
        <f t="shared" si="32"/>
        <v>-163.10000000000036</v>
      </c>
    </row>
    <row r="666" spans="1:7" x14ac:dyDescent="0.3">
      <c r="A666" s="2">
        <v>43175</v>
      </c>
      <c r="B666" s="1">
        <v>44.505000000000003</v>
      </c>
      <c r="C666" s="1">
        <v>1571.68</v>
      </c>
      <c r="D666" s="1">
        <v>185.09</v>
      </c>
      <c r="E666" s="3">
        <f t="shared" si="33"/>
        <v>1666.8100000000004</v>
      </c>
      <c r="F666" s="4">
        <f t="shared" si="31"/>
        <v>-53.754999999998745</v>
      </c>
      <c r="G666" s="4">
        <f t="shared" si="32"/>
        <v>53.754999999998745</v>
      </c>
    </row>
    <row r="667" spans="1:7" x14ac:dyDescent="0.3">
      <c r="A667" s="2">
        <v>43174</v>
      </c>
      <c r="B667" s="1">
        <v>44.662500000000001</v>
      </c>
      <c r="C667" s="1">
        <v>1582.32</v>
      </c>
      <c r="D667" s="1">
        <v>183.86</v>
      </c>
      <c r="E667" s="3">
        <f t="shared" si="33"/>
        <v>1720.5649999999991</v>
      </c>
      <c r="F667" s="4">
        <f t="shared" si="31"/>
        <v>-8.135000000000673</v>
      </c>
      <c r="G667" s="4">
        <f t="shared" si="32"/>
        <v>8.135000000000673</v>
      </c>
    </row>
    <row r="668" spans="1:7" x14ac:dyDescent="0.3">
      <c r="A668" s="2">
        <v>43173</v>
      </c>
      <c r="B668" s="1">
        <v>44.61</v>
      </c>
      <c r="C668" s="1">
        <v>1591</v>
      </c>
      <c r="D668" s="1">
        <v>184.19</v>
      </c>
      <c r="E668" s="3">
        <f t="shared" si="33"/>
        <v>1728.6999999999998</v>
      </c>
      <c r="F668" s="4">
        <f t="shared" si="31"/>
        <v>-59.685000000000855</v>
      </c>
      <c r="G668" s="4">
        <f t="shared" si="32"/>
        <v>59.685000000000855</v>
      </c>
    </row>
    <row r="669" spans="1:7" x14ac:dyDescent="0.3">
      <c r="A669" s="2">
        <v>43172</v>
      </c>
      <c r="B669" s="1">
        <v>44.9925</v>
      </c>
      <c r="C669" s="1">
        <v>1588.18</v>
      </c>
      <c r="D669" s="1">
        <v>181.88</v>
      </c>
      <c r="E669" s="3">
        <f t="shared" si="33"/>
        <v>1788.3850000000007</v>
      </c>
      <c r="F669" s="4">
        <f t="shared" si="31"/>
        <v>15.304999999999836</v>
      </c>
      <c r="G669" s="4">
        <f t="shared" si="32"/>
        <v>-15.304999999999836</v>
      </c>
    </row>
    <row r="670" spans="1:7" x14ac:dyDescent="0.3">
      <c r="A670" s="2">
        <v>43171</v>
      </c>
      <c r="B670" s="1">
        <v>45.43</v>
      </c>
      <c r="C670" s="1">
        <v>1598.39</v>
      </c>
      <c r="D670" s="1">
        <v>184.76</v>
      </c>
      <c r="E670" s="3">
        <f t="shared" si="33"/>
        <v>1773.0800000000008</v>
      </c>
      <c r="F670" s="4">
        <f t="shared" si="31"/>
        <v>70.150000000000091</v>
      </c>
      <c r="G670" s="4">
        <f t="shared" si="32"/>
        <v>-70.150000000000091</v>
      </c>
    </row>
    <row r="671" spans="1:7" x14ac:dyDescent="0.3">
      <c r="A671" s="2">
        <v>43168</v>
      </c>
      <c r="B671" s="1">
        <v>44.994999999999997</v>
      </c>
      <c r="C671" s="1">
        <v>1578.89</v>
      </c>
      <c r="D671" s="1">
        <v>185.23</v>
      </c>
      <c r="E671" s="3">
        <f t="shared" si="33"/>
        <v>1702.9300000000007</v>
      </c>
      <c r="F671" s="4">
        <f t="shared" si="31"/>
        <v>34.260000000001583</v>
      </c>
      <c r="G671" s="4">
        <f t="shared" si="32"/>
        <v>-34.260000000001583</v>
      </c>
    </row>
    <row r="672" spans="1:7" x14ac:dyDescent="0.3">
      <c r="A672" s="2">
        <v>43167</v>
      </c>
      <c r="B672" s="1">
        <v>44.234999999999999</v>
      </c>
      <c r="C672" s="1">
        <v>1551.86</v>
      </c>
      <c r="D672" s="1">
        <v>182.34</v>
      </c>
      <c r="E672" s="3">
        <f t="shared" si="33"/>
        <v>1668.6699999999992</v>
      </c>
      <c r="F672" s="4">
        <f t="shared" si="31"/>
        <v>64.994999999999436</v>
      </c>
      <c r="G672" s="4">
        <f t="shared" si="32"/>
        <v>-64.994999999999436</v>
      </c>
    </row>
    <row r="673" spans="1:7" x14ac:dyDescent="0.3">
      <c r="A673" s="2">
        <v>43166</v>
      </c>
      <c r="B673" s="1">
        <v>43.7575</v>
      </c>
      <c r="C673" s="1">
        <v>1545</v>
      </c>
      <c r="D673" s="1">
        <v>183.71</v>
      </c>
      <c r="E673" s="3">
        <f t="shared" si="33"/>
        <v>1603.6749999999997</v>
      </c>
      <c r="F673" s="4">
        <f t="shared" si="31"/>
        <v>-84.380000000001019</v>
      </c>
      <c r="G673" s="4">
        <f t="shared" si="32"/>
        <v>84.380000000001019</v>
      </c>
    </row>
    <row r="674" spans="1:7" x14ac:dyDescent="0.3">
      <c r="A674" s="2">
        <v>43165</v>
      </c>
      <c r="B674" s="1">
        <v>44.167499999999997</v>
      </c>
      <c r="C674" s="1">
        <v>1537.64</v>
      </c>
      <c r="D674" s="1">
        <v>179.78</v>
      </c>
      <c r="E674" s="3">
        <f t="shared" si="33"/>
        <v>1688.0550000000007</v>
      </c>
      <c r="F674" s="4">
        <f t="shared" si="31"/>
        <v>38.585000000001401</v>
      </c>
      <c r="G674" s="4">
        <f t="shared" si="32"/>
        <v>-38.585000000001401</v>
      </c>
    </row>
    <row r="675" spans="1:7" x14ac:dyDescent="0.3">
      <c r="A675" s="2">
        <v>43164</v>
      </c>
      <c r="B675" s="1">
        <v>44.204999999999998</v>
      </c>
      <c r="C675" s="1">
        <v>1523.61</v>
      </c>
      <c r="D675" s="1">
        <v>180.4</v>
      </c>
      <c r="E675" s="3">
        <f t="shared" si="33"/>
        <v>1649.4699999999993</v>
      </c>
      <c r="F675" s="4">
        <f t="shared" si="31"/>
        <v>-21.255000000000564</v>
      </c>
      <c r="G675" s="4">
        <f t="shared" si="32"/>
        <v>21.255000000000564</v>
      </c>
    </row>
    <row r="676" spans="1:7" x14ac:dyDescent="0.3">
      <c r="A676" s="2">
        <v>43161</v>
      </c>
      <c r="B676" s="1">
        <v>44.052500000000002</v>
      </c>
      <c r="C676" s="1">
        <v>1500.25</v>
      </c>
      <c r="D676" s="1">
        <v>176.62</v>
      </c>
      <c r="E676" s="3">
        <f t="shared" si="33"/>
        <v>1670.7249999999999</v>
      </c>
      <c r="F676" s="4">
        <f t="shared" si="31"/>
        <v>15.125000000000455</v>
      </c>
      <c r="G676" s="4">
        <f t="shared" si="32"/>
        <v>-15.125000000000455</v>
      </c>
    </row>
    <row r="677" spans="1:7" x14ac:dyDescent="0.3">
      <c r="A677" s="2">
        <v>43160</v>
      </c>
      <c r="B677" s="1">
        <v>43.75</v>
      </c>
      <c r="C677" s="1">
        <v>1493.45</v>
      </c>
      <c r="D677" s="1">
        <v>175.94</v>
      </c>
      <c r="E677" s="3">
        <f t="shared" si="33"/>
        <v>1655.5999999999995</v>
      </c>
      <c r="F677" s="4">
        <f t="shared" si="31"/>
        <v>-29.400000000000546</v>
      </c>
      <c r="G677" s="4">
        <f t="shared" si="32"/>
        <v>29.400000000000546</v>
      </c>
    </row>
    <row r="678" spans="1:7" x14ac:dyDescent="0.3">
      <c r="A678" s="2">
        <v>43159</v>
      </c>
      <c r="B678" s="1">
        <v>44.53</v>
      </c>
      <c r="C678" s="1">
        <v>1512.45</v>
      </c>
      <c r="D678" s="1">
        <v>178.32</v>
      </c>
      <c r="E678" s="3">
        <f t="shared" si="33"/>
        <v>1685</v>
      </c>
      <c r="F678" s="4">
        <f t="shared" si="31"/>
        <v>60.365000000000236</v>
      </c>
      <c r="G678" s="4">
        <f t="shared" si="32"/>
        <v>-60.365000000000236</v>
      </c>
    </row>
    <row r="679" spans="1:7" x14ac:dyDescent="0.3">
      <c r="A679" s="2">
        <v>43158</v>
      </c>
      <c r="B679" s="1">
        <v>44.597499999999997</v>
      </c>
      <c r="C679" s="1">
        <v>1511.98</v>
      </c>
      <c r="D679" s="1">
        <v>181.46</v>
      </c>
      <c r="E679" s="3">
        <f t="shared" si="33"/>
        <v>1624.6349999999998</v>
      </c>
      <c r="F679" s="4">
        <f t="shared" si="31"/>
        <v>42.210000000000491</v>
      </c>
      <c r="G679" s="4">
        <f t="shared" si="32"/>
        <v>-42.210000000000491</v>
      </c>
    </row>
    <row r="680" spans="1:7" x14ac:dyDescent="0.3">
      <c r="A680" s="2">
        <v>43157</v>
      </c>
      <c r="B680" s="1">
        <v>44.7425</v>
      </c>
      <c r="C680" s="1">
        <v>1521.95</v>
      </c>
      <c r="D680" s="1">
        <v>184.93</v>
      </c>
      <c r="E680" s="3">
        <f t="shared" si="33"/>
        <v>1582.4249999999993</v>
      </c>
      <c r="F680" s="4">
        <f t="shared" si="31"/>
        <v>54.474999999999</v>
      </c>
      <c r="G680" s="4">
        <f t="shared" si="32"/>
        <v>-54.474999999999</v>
      </c>
    </row>
    <row r="681" spans="1:7" x14ac:dyDescent="0.3">
      <c r="A681" s="2">
        <v>43154</v>
      </c>
      <c r="B681" s="1">
        <v>43.875</v>
      </c>
      <c r="C681" s="1">
        <v>1500</v>
      </c>
      <c r="D681" s="1">
        <v>183.29</v>
      </c>
      <c r="E681" s="3">
        <f t="shared" si="33"/>
        <v>1527.9500000000003</v>
      </c>
      <c r="F681" s="4">
        <f t="shared" si="31"/>
        <v>-19.179999999999836</v>
      </c>
      <c r="G681" s="4">
        <f t="shared" si="32"/>
        <v>19.179999999999836</v>
      </c>
    </row>
    <row r="682" spans="1:7" x14ac:dyDescent="0.3">
      <c r="A682" s="2">
        <v>43153</v>
      </c>
      <c r="B682" s="1">
        <v>43.125</v>
      </c>
      <c r="C682" s="1">
        <v>1485.34</v>
      </c>
      <c r="D682" s="1">
        <v>178.99</v>
      </c>
      <c r="E682" s="3">
        <f t="shared" si="33"/>
        <v>1547.13</v>
      </c>
      <c r="F682" s="4">
        <f t="shared" si="31"/>
        <v>1.1149999999997817</v>
      </c>
      <c r="G682" s="4">
        <f t="shared" si="32"/>
        <v>-1.1149999999997817</v>
      </c>
    </row>
    <row r="683" spans="1:7" x14ac:dyDescent="0.3">
      <c r="A683" s="2">
        <v>43152</v>
      </c>
      <c r="B683" s="1">
        <v>42.767499999999998</v>
      </c>
      <c r="C683" s="1">
        <v>1482.92</v>
      </c>
      <c r="D683" s="1">
        <v>177.91</v>
      </c>
      <c r="E683" s="3">
        <f t="shared" si="33"/>
        <v>1546.0150000000003</v>
      </c>
      <c r="F683" s="4">
        <f t="shared" si="31"/>
        <v>-18.609999999999673</v>
      </c>
      <c r="G683" s="4">
        <f t="shared" si="32"/>
        <v>18.609999999999673</v>
      </c>
    </row>
    <row r="684" spans="1:7" x14ac:dyDescent="0.3">
      <c r="A684" s="2">
        <v>43151</v>
      </c>
      <c r="B684" s="1">
        <v>42.962499999999999</v>
      </c>
      <c r="C684" s="1">
        <v>1468.35</v>
      </c>
      <c r="D684" s="1">
        <v>176.01</v>
      </c>
      <c r="E684" s="3">
        <f t="shared" si="33"/>
        <v>1564.625</v>
      </c>
      <c r="F684" s="4">
        <f t="shared" si="31"/>
        <v>59.070000000000164</v>
      </c>
      <c r="G684" s="4">
        <f t="shared" si="32"/>
        <v>-59.070000000000164</v>
      </c>
    </row>
    <row r="685" spans="1:7" x14ac:dyDescent="0.3">
      <c r="A685" s="2">
        <v>43150</v>
      </c>
      <c r="B685" s="1">
        <v>43.107500000000002</v>
      </c>
      <c r="C685" s="1">
        <v>1448.69</v>
      </c>
      <c r="D685" s="1">
        <v>177.36</v>
      </c>
      <c r="E685" s="3">
        <f t="shared" si="33"/>
        <v>1505.5549999999998</v>
      </c>
      <c r="F685" s="4">
        <f t="shared" si="31"/>
        <v>0</v>
      </c>
      <c r="G685" s="4">
        <f t="shared" si="32"/>
        <v>0</v>
      </c>
    </row>
    <row r="686" spans="1:7" x14ac:dyDescent="0.3">
      <c r="A686" s="2">
        <v>43147</v>
      </c>
      <c r="B686" s="1">
        <v>43.107500000000002</v>
      </c>
      <c r="C686" s="1">
        <v>1448.69</v>
      </c>
      <c r="D686" s="1">
        <v>177.36</v>
      </c>
      <c r="E686" s="3">
        <f t="shared" si="33"/>
        <v>1505.5549999999998</v>
      </c>
      <c r="F686" s="4">
        <f t="shared" si="31"/>
        <v>18.859999999999673</v>
      </c>
      <c r="G686" s="4">
        <f t="shared" si="32"/>
        <v>-18.859999999999673</v>
      </c>
    </row>
    <row r="687" spans="1:7" x14ac:dyDescent="0.3">
      <c r="A687" s="2">
        <v>43146</v>
      </c>
      <c r="B687" s="1">
        <v>43.247500000000002</v>
      </c>
      <c r="C687" s="1">
        <v>1461.76</v>
      </c>
      <c r="D687" s="1">
        <v>179.96</v>
      </c>
      <c r="E687" s="3">
        <f t="shared" si="33"/>
        <v>1486.6950000000002</v>
      </c>
      <c r="F687" s="4">
        <f t="shared" si="31"/>
        <v>82.869999999999891</v>
      </c>
      <c r="G687" s="4">
        <f t="shared" si="32"/>
        <v>-82.869999999999891</v>
      </c>
    </row>
    <row r="688" spans="1:7" x14ac:dyDescent="0.3">
      <c r="A688" s="2">
        <v>43145</v>
      </c>
      <c r="B688" s="1">
        <v>41.842500000000001</v>
      </c>
      <c r="C688" s="1">
        <v>1451.05</v>
      </c>
      <c r="D688" s="1">
        <v>179.52</v>
      </c>
      <c r="E688" s="3">
        <f t="shared" si="33"/>
        <v>1403.8250000000003</v>
      </c>
      <c r="F688" s="4">
        <f t="shared" si="31"/>
        <v>-16.445000000000164</v>
      </c>
      <c r="G688" s="4">
        <f t="shared" si="32"/>
        <v>16.445000000000164</v>
      </c>
    </row>
    <row r="689" spans="1:7" x14ac:dyDescent="0.3">
      <c r="A689" s="2">
        <v>43144</v>
      </c>
      <c r="B689" s="1">
        <v>41.085000000000001</v>
      </c>
      <c r="C689" s="1">
        <v>1414.51</v>
      </c>
      <c r="D689" s="1">
        <v>173.15</v>
      </c>
      <c r="E689" s="3">
        <f t="shared" si="33"/>
        <v>1420.2700000000004</v>
      </c>
      <c r="F689" s="4">
        <f t="shared" si="31"/>
        <v>142.13500000000022</v>
      </c>
      <c r="G689" s="4">
        <f t="shared" si="32"/>
        <v>-142.13500000000022</v>
      </c>
    </row>
    <row r="690" spans="1:7" x14ac:dyDescent="0.3">
      <c r="A690" s="2">
        <v>43143</v>
      </c>
      <c r="B690" s="1">
        <v>40.677500000000002</v>
      </c>
      <c r="C690" s="1">
        <v>1386.23</v>
      </c>
      <c r="D690" s="1">
        <v>176.41</v>
      </c>
      <c r="E690" s="3">
        <f t="shared" si="33"/>
        <v>1278.1350000000002</v>
      </c>
      <c r="F690" s="4">
        <f t="shared" si="31"/>
        <v>166.01000000000067</v>
      </c>
      <c r="G690" s="4">
        <f t="shared" si="32"/>
        <v>-166.01000000000067</v>
      </c>
    </row>
    <row r="691" spans="1:7" x14ac:dyDescent="0.3">
      <c r="A691" s="2">
        <v>43140</v>
      </c>
      <c r="B691" s="1">
        <v>39.102499999999999</v>
      </c>
      <c r="C691" s="1">
        <v>1339.6</v>
      </c>
      <c r="D691" s="1">
        <v>176.11</v>
      </c>
      <c r="E691" s="3">
        <f t="shared" si="33"/>
        <v>1112.1249999999995</v>
      </c>
      <c r="F691" s="4">
        <f t="shared" si="31"/>
        <v>-96.650000000000091</v>
      </c>
      <c r="G691" s="4">
        <f t="shared" si="32"/>
        <v>96.650000000000091</v>
      </c>
    </row>
    <row r="692" spans="1:7" x14ac:dyDescent="0.3">
      <c r="A692" s="2">
        <v>43139</v>
      </c>
      <c r="B692" s="1">
        <v>38.787500000000001</v>
      </c>
      <c r="C692" s="1">
        <v>1350.5</v>
      </c>
      <c r="D692" s="1">
        <v>171.58</v>
      </c>
      <c r="E692" s="3">
        <f t="shared" si="33"/>
        <v>1208.7749999999996</v>
      </c>
      <c r="F692" s="4">
        <f t="shared" si="31"/>
        <v>-15.434999999999491</v>
      </c>
      <c r="G692" s="4">
        <f t="shared" si="32"/>
        <v>15.434999999999491</v>
      </c>
    </row>
    <row r="693" spans="1:7" x14ac:dyDescent="0.3">
      <c r="A693" s="2">
        <v>43138</v>
      </c>
      <c r="B693" s="1">
        <v>39.884999999999998</v>
      </c>
      <c r="C693" s="1">
        <v>1416.78</v>
      </c>
      <c r="D693" s="1">
        <v>180.18</v>
      </c>
      <c r="E693" s="3">
        <f t="shared" si="33"/>
        <v>1224.2099999999991</v>
      </c>
      <c r="F693" s="4">
        <f t="shared" si="31"/>
        <v>6.8549999999986539</v>
      </c>
      <c r="G693" s="4">
        <f t="shared" si="32"/>
        <v>-6.8549999999986539</v>
      </c>
    </row>
    <row r="694" spans="1:7" x14ac:dyDescent="0.3">
      <c r="A694" s="2">
        <v>43137</v>
      </c>
      <c r="B694" s="1">
        <v>40.7575</v>
      </c>
      <c r="C694" s="1">
        <v>1442.84</v>
      </c>
      <c r="D694" s="1">
        <v>185.31</v>
      </c>
      <c r="E694" s="3">
        <f t="shared" si="33"/>
        <v>1217.3550000000005</v>
      </c>
      <c r="F694" s="4">
        <f t="shared" si="31"/>
        <v>106.43000000000029</v>
      </c>
      <c r="G694" s="4">
        <f t="shared" si="32"/>
        <v>-106.43000000000029</v>
      </c>
    </row>
    <row r="695" spans="1:7" x14ac:dyDescent="0.3">
      <c r="A695" s="2">
        <v>43136</v>
      </c>
      <c r="B695" s="1">
        <v>39.122500000000002</v>
      </c>
      <c r="C695" s="1">
        <v>1390</v>
      </c>
      <c r="D695" s="1">
        <v>181.26</v>
      </c>
      <c r="E695" s="3">
        <f t="shared" si="33"/>
        <v>1110.9250000000002</v>
      </c>
      <c r="F695" s="4">
        <f t="shared" si="31"/>
        <v>50.375000000000455</v>
      </c>
      <c r="G695" s="4">
        <f t="shared" si="32"/>
        <v>-50.375000000000455</v>
      </c>
    </row>
    <row r="696" spans="1:7" x14ac:dyDescent="0.3">
      <c r="A696" s="2">
        <v>43133</v>
      </c>
      <c r="B696" s="1">
        <v>40.125</v>
      </c>
      <c r="C696" s="1">
        <v>1429.95</v>
      </c>
      <c r="D696" s="1">
        <v>190.28</v>
      </c>
      <c r="E696" s="3">
        <f t="shared" si="33"/>
        <v>1060.5499999999997</v>
      </c>
      <c r="F696" s="4">
        <f t="shared" si="31"/>
        <v>45.099999999999909</v>
      </c>
      <c r="G696" s="4">
        <f t="shared" si="32"/>
        <v>-45.099999999999909</v>
      </c>
    </row>
    <row r="697" spans="1:7" x14ac:dyDescent="0.3">
      <c r="A697" s="2">
        <v>43132</v>
      </c>
      <c r="B697" s="1">
        <v>41.945</v>
      </c>
      <c r="C697" s="1">
        <v>1390</v>
      </c>
      <c r="D697" s="1">
        <v>193.09</v>
      </c>
      <c r="E697" s="3">
        <f t="shared" si="33"/>
        <v>1015.4499999999998</v>
      </c>
      <c r="F697" s="4">
        <f t="shared" si="31"/>
        <v>-241.40500000000111</v>
      </c>
      <c r="G697" s="4">
        <f t="shared" si="32"/>
        <v>241.40500000000111</v>
      </c>
    </row>
    <row r="698" spans="1:7" x14ac:dyDescent="0.3">
      <c r="A698" s="2">
        <v>43131</v>
      </c>
      <c r="B698" s="1">
        <v>41.857500000000002</v>
      </c>
      <c r="C698" s="1">
        <v>1450.89</v>
      </c>
      <c r="D698" s="1">
        <v>186.89</v>
      </c>
      <c r="E698" s="3">
        <f t="shared" si="33"/>
        <v>1256.8550000000009</v>
      </c>
      <c r="F698" s="4">
        <f t="shared" si="31"/>
        <v>36.490000000001601</v>
      </c>
      <c r="G698" s="4">
        <f t="shared" si="32"/>
        <v>-36.490000000001601</v>
      </c>
    </row>
    <row r="699" spans="1:7" x14ac:dyDescent="0.3">
      <c r="A699" s="2">
        <v>43130</v>
      </c>
      <c r="B699" s="1">
        <v>41.7425</v>
      </c>
      <c r="C699" s="1">
        <v>1437.82</v>
      </c>
      <c r="D699" s="1">
        <v>187.12</v>
      </c>
      <c r="E699" s="3">
        <f t="shared" si="33"/>
        <v>1220.3649999999993</v>
      </c>
      <c r="F699" s="4">
        <f t="shared" si="31"/>
        <v>5.1049999999986539</v>
      </c>
      <c r="G699" s="4">
        <f t="shared" si="32"/>
        <v>-5.1049999999986539</v>
      </c>
    </row>
    <row r="700" spans="1:7" x14ac:dyDescent="0.3">
      <c r="A700" s="2">
        <v>43129</v>
      </c>
      <c r="B700" s="1">
        <v>41.99</v>
      </c>
      <c r="C700" s="1">
        <v>1417.68</v>
      </c>
      <c r="D700" s="1">
        <v>185.98</v>
      </c>
      <c r="E700" s="3">
        <f t="shared" si="33"/>
        <v>1215.2600000000007</v>
      </c>
      <c r="F700" s="4">
        <f t="shared" si="31"/>
        <v>67.285000000000309</v>
      </c>
      <c r="G700" s="4">
        <f t="shared" si="32"/>
        <v>-67.285000000000309</v>
      </c>
    </row>
    <row r="701" spans="1:7" x14ac:dyDescent="0.3">
      <c r="A701" s="2">
        <v>43126</v>
      </c>
      <c r="B701" s="1">
        <v>42.877499999999998</v>
      </c>
      <c r="C701" s="1">
        <v>1402.05</v>
      </c>
      <c r="D701" s="1">
        <v>190</v>
      </c>
      <c r="E701" s="3">
        <f t="shared" si="33"/>
        <v>1147.9750000000004</v>
      </c>
      <c r="F701" s="4">
        <f t="shared" si="31"/>
        <v>2.8000000000006366</v>
      </c>
      <c r="G701" s="4">
        <f t="shared" si="32"/>
        <v>-2.8000000000006366</v>
      </c>
    </row>
    <row r="702" spans="1:7" x14ac:dyDescent="0.3">
      <c r="A702" s="2">
        <v>43125</v>
      </c>
      <c r="B702" s="1">
        <v>42.777500000000003</v>
      </c>
      <c r="C702" s="1">
        <v>1377.95</v>
      </c>
      <c r="D702" s="1">
        <v>187.48</v>
      </c>
      <c r="E702" s="3">
        <f t="shared" si="33"/>
        <v>1145.1749999999997</v>
      </c>
      <c r="F702" s="4">
        <f t="shared" si="31"/>
        <v>-16.595000000000709</v>
      </c>
      <c r="G702" s="4">
        <f t="shared" si="32"/>
        <v>16.595000000000709</v>
      </c>
    </row>
    <row r="703" spans="1:7" x14ac:dyDescent="0.3">
      <c r="A703" s="2">
        <v>43124</v>
      </c>
      <c r="B703" s="1">
        <v>43.555</v>
      </c>
      <c r="C703" s="1">
        <v>1357.51</v>
      </c>
      <c r="D703" s="1">
        <v>186.55</v>
      </c>
      <c r="E703" s="3">
        <f t="shared" si="33"/>
        <v>1161.7700000000004</v>
      </c>
      <c r="F703" s="4">
        <f t="shared" si="31"/>
        <v>10.690000000000509</v>
      </c>
      <c r="G703" s="4">
        <f t="shared" si="32"/>
        <v>-10.690000000000509</v>
      </c>
    </row>
    <row r="704" spans="1:7" x14ac:dyDescent="0.3">
      <c r="A704" s="2">
        <v>43123</v>
      </c>
      <c r="B704" s="1">
        <v>44.26</v>
      </c>
      <c r="C704" s="1">
        <v>1362.54</v>
      </c>
      <c r="D704" s="1">
        <v>189.35</v>
      </c>
      <c r="E704" s="3">
        <f t="shared" si="33"/>
        <v>1151.08</v>
      </c>
      <c r="F704" s="4">
        <f t="shared" si="31"/>
        <v>-8.6399999999998727</v>
      </c>
      <c r="G704" s="4">
        <f t="shared" si="32"/>
        <v>8.6399999999998727</v>
      </c>
    </row>
    <row r="705" spans="1:7" x14ac:dyDescent="0.3">
      <c r="A705" s="2">
        <v>43122</v>
      </c>
      <c r="B705" s="1">
        <v>44.25</v>
      </c>
      <c r="C705" s="1">
        <v>1327.31</v>
      </c>
      <c r="D705" s="1">
        <v>185.37</v>
      </c>
      <c r="E705" s="3">
        <f t="shared" si="33"/>
        <v>1159.7199999999998</v>
      </c>
      <c r="F705" s="4">
        <f t="shared" si="31"/>
        <v>-34.390000000000327</v>
      </c>
      <c r="G705" s="4">
        <f t="shared" si="32"/>
        <v>34.390000000000327</v>
      </c>
    </row>
    <row r="706" spans="1:7" x14ac:dyDescent="0.3">
      <c r="A706" s="2">
        <v>43119</v>
      </c>
      <c r="B706" s="1">
        <v>44.615000000000002</v>
      </c>
      <c r="C706" s="1">
        <v>1294.58</v>
      </c>
      <c r="D706" s="1">
        <v>181.29</v>
      </c>
      <c r="E706" s="3">
        <f t="shared" si="33"/>
        <v>1194.1100000000001</v>
      </c>
      <c r="F706" s="4">
        <f t="shared" si="31"/>
        <v>-37.279999999999291</v>
      </c>
      <c r="G706" s="4">
        <f t="shared" si="32"/>
        <v>37.279999999999291</v>
      </c>
    </row>
    <row r="707" spans="1:7" x14ac:dyDescent="0.3">
      <c r="A707" s="2">
        <v>43118</v>
      </c>
      <c r="B707" s="1">
        <v>44.814999999999998</v>
      </c>
      <c r="C707" s="1">
        <v>1293.32</v>
      </c>
      <c r="D707" s="1">
        <v>179.8</v>
      </c>
      <c r="E707" s="3">
        <f t="shared" si="33"/>
        <v>1231.3899999999994</v>
      </c>
      <c r="F707" s="4">
        <f t="shared" si="31"/>
        <v>-45.360000000000582</v>
      </c>
      <c r="G707" s="4">
        <f t="shared" si="32"/>
        <v>45.360000000000582</v>
      </c>
    </row>
    <row r="708" spans="1:7" x14ac:dyDescent="0.3">
      <c r="A708" s="2">
        <v>43117</v>
      </c>
      <c r="B708" s="1">
        <v>44.774999999999999</v>
      </c>
      <c r="C708" s="1">
        <v>1295</v>
      </c>
      <c r="D708" s="1">
        <v>177.6</v>
      </c>
      <c r="E708" s="3">
        <f t="shared" si="33"/>
        <v>1276.75</v>
      </c>
      <c r="F708" s="4">
        <f t="shared" si="31"/>
        <v>32.455000000000382</v>
      </c>
      <c r="G708" s="4">
        <f t="shared" si="32"/>
        <v>-32.455000000000382</v>
      </c>
    </row>
    <row r="709" spans="1:7" x14ac:dyDescent="0.3">
      <c r="A709" s="2">
        <v>43116</v>
      </c>
      <c r="B709" s="1">
        <v>44.047499999999999</v>
      </c>
      <c r="C709" s="1">
        <v>1304.8599999999999</v>
      </c>
      <c r="D709" s="1">
        <v>178.39</v>
      </c>
      <c r="E709" s="3">
        <f t="shared" si="33"/>
        <v>1244.2949999999996</v>
      </c>
      <c r="F709" s="4">
        <f t="shared" ref="F709:F772" si="34">E709-E710</f>
        <v>7.6700000000000728</v>
      </c>
      <c r="G709" s="4">
        <f t="shared" ref="G709:G772" si="35">-F709</f>
        <v>-7.6700000000000728</v>
      </c>
    </row>
    <row r="710" spans="1:7" x14ac:dyDescent="0.3">
      <c r="A710" s="2">
        <v>43115</v>
      </c>
      <c r="B710" s="1">
        <v>44.272500000000001</v>
      </c>
      <c r="C710" s="1">
        <v>1305.2</v>
      </c>
      <c r="D710" s="1">
        <v>179.37</v>
      </c>
      <c r="E710" s="3">
        <f t="shared" ref="E710:E773" si="36">50*B710+2*C710-20*D710</f>
        <v>1236.6249999999995</v>
      </c>
      <c r="F710" s="4">
        <f t="shared" si="34"/>
        <v>0</v>
      </c>
      <c r="G710" s="4">
        <f t="shared" si="35"/>
        <v>0</v>
      </c>
    </row>
    <row r="711" spans="1:7" x14ac:dyDescent="0.3">
      <c r="A711" s="2">
        <v>43112</v>
      </c>
      <c r="B711" s="1">
        <v>44.272500000000001</v>
      </c>
      <c r="C711" s="1">
        <v>1305.2</v>
      </c>
      <c r="D711" s="1">
        <v>179.37</v>
      </c>
      <c r="E711" s="3">
        <f t="shared" si="36"/>
        <v>1236.6249999999995</v>
      </c>
      <c r="F711" s="4">
        <f t="shared" si="34"/>
        <v>247.66499999999905</v>
      </c>
      <c r="G711" s="4">
        <f t="shared" si="35"/>
        <v>-247.66499999999905</v>
      </c>
    </row>
    <row r="712" spans="1:7" x14ac:dyDescent="0.3">
      <c r="A712" s="2">
        <v>43111</v>
      </c>
      <c r="B712" s="1">
        <v>43.82</v>
      </c>
      <c r="C712" s="1">
        <v>1276.68</v>
      </c>
      <c r="D712" s="1">
        <v>187.77</v>
      </c>
      <c r="E712" s="3">
        <f t="shared" si="36"/>
        <v>988.96000000000049</v>
      </c>
      <c r="F712" s="4">
        <f t="shared" si="34"/>
        <v>58.475000000000819</v>
      </c>
      <c r="G712" s="4">
        <f t="shared" si="35"/>
        <v>-58.475000000000819</v>
      </c>
    </row>
    <row r="713" spans="1:7" x14ac:dyDescent="0.3">
      <c r="A713" s="2">
        <v>43110</v>
      </c>
      <c r="B713" s="1">
        <v>43.572499999999998</v>
      </c>
      <c r="C713" s="1">
        <v>1254.33</v>
      </c>
      <c r="D713" s="1">
        <v>187.84</v>
      </c>
      <c r="E713" s="3">
        <f t="shared" si="36"/>
        <v>930.48499999999967</v>
      </c>
      <c r="F713" s="4">
        <f t="shared" si="34"/>
        <v>3.3600000000001273</v>
      </c>
      <c r="G713" s="4">
        <f t="shared" si="35"/>
        <v>-3.3600000000001273</v>
      </c>
    </row>
    <row r="714" spans="1:7" x14ac:dyDescent="0.3">
      <c r="A714" s="2">
        <v>43109</v>
      </c>
      <c r="B714" s="1">
        <v>43.582500000000003</v>
      </c>
      <c r="C714" s="1">
        <v>1252.7</v>
      </c>
      <c r="D714" s="1">
        <v>187.87</v>
      </c>
      <c r="E714" s="3">
        <f t="shared" si="36"/>
        <v>927.12499999999955</v>
      </c>
      <c r="F714" s="4">
        <f t="shared" si="34"/>
        <v>19.609999999999673</v>
      </c>
      <c r="G714" s="4">
        <f t="shared" si="35"/>
        <v>-19.609999999999673</v>
      </c>
    </row>
    <row r="715" spans="1:7" x14ac:dyDescent="0.3">
      <c r="A715" s="2">
        <v>43108</v>
      </c>
      <c r="B715" s="1">
        <v>43.587499999999999</v>
      </c>
      <c r="C715" s="1">
        <v>1246.8699999999999</v>
      </c>
      <c r="D715" s="1">
        <v>188.28</v>
      </c>
      <c r="E715" s="3">
        <f t="shared" si="36"/>
        <v>907.51499999999987</v>
      </c>
      <c r="F715" s="4">
        <f t="shared" si="34"/>
        <v>-1.2650000000007822</v>
      </c>
      <c r="G715" s="4">
        <f t="shared" si="35"/>
        <v>1.2650000000007822</v>
      </c>
    </row>
    <row r="716" spans="1:7" x14ac:dyDescent="0.3">
      <c r="A716" s="2">
        <v>43105</v>
      </c>
      <c r="B716" s="1">
        <v>43.75</v>
      </c>
      <c r="C716" s="1">
        <v>1229.1400000000001</v>
      </c>
      <c r="D716" s="1">
        <v>186.85</v>
      </c>
      <c r="E716" s="3">
        <f t="shared" si="36"/>
        <v>908.78000000000065</v>
      </c>
      <c r="F716" s="4">
        <f t="shared" si="34"/>
        <v>13.325000000000728</v>
      </c>
      <c r="G716" s="4">
        <f t="shared" si="35"/>
        <v>-13.325000000000728</v>
      </c>
    </row>
    <row r="717" spans="1:7" x14ac:dyDescent="0.3">
      <c r="A717" s="2">
        <v>43104</v>
      </c>
      <c r="B717" s="1">
        <v>43.2575</v>
      </c>
      <c r="C717" s="1">
        <v>1209.5899999999999</v>
      </c>
      <c r="D717" s="1">
        <v>184.33</v>
      </c>
      <c r="E717" s="3">
        <f t="shared" si="36"/>
        <v>895.45499999999993</v>
      </c>
      <c r="F717" s="4">
        <f t="shared" si="34"/>
        <v>27.579999999999927</v>
      </c>
      <c r="G717" s="4">
        <f t="shared" si="35"/>
        <v>-27.579999999999927</v>
      </c>
    </row>
    <row r="718" spans="1:7" x14ac:dyDescent="0.3">
      <c r="A718" s="2">
        <v>43103</v>
      </c>
      <c r="B718" s="1">
        <v>43.057499999999997</v>
      </c>
      <c r="C718" s="1">
        <v>1204.2</v>
      </c>
      <c r="D718" s="1">
        <v>184.67</v>
      </c>
      <c r="E718" s="3">
        <f t="shared" si="36"/>
        <v>867.875</v>
      </c>
      <c r="F718" s="4">
        <f t="shared" si="34"/>
        <v>-34.9950000000008</v>
      </c>
      <c r="G718" s="4">
        <f t="shared" si="35"/>
        <v>34.9950000000008</v>
      </c>
    </row>
    <row r="719" spans="1:7" x14ac:dyDescent="0.3">
      <c r="A719" s="2">
        <v>43102</v>
      </c>
      <c r="B719" s="1">
        <v>43.064999999999998</v>
      </c>
      <c r="C719" s="1">
        <v>1189.01</v>
      </c>
      <c r="D719" s="1">
        <v>181.42</v>
      </c>
      <c r="E719" s="3">
        <f t="shared" si="36"/>
        <v>902.8700000000008</v>
      </c>
      <c r="F719" s="4">
        <f t="shared" si="34"/>
        <v>-22.244999999999436</v>
      </c>
      <c r="G719" s="4">
        <f t="shared" si="35"/>
        <v>22.244999999999436</v>
      </c>
    </row>
    <row r="720" spans="1:7" x14ac:dyDescent="0.3">
      <c r="A720" s="2">
        <v>43101</v>
      </c>
      <c r="B720" s="1">
        <v>42.307499999999997</v>
      </c>
      <c r="C720" s="1">
        <v>1169.47</v>
      </c>
      <c r="D720" s="1">
        <v>176.46</v>
      </c>
      <c r="E720" s="3">
        <f t="shared" si="36"/>
        <v>925.11500000000024</v>
      </c>
      <c r="F720" s="4">
        <f t="shared" si="34"/>
        <v>0</v>
      </c>
      <c r="G720" s="4">
        <f t="shared" si="35"/>
        <v>0</v>
      </c>
    </row>
    <row r="721" spans="1:7" x14ac:dyDescent="0.3">
      <c r="A721" s="2">
        <v>43098</v>
      </c>
      <c r="B721" s="1">
        <v>42.307499999999997</v>
      </c>
      <c r="C721" s="1">
        <v>1169.47</v>
      </c>
      <c r="D721" s="1">
        <v>176.46</v>
      </c>
      <c r="E721" s="3">
        <f t="shared" si="36"/>
        <v>925.11500000000024</v>
      </c>
      <c r="F721" s="4">
        <f t="shared" si="34"/>
        <v>-27.184999999999945</v>
      </c>
      <c r="G721" s="4">
        <f t="shared" si="35"/>
        <v>27.184999999999945</v>
      </c>
    </row>
    <row r="722" spans="1:7" x14ac:dyDescent="0.3">
      <c r="A722" s="2">
        <v>43097</v>
      </c>
      <c r="B722" s="1">
        <v>42.77</v>
      </c>
      <c r="C722" s="1">
        <v>1186.0999999999999</v>
      </c>
      <c r="D722" s="1">
        <v>177.92</v>
      </c>
      <c r="E722" s="3">
        <f t="shared" si="36"/>
        <v>952.30000000000018</v>
      </c>
      <c r="F722" s="4">
        <f t="shared" si="34"/>
        <v>7.6799999999998363</v>
      </c>
      <c r="G722" s="4">
        <f t="shared" si="35"/>
        <v>-7.6799999999998363</v>
      </c>
    </row>
    <row r="723" spans="1:7" x14ac:dyDescent="0.3">
      <c r="A723" s="2">
        <v>43096</v>
      </c>
      <c r="B723" s="1">
        <v>42.65</v>
      </c>
      <c r="C723" s="1">
        <v>1182.26</v>
      </c>
      <c r="D723" s="1">
        <v>177.62</v>
      </c>
      <c r="E723" s="3">
        <f t="shared" si="36"/>
        <v>944.62000000000035</v>
      </c>
      <c r="F723" s="4">
        <f t="shared" si="34"/>
        <v>-21.224999999999909</v>
      </c>
      <c r="G723" s="4">
        <f t="shared" si="35"/>
        <v>21.224999999999909</v>
      </c>
    </row>
    <row r="724" spans="1:7" x14ac:dyDescent="0.3">
      <c r="A724" s="2">
        <v>43095</v>
      </c>
      <c r="B724" s="1">
        <v>42.642499999999998</v>
      </c>
      <c r="C724" s="1">
        <v>1176.76</v>
      </c>
      <c r="D724" s="1">
        <v>175.99</v>
      </c>
      <c r="E724" s="3">
        <f t="shared" si="36"/>
        <v>965.84500000000025</v>
      </c>
      <c r="F724" s="4">
        <f t="shared" si="34"/>
        <v>-14.499999999999091</v>
      </c>
      <c r="G724" s="4">
        <f t="shared" si="35"/>
        <v>14.499999999999091</v>
      </c>
    </row>
    <row r="725" spans="1:7" x14ac:dyDescent="0.3">
      <c r="A725" s="2">
        <v>43094</v>
      </c>
      <c r="B725" s="1">
        <v>43.752499999999998</v>
      </c>
      <c r="C725" s="1">
        <v>1168.3599999999999</v>
      </c>
      <c r="D725" s="1">
        <v>177.2</v>
      </c>
      <c r="E725" s="3">
        <f t="shared" si="36"/>
        <v>980.34499999999935</v>
      </c>
      <c r="F725" s="4">
        <f t="shared" si="34"/>
        <v>0</v>
      </c>
      <c r="G725" s="4">
        <f t="shared" si="35"/>
        <v>0</v>
      </c>
    </row>
    <row r="726" spans="1:7" x14ac:dyDescent="0.3">
      <c r="A726" s="2">
        <v>43091</v>
      </c>
      <c r="B726" s="1">
        <v>43.752499999999998</v>
      </c>
      <c r="C726" s="1">
        <v>1168.3599999999999</v>
      </c>
      <c r="D726" s="1">
        <v>177.2</v>
      </c>
      <c r="E726" s="3">
        <f t="shared" si="36"/>
        <v>980.34499999999935</v>
      </c>
      <c r="F726" s="4">
        <f t="shared" si="34"/>
        <v>-7.8000000000010914</v>
      </c>
      <c r="G726" s="4">
        <f t="shared" si="35"/>
        <v>7.8000000000010914</v>
      </c>
    </row>
    <row r="727" spans="1:7" x14ac:dyDescent="0.3">
      <c r="A727" s="2">
        <v>43090</v>
      </c>
      <c r="B727" s="1">
        <v>43.752499999999998</v>
      </c>
      <c r="C727" s="1">
        <v>1174.76</v>
      </c>
      <c r="D727" s="1">
        <v>177.45</v>
      </c>
      <c r="E727" s="3">
        <f t="shared" si="36"/>
        <v>988.14500000000044</v>
      </c>
      <c r="F727" s="4">
        <f t="shared" si="34"/>
        <v>11.330000000000382</v>
      </c>
      <c r="G727" s="4">
        <f t="shared" si="35"/>
        <v>-11.330000000000382</v>
      </c>
    </row>
    <row r="728" spans="1:7" x14ac:dyDescent="0.3">
      <c r="A728" s="2">
        <v>43089</v>
      </c>
      <c r="B728" s="1">
        <v>43.587499999999999</v>
      </c>
      <c r="C728" s="1">
        <v>1177.6199999999999</v>
      </c>
      <c r="D728" s="1">
        <v>177.89</v>
      </c>
      <c r="E728" s="3">
        <f t="shared" si="36"/>
        <v>976.81500000000005</v>
      </c>
      <c r="F728" s="4">
        <f t="shared" si="34"/>
        <v>10.504999999999654</v>
      </c>
      <c r="G728" s="4">
        <f t="shared" si="35"/>
        <v>-10.504999999999654</v>
      </c>
    </row>
    <row r="729" spans="1:7" x14ac:dyDescent="0.3">
      <c r="A729" s="2">
        <v>43088</v>
      </c>
      <c r="B729" s="1">
        <v>43.634999999999998</v>
      </c>
      <c r="C729" s="1">
        <v>1187.3800000000001</v>
      </c>
      <c r="D729" s="1">
        <v>179.51</v>
      </c>
      <c r="E729" s="3">
        <f t="shared" si="36"/>
        <v>966.3100000000004</v>
      </c>
      <c r="F729" s="4">
        <f t="shared" si="34"/>
        <v>-3.6999999999998181</v>
      </c>
      <c r="G729" s="4">
        <f t="shared" si="35"/>
        <v>3.6999999999998181</v>
      </c>
    </row>
    <row r="730" spans="1:7" x14ac:dyDescent="0.3">
      <c r="A730" s="2">
        <v>43087</v>
      </c>
      <c r="B730" s="1">
        <v>44.104999999999997</v>
      </c>
      <c r="C730" s="1">
        <v>1190.58</v>
      </c>
      <c r="D730" s="1">
        <v>180.82</v>
      </c>
      <c r="E730" s="3">
        <f t="shared" si="36"/>
        <v>970.01000000000022</v>
      </c>
      <c r="F730" s="4">
        <f t="shared" si="34"/>
        <v>40.704999999999927</v>
      </c>
      <c r="G730" s="4">
        <f t="shared" si="35"/>
        <v>-40.704999999999927</v>
      </c>
    </row>
    <row r="731" spans="1:7" x14ac:dyDescent="0.3">
      <c r="A731" s="2">
        <v>43084</v>
      </c>
      <c r="B731" s="1">
        <v>43.4925</v>
      </c>
      <c r="C731" s="1">
        <v>1179.1400000000001</v>
      </c>
      <c r="D731" s="1">
        <v>180.18</v>
      </c>
      <c r="E731" s="3">
        <f t="shared" si="36"/>
        <v>929.30500000000029</v>
      </c>
      <c r="F731" s="4">
        <f t="shared" si="34"/>
        <v>-4.1650000000004184</v>
      </c>
      <c r="G731" s="4">
        <f t="shared" si="35"/>
        <v>4.1650000000004184</v>
      </c>
    </row>
    <row r="732" spans="1:7" x14ac:dyDescent="0.3">
      <c r="A732" s="2">
        <v>43083</v>
      </c>
      <c r="B732" s="1">
        <v>43.055</v>
      </c>
      <c r="C732" s="1">
        <v>1174.26</v>
      </c>
      <c r="D732" s="1">
        <v>178.39</v>
      </c>
      <c r="E732" s="3">
        <f t="shared" si="36"/>
        <v>933.47000000000071</v>
      </c>
      <c r="F732" s="4">
        <f t="shared" si="34"/>
        <v>17.835000000000491</v>
      </c>
      <c r="G732" s="4">
        <f t="shared" si="35"/>
        <v>-17.835000000000491</v>
      </c>
    </row>
    <row r="733" spans="1:7" x14ac:dyDescent="0.3">
      <c r="A733" s="2">
        <v>43082</v>
      </c>
      <c r="B733" s="1">
        <v>43.067500000000003</v>
      </c>
      <c r="C733" s="1">
        <v>1164.1300000000001</v>
      </c>
      <c r="D733" s="1">
        <v>178.3</v>
      </c>
      <c r="E733" s="3">
        <f t="shared" si="36"/>
        <v>915.63500000000022</v>
      </c>
      <c r="F733" s="4">
        <f t="shared" si="34"/>
        <v>-21.574999999999363</v>
      </c>
      <c r="G733" s="4">
        <f t="shared" si="35"/>
        <v>21.574999999999363</v>
      </c>
    </row>
    <row r="734" spans="1:7" x14ac:dyDescent="0.3">
      <c r="A734" s="2">
        <v>43081</v>
      </c>
      <c r="B734" s="1">
        <v>42.924999999999997</v>
      </c>
      <c r="C734" s="1">
        <v>1165.08</v>
      </c>
      <c r="D734" s="1">
        <v>176.96</v>
      </c>
      <c r="E734" s="3">
        <f t="shared" si="36"/>
        <v>937.20999999999958</v>
      </c>
      <c r="F734" s="4">
        <f t="shared" si="34"/>
        <v>21.794999999999163</v>
      </c>
      <c r="G734" s="4">
        <f t="shared" si="35"/>
        <v>-21.794999999999163</v>
      </c>
    </row>
    <row r="735" spans="1:7" x14ac:dyDescent="0.3">
      <c r="A735" s="2">
        <v>43080</v>
      </c>
      <c r="B735" s="1">
        <v>43.167499999999997</v>
      </c>
      <c r="C735" s="1">
        <v>1168.92</v>
      </c>
      <c r="D735" s="1">
        <v>179.04</v>
      </c>
      <c r="E735" s="3">
        <f t="shared" si="36"/>
        <v>915.41500000000042</v>
      </c>
      <c r="F735" s="4">
        <f t="shared" si="34"/>
        <v>54.290000000000418</v>
      </c>
      <c r="G735" s="4">
        <f t="shared" si="35"/>
        <v>-54.290000000000418</v>
      </c>
    </row>
    <row r="736" spans="1:7" x14ac:dyDescent="0.3">
      <c r="A736" s="2">
        <v>43077</v>
      </c>
      <c r="B736" s="1">
        <v>42.342500000000001</v>
      </c>
      <c r="C736" s="1">
        <v>1162</v>
      </c>
      <c r="D736" s="1">
        <v>179</v>
      </c>
      <c r="E736" s="3">
        <f t="shared" si="36"/>
        <v>861.125</v>
      </c>
      <c r="F736" s="4">
        <f t="shared" si="34"/>
        <v>27.8449999999998</v>
      </c>
      <c r="G736" s="4">
        <f t="shared" si="35"/>
        <v>-27.8449999999998</v>
      </c>
    </row>
    <row r="737" spans="1:7" x14ac:dyDescent="0.3">
      <c r="A737" s="2">
        <v>43076</v>
      </c>
      <c r="B737" s="1">
        <v>42.33</v>
      </c>
      <c r="C737" s="1">
        <v>1159.79</v>
      </c>
      <c r="D737" s="1">
        <v>180.14</v>
      </c>
      <c r="E737" s="3">
        <f t="shared" si="36"/>
        <v>833.2800000000002</v>
      </c>
      <c r="F737" s="4">
        <f t="shared" si="34"/>
        <v>-62.8449999999998</v>
      </c>
      <c r="G737" s="4">
        <f t="shared" si="35"/>
        <v>62.8449999999998</v>
      </c>
    </row>
    <row r="738" spans="1:7" x14ac:dyDescent="0.3">
      <c r="A738" s="2">
        <v>43075</v>
      </c>
      <c r="B738" s="1">
        <v>42.252499999999998</v>
      </c>
      <c r="C738" s="1">
        <v>1152.3499999999999</v>
      </c>
      <c r="D738" s="1">
        <v>176.06</v>
      </c>
      <c r="E738" s="3">
        <f t="shared" si="36"/>
        <v>896.125</v>
      </c>
      <c r="F738" s="4">
        <f t="shared" si="34"/>
        <v>-50.914999999999054</v>
      </c>
      <c r="G738" s="4">
        <f t="shared" si="35"/>
        <v>50.914999999999054</v>
      </c>
    </row>
    <row r="739" spans="1:7" x14ac:dyDescent="0.3">
      <c r="A739" s="2">
        <v>43074</v>
      </c>
      <c r="B739" s="1">
        <v>42.41</v>
      </c>
      <c r="C739" s="1">
        <v>1141.57</v>
      </c>
      <c r="D739" s="1">
        <v>172.83</v>
      </c>
      <c r="E739" s="3">
        <f t="shared" si="36"/>
        <v>947.03999999999905</v>
      </c>
      <c r="F739" s="4">
        <f t="shared" si="34"/>
        <v>-13.960000000000491</v>
      </c>
      <c r="G739" s="4">
        <f t="shared" si="35"/>
        <v>13.960000000000491</v>
      </c>
    </row>
    <row r="740" spans="1:7" x14ac:dyDescent="0.3">
      <c r="A740" s="2">
        <v>43073</v>
      </c>
      <c r="B740" s="1">
        <v>42.45</v>
      </c>
      <c r="C740" s="1">
        <v>1133.95</v>
      </c>
      <c r="D740" s="1">
        <v>171.47</v>
      </c>
      <c r="E740" s="3">
        <f t="shared" si="36"/>
        <v>960.99999999999955</v>
      </c>
      <c r="F740" s="4">
        <f t="shared" si="34"/>
        <v>0.17499999999972715</v>
      </c>
      <c r="G740" s="4">
        <f t="shared" si="35"/>
        <v>-0.17499999999972715</v>
      </c>
    </row>
    <row r="741" spans="1:7" x14ac:dyDescent="0.3">
      <c r="A741" s="2">
        <v>43070</v>
      </c>
      <c r="B741" s="1">
        <v>42.762500000000003</v>
      </c>
      <c r="C741" s="1">
        <v>1162.3499999999999</v>
      </c>
      <c r="D741" s="1">
        <v>175.1</v>
      </c>
      <c r="E741" s="3">
        <f t="shared" si="36"/>
        <v>960.82499999999982</v>
      </c>
      <c r="F741" s="4">
        <f t="shared" si="34"/>
        <v>2.8000000000001819</v>
      </c>
      <c r="G741" s="4">
        <f t="shared" si="35"/>
        <v>-2.8000000000001819</v>
      </c>
    </row>
    <row r="742" spans="1:7" x14ac:dyDescent="0.3">
      <c r="A742" s="2">
        <v>43069</v>
      </c>
      <c r="B742" s="1">
        <v>42.962499999999999</v>
      </c>
      <c r="C742" s="1">
        <v>1176.75</v>
      </c>
      <c r="D742" s="1">
        <v>177.18</v>
      </c>
      <c r="E742" s="3">
        <f t="shared" si="36"/>
        <v>958.02499999999964</v>
      </c>
      <c r="F742" s="4">
        <f t="shared" si="34"/>
        <v>19.584999999999582</v>
      </c>
      <c r="G742" s="4">
        <f t="shared" si="35"/>
        <v>-19.584999999999582</v>
      </c>
    </row>
    <row r="743" spans="1:7" x14ac:dyDescent="0.3">
      <c r="A743" s="2">
        <v>43068</v>
      </c>
      <c r="B743" s="1">
        <v>42.37</v>
      </c>
      <c r="C743" s="1">
        <v>1161.27</v>
      </c>
      <c r="D743" s="1">
        <v>175.13</v>
      </c>
      <c r="E743" s="3">
        <f t="shared" si="36"/>
        <v>938.44</v>
      </c>
      <c r="F743" s="4">
        <f t="shared" si="34"/>
        <v>36.264999999999873</v>
      </c>
      <c r="G743" s="4">
        <f t="shared" si="35"/>
        <v>-36.264999999999873</v>
      </c>
    </row>
    <row r="744" spans="1:7" x14ac:dyDescent="0.3">
      <c r="A744" s="2">
        <v>43067</v>
      </c>
      <c r="B744" s="1">
        <v>43.267499999999998</v>
      </c>
      <c r="C744" s="1">
        <v>1193.5999999999999</v>
      </c>
      <c r="D744" s="1">
        <v>182.42</v>
      </c>
      <c r="E744" s="3">
        <f t="shared" si="36"/>
        <v>902.17500000000018</v>
      </c>
      <c r="F744" s="4">
        <f t="shared" si="34"/>
        <v>-5.0099999999997635</v>
      </c>
      <c r="G744" s="4">
        <f t="shared" si="35"/>
        <v>5.0099999999997635</v>
      </c>
    </row>
    <row r="745" spans="1:7" x14ac:dyDescent="0.3">
      <c r="A745" s="2">
        <v>43066</v>
      </c>
      <c r="B745" s="1">
        <v>43.522500000000001</v>
      </c>
      <c r="C745" s="1">
        <v>1195.83</v>
      </c>
      <c r="D745" s="1">
        <v>183.03</v>
      </c>
      <c r="E745" s="3">
        <f t="shared" si="36"/>
        <v>907.18499999999995</v>
      </c>
      <c r="F745" s="4">
        <f t="shared" si="34"/>
        <v>3.6599999999998545</v>
      </c>
      <c r="G745" s="4">
        <f t="shared" si="35"/>
        <v>-3.6599999999998545</v>
      </c>
    </row>
    <row r="746" spans="1:7" x14ac:dyDescent="0.3">
      <c r="A746" s="2">
        <v>43063</v>
      </c>
      <c r="B746" s="1">
        <v>43.7425</v>
      </c>
      <c r="C746" s="1">
        <v>1186</v>
      </c>
      <c r="D746" s="1">
        <v>182.78</v>
      </c>
      <c r="E746" s="3">
        <f t="shared" si="36"/>
        <v>903.52500000000009</v>
      </c>
      <c r="F746" s="4">
        <f t="shared" si="34"/>
        <v>21.605000000000473</v>
      </c>
      <c r="G746" s="4">
        <f t="shared" si="35"/>
        <v>-21.605000000000473</v>
      </c>
    </row>
    <row r="747" spans="1:7" x14ac:dyDescent="0.3">
      <c r="A747" s="2">
        <v>43062</v>
      </c>
      <c r="B747" s="1">
        <v>43.74</v>
      </c>
      <c r="C747" s="1">
        <v>1156.1600000000001</v>
      </c>
      <c r="D747" s="1">
        <v>180.87</v>
      </c>
      <c r="E747" s="3">
        <f t="shared" si="36"/>
        <v>881.91999999999962</v>
      </c>
      <c r="F747" s="4">
        <f t="shared" si="34"/>
        <v>0</v>
      </c>
      <c r="G747" s="4">
        <f t="shared" si="35"/>
        <v>0</v>
      </c>
    </row>
    <row r="748" spans="1:7" x14ac:dyDescent="0.3">
      <c r="A748" s="2">
        <v>43061</v>
      </c>
      <c r="B748" s="1">
        <v>43.74</v>
      </c>
      <c r="C748" s="1">
        <v>1156.1600000000001</v>
      </c>
      <c r="D748" s="1">
        <v>180.87</v>
      </c>
      <c r="E748" s="3">
        <f t="shared" si="36"/>
        <v>881.91999999999962</v>
      </c>
      <c r="F748" s="4">
        <f t="shared" si="34"/>
        <v>75.890000000000327</v>
      </c>
      <c r="G748" s="4">
        <f t="shared" si="35"/>
        <v>-75.890000000000327</v>
      </c>
    </row>
    <row r="749" spans="1:7" x14ac:dyDescent="0.3">
      <c r="A749" s="2">
        <v>43060</v>
      </c>
      <c r="B749" s="1">
        <v>43.284999999999997</v>
      </c>
      <c r="C749" s="1">
        <v>1139.49</v>
      </c>
      <c r="D749" s="1">
        <v>181.86</v>
      </c>
      <c r="E749" s="3">
        <f t="shared" si="36"/>
        <v>806.02999999999929</v>
      </c>
      <c r="F749" s="4">
        <f t="shared" si="34"/>
        <v>3.4599999999995816</v>
      </c>
      <c r="G749" s="4">
        <f t="shared" si="35"/>
        <v>-3.4599999999995816</v>
      </c>
    </row>
    <row r="750" spans="1:7" x14ac:dyDescent="0.3">
      <c r="A750" s="2">
        <v>43059</v>
      </c>
      <c r="B750" s="1">
        <v>42.494999999999997</v>
      </c>
      <c r="C750" s="1">
        <v>1126.31</v>
      </c>
      <c r="D750" s="1">
        <v>178.74</v>
      </c>
      <c r="E750" s="3">
        <f t="shared" si="36"/>
        <v>802.56999999999971</v>
      </c>
      <c r="F750" s="4">
        <f t="shared" si="34"/>
        <v>-4.0650000000005093</v>
      </c>
      <c r="G750" s="4">
        <f t="shared" si="35"/>
        <v>4.0650000000005093</v>
      </c>
    </row>
    <row r="751" spans="1:7" x14ac:dyDescent="0.3">
      <c r="A751" s="2">
        <v>43056</v>
      </c>
      <c r="B751" s="1">
        <v>42.537500000000001</v>
      </c>
      <c r="C751" s="1">
        <v>1129.8800000000001</v>
      </c>
      <c r="D751" s="1">
        <v>179</v>
      </c>
      <c r="E751" s="3">
        <f t="shared" si="36"/>
        <v>806.63500000000022</v>
      </c>
      <c r="F751" s="4">
        <f t="shared" si="34"/>
        <v>-14.894999999999527</v>
      </c>
      <c r="G751" s="4">
        <f t="shared" si="35"/>
        <v>14.894999999999527</v>
      </c>
    </row>
    <row r="752" spans="1:7" x14ac:dyDescent="0.3">
      <c r="A752" s="2">
        <v>43055</v>
      </c>
      <c r="B752" s="1">
        <v>42.774999999999999</v>
      </c>
      <c r="C752" s="1">
        <v>1137.29</v>
      </c>
      <c r="D752" s="1">
        <v>179.59</v>
      </c>
      <c r="E752" s="3">
        <f t="shared" si="36"/>
        <v>821.52999999999975</v>
      </c>
      <c r="F752" s="4">
        <f t="shared" si="34"/>
        <v>13.649999999999636</v>
      </c>
      <c r="G752" s="4">
        <f t="shared" si="35"/>
        <v>-13.649999999999636</v>
      </c>
    </row>
    <row r="753" spans="1:7" x14ac:dyDescent="0.3">
      <c r="A753" s="2">
        <v>43054</v>
      </c>
      <c r="B753" s="1">
        <v>42.27</v>
      </c>
      <c r="C753" s="1">
        <v>1126.69</v>
      </c>
      <c r="D753" s="1">
        <v>177.95</v>
      </c>
      <c r="E753" s="3">
        <f t="shared" si="36"/>
        <v>807.88000000000011</v>
      </c>
      <c r="F753" s="4">
        <f t="shared" si="34"/>
        <v>-46.150000000000546</v>
      </c>
      <c r="G753" s="4">
        <f t="shared" si="35"/>
        <v>46.150000000000546</v>
      </c>
    </row>
    <row r="754" spans="1:7" x14ac:dyDescent="0.3">
      <c r="A754" s="2">
        <v>43053</v>
      </c>
      <c r="B754" s="1">
        <v>42.835000000000001</v>
      </c>
      <c r="C754" s="1">
        <v>1136.8399999999999</v>
      </c>
      <c r="D754" s="1">
        <v>178.07</v>
      </c>
      <c r="E754" s="3">
        <f t="shared" si="36"/>
        <v>854.03000000000065</v>
      </c>
      <c r="F754" s="4">
        <f t="shared" si="34"/>
        <v>-3.5349999999993997</v>
      </c>
      <c r="G754" s="4">
        <f t="shared" si="35"/>
        <v>3.5349999999993997</v>
      </c>
    </row>
    <row r="755" spans="1:7" x14ac:dyDescent="0.3">
      <c r="A755" s="2">
        <v>43052</v>
      </c>
      <c r="B755" s="1">
        <v>43.4925</v>
      </c>
      <c r="C755" s="1">
        <v>1129.17</v>
      </c>
      <c r="D755" s="1">
        <v>178.77</v>
      </c>
      <c r="E755" s="3">
        <f t="shared" si="36"/>
        <v>857.56500000000005</v>
      </c>
      <c r="F755" s="4">
        <f t="shared" si="34"/>
        <v>-7.3099999999994907</v>
      </c>
      <c r="G755" s="4">
        <f t="shared" si="35"/>
        <v>7.3099999999994907</v>
      </c>
    </row>
    <row r="756" spans="1:7" x14ac:dyDescent="0.3">
      <c r="A756" s="2">
        <v>43049</v>
      </c>
      <c r="B756" s="1">
        <v>43.667499999999997</v>
      </c>
      <c r="C756" s="1">
        <v>1125.3499999999999</v>
      </c>
      <c r="D756" s="1">
        <v>178.46</v>
      </c>
      <c r="E756" s="3">
        <f t="shared" si="36"/>
        <v>864.87499999999955</v>
      </c>
      <c r="F756" s="4">
        <f t="shared" si="34"/>
        <v>-5.885000000000673</v>
      </c>
      <c r="G756" s="4">
        <f t="shared" si="35"/>
        <v>5.885000000000673</v>
      </c>
    </row>
    <row r="757" spans="1:7" x14ac:dyDescent="0.3">
      <c r="A757" s="2">
        <v>43048</v>
      </c>
      <c r="B757" s="1">
        <v>43.97</v>
      </c>
      <c r="C757" s="1">
        <v>1129.1300000000001</v>
      </c>
      <c r="D757" s="1">
        <v>179.3</v>
      </c>
      <c r="E757" s="3">
        <f t="shared" si="36"/>
        <v>870.76000000000022</v>
      </c>
      <c r="F757" s="4">
        <f t="shared" si="34"/>
        <v>-6.8000000000001819</v>
      </c>
      <c r="G757" s="4">
        <f t="shared" si="35"/>
        <v>6.8000000000001819</v>
      </c>
    </row>
    <row r="758" spans="1:7" x14ac:dyDescent="0.3">
      <c r="A758" s="2">
        <v>43047</v>
      </c>
      <c r="B758" s="1">
        <v>44.06</v>
      </c>
      <c r="C758" s="1">
        <v>1132.8800000000001</v>
      </c>
      <c r="D758" s="1">
        <v>179.56</v>
      </c>
      <c r="E758" s="3">
        <f t="shared" si="36"/>
        <v>877.5600000000004</v>
      </c>
      <c r="F758" s="4">
        <f t="shared" si="34"/>
        <v>51.095000000000255</v>
      </c>
      <c r="G758" s="4">
        <f t="shared" si="35"/>
        <v>-51.095000000000255</v>
      </c>
    </row>
    <row r="759" spans="1:7" x14ac:dyDescent="0.3">
      <c r="A759" s="2">
        <v>43046</v>
      </c>
      <c r="B759" s="1">
        <v>43.702500000000001</v>
      </c>
      <c r="C759" s="1">
        <v>1123.17</v>
      </c>
      <c r="D759" s="1">
        <v>180.25</v>
      </c>
      <c r="E759" s="3">
        <f t="shared" si="36"/>
        <v>826.46500000000015</v>
      </c>
      <c r="F759" s="4">
        <f t="shared" si="34"/>
        <v>10.420000000000073</v>
      </c>
      <c r="G759" s="4">
        <f t="shared" si="35"/>
        <v>-10.420000000000073</v>
      </c>
    </row>
    <row r="760" spans="1:7" x14ac:dyDescent="0.3">
      <c r="A760" s="2">
        <v>43045</v>
      </c>
      <c r="B760" s="1">
        <v>43.5625</v>
      </c>
      <c r="C760" s="1">
        <v>1120.6600000000001</v>
      </c>
      <c r="D760" s="1">
        <v>180.17</v>
      </c>
      <c r="E760" s="3">
        <f t="shared" si="36"/>
        <v>816.04500000000007</v>
      </c>
      <c r="F760" s="4">
        <f t="shared" si="34"/>
        <v>14.994999999999891</v>
      </c>
      <c r="G760" s="4">
        <f t="shared" si="35"/>
        <v>-14.994999999999891</v>
      </c>
    </row>
    <row r="761" spans="1:7" x14ac:dyDescent="0.3">
      <c r="A761" s="2">
        <v>43042</v>
      </c>
      <c r="B761" s="1">
        <v>43.125</v>
      </c>
      <c r="C761" s="1">
        <v>1111.5999999999999</v>
      </c>
      <c r="D761" s="1">
        <v>178.92</v>
      </c>
      <c r="E761" s="3">
        <f t="shared" si="36"/>
        <v>801.05000000000018</v>
      </c>
      <c r="F761" s="4">
        <f t="shared" si="34"/>
        <v>89.634999999999309</v>
      </c>
      <c r="G761" s="4">
        <f t="shared" si="35"/>
        <v>-89.634999999999309</v>
      </c>
    </row>
    <row r="762" spans="1:7" x14ac:dyDescent="0.3">
      <c r="A762" s="2">
        <v>43041</v>
      </c>
      <c r="B762" s="1">
        <v>42.027500000000003</v>
      </c>
      <c r="C762" s="1">
        <v>1094.22</v>
      </c>
      <c r="D762" s="1">
        <v>178.92</v>
      </c>
      <c r="E762" s="3">
        <f t="shared" si="36"/>
        <v>711.41500000000087</v>
      </c>
      <c r="F762" s="4">
        <f t="shared" si="34"/>
        <v>71.130000000000109</v>
      </c>
      <c r="G762" s="4">
        <f t="shared" si="35"/>
        <v>-71.130000000000109</v>
      </c>
    </row>
    <row r="763" spans="1:7" x14ac:dyDescent="0.3">
      <c r="A763" s="2">
        <v>43040</v>
      </c>
      <c r="B763" s="1">
        <v>41.722499999999997</v>
      </c>
      <c r="C763" s="1">
        <v>1103.68</v>
      </c>
      <c r="D763" s="1">
        <v>182.66</v>
      </c>
      <c r="E763" s="3">
        <f t="shared" si="36"/>
        <v>640.28500000000076</v>
      </c>
      <c r="F763" s="4">
        <f t="shared" si="34"/>
        <v>-82.074999999998909</v>
      </c>
      <c r="G763" s="4">
        <f t="shared" si="35"/>
        <v>82.074999999998909</v>
      </c>
    </row>
    <row r="764" spans="1:7" x14ac:dyDescent="0.3">
      <c r="A764" s="2">
        <v>43039</v>
      </c>
      <c r="B764" s="1">
        <v>42.26</v>
      </c>
      <c r="C764" s="1">
        <v>1105.28</v>
      </c>
      <c r="D764" s="1">
        <v>180.06</v>
      </c>
      <c r="E764" s="3">
        <f t="shared" si="36"/>
        <v>722.35999999999967</v>
      </c>
      <c r="F764" s="4">
        <f t="shared" si="34"/>
        <v>14.059999999999945</v>
      </c>
      <c r="G764" s="4">
        <f t="shared" si="35"/>
        <v>-14.059999999999945</v>
      </c>
    </row>
    <row r="765" spans="1:7" x14ac:dyDescent="0.3">
      <c r="A765" s="2">
        <v>43038</v>
      </c>
      <c r="B765" s="1">
        <v>41.68</v>
      </c>
      <c r="C765" s="1">
        <v>1110.8499999999999</v>
      </c>
      <c r="D765" s="1">
        <v>179.87</v>
      </c>
      <c r="E765" s="3">
        <f t="shared" si="36"/>
        <v>708.29999999999973</v>
      </c>
      <c r="F765" s="4">
        <f t="shared" si="34"/>
        <v>25.874999999999091</v>
      </c>
      <c r="G765" s="4">
        <f t="shared" si="35"/>
        <v>-25.874999999999091</v>
      </c>
    </row>
    <row r="766" spans="1:7" x14ac:dyDescent="0.3">
      <c r="A766" s="2">
        <v>43035</v>
      </c>
      <c r="B766" s="1">
        <v>40.762500000000003</v>
      </c>
      <c r="C766" s="1">
        <v>1100.95</v>
      </c>
      <c r="D766" s="1">
        <v>177.88</v>
      </c>
      <c r="E766" s="3">
        <f t="shared" si="36"/>
        <v>682.42500000000064</v>
      </c>
      <c r="F766" s="4">
        <f t="shared" si="34"/>
        <v>182.54020000000037</v>
      </c>
      <c r="G766" s="4">
        <f t="shared" si="35"/>
        <v>-182.54020000000037</v>
      </c>
    </row>
    <row r="767" spans="1:7" x14ac:dyDescent="0.3">
      <c r="A767" s="2">
        <v>43034</v>
      </c>
      <c r="B767" s="1">
        <v>39.352499999999999</v>
      </c>
      <c r="C767" s="1">
        <v>972.42989999999998</v>
      </c>
      <c r="D767" s="1">
        <v>170.63</v>
      </c>
      <c r="E767" s="3">
        <f t="shared" si="36"/>
        <v>499.88480000000027</v>
      </c>
      <c r="F767" s="4">
        <f t="shared" si="34"/>
        <v>10.940000000000055</v>
      </c>
      <c r="G767" s="4">
        <f t="shared" si="35"/>
        <v>-10.940000000000055</v>
      </c>
    </row>
    <row r="768" spans="1:7" x14ac:dyDescent="0.3">
      <c r="A768" s="2">
        <v>43033</v>
      </c>
      <c r="B768" s="1">
        <v>39.102499999999999</v>
      </c>
      <c r="C768" s="1">
        <v>972.90989999999999</v>
      </c>
      <c r="D768" s="1">
        <v>170.6</v>
      </c>
      <c r="E768" s="3">
        <f t="shared" si="36"/>
        <v>488.94480000000021</v>
      </c>
      <c r="F768" s="4">
        <f t="shared" si="34"/>
        <v>9.3950000000004366</v>
      </c>
      <c r="G768" s="4">
        <f t="shared" si="35"/>
        <v>-9.3950000000004366</v>
      </c>
    </row>
    <row r="769" spans="1:7" x14ac:dyDescent="0.3">
      <c r="A769" s="2">
        <v>43032</v>
      </c>
      <c r="B769" s="1">
        <v>39.274999999999999</v>
      </c>
      <c r="C769" s="1">
        <v>975.8999</v>
      </c>
      <c r="D769" s="1">
        <v>171.8</v>
      </c>
      <c r="E769" s="3">
        <f t="shared" si="36"/>
        <v>479.54979999999978</v>
      </c>
      <c r="F769" s="4">
        <f t="shared" si="34"/>
        <v>20.224800000000414</v>
      </c>
      <c r="G769" s="4">
        <f t="shared" si="35"/>
        <v>-20.224800000000414</v>
      </c>
    </row>
    <row r="770" spans="1:7" x14ac:dyDescent="0.3">
      <c r="A770" s="2">
        <v>43031</v>
      </c>
      <c r="B770" s="1">
        <v>39.042499999999997</v>
      </c>
      <c r="C770" s="1">
        <v>966.3</v>
      </c>
      <c r="D770" s="1">
        <v>171.27</v>
      </c>
      <c r="E770" s="3">
        <f t="shared" si="36"/>
        <v>459.32499999999936</v>
      </c>
      <c r="F770" s="4">
        <f t="shared" si="34"/>
        <v>39.980199999999058</v>
      </c>
      <c r="G770" s="4">
        <f t="shared" si="35"/>
        <v>-39.980199999999058</v>
      </c>
    </row>
    <row r="771" spans="1:7" x14ac:dyDescent="0.3">
      <c r="A771" s="2">
        <v>43028</v>
      </c>
      <c r="B771" s="1">
        <v>39.0625</v>
      </c>
      <c r="C771" s="1">
        <v>982.90989999999999</v>
      </c>
      <c r="D771" s="1">
        <v>174.98</v>
      </c>
      <c r="E771" s="3">
        <f t="shared" si="36"/>
        <v>419.3448000000003</v>
      </c>
      <c r="F771" s="4">
        <f t="shared" si="34"/>
        <v>-12.425399999999627</v>
      </c>
      <c r="G771" s="4">
        <f t="shared" si="35"/>
        <v>12.425399999999627</v>
      </c>
    </row>
    <row r="772" spans="1:7" x14ac:dyDescent="0.3">
      <c r="A772" s="2">
        <v>43027</v>
      </c>
      <c r="B772" s="1">
        <v>38.994999999999997</v>
      </c>
      <c r="C772" s="1">
        <v>986.61009999999999</v>
      </c>
      <c r="D772" s="1">
        <v>174.56</v>
      </c>
      <c r="E772" s="3">
        <f t="shared" si="36"/>
        <v>431.77019999999993</v>
      </c>
      <c r="F772" s="4">
        <f t="shared" si="34"/>
        <v>-38.629800000000159</v>
      </c>
      <c r="G772" s="4">
        <f t="shared" si="35"/>
        <v>38.629800000000159</v>
      </c>
    </row>
    <row r="773" spans="1:7" x14ac:dyDescent="0.3">
      <c r="A773" s="2">
        <v>43026</v>
      </c>
      <c r="B773" s="1">
        <v>39.94</v>
      </c>
      <c r="C773" s="1">
        <v>997</v>
      </c>
      <c r="D773" s="1">
        <v>176.03</v>
      </c>
      <c r="E773" s="3">
        <f t="shared" si="36"/>
        <v>470.40000000000009</v>
      </c>
      <c r="F773" s="4">
        <f t="shared" ref="F773:F836" si="37">E773-E774</f>
        <v>-31.534999999999854</v>
      </c>
      <c r="G773" s="4">
        <f t="shared" ref="G773:G836" si="38">-F773</f>
        <v>31.534999999999854</v>
      </c>
    </row>
    <row r="774" spans="1:7" x14ac:dyDescent="0.3">
      <c r="A774" s="2">
        <v>43025</v>
      </c>
      <c r="B774" s="1">
        <v>40.1175</v>
      </c>
      <c r="C774" s="1">
        <v>1009.13</v>
      </c>
      <c r="D774" s="1">
        <v>176.11</v>
      </c>
      <c r="E774" s="3">
        <f t="shared" ref="E774:E837" si="39">50*B774+2*C774-20*D774</f>
        <v>501.93499999999995</v>
      </c>
      <c r="F774" s="4">
        <f t="shared" si="37"/>
        <v>-18.845000000000255</v>
      </c>
      <c r="G774" s="4">
        <f t="shared" si="38"/>
        <v>18.845000000000255</v>
      </c>
    </row>
    <row r="775" spans="1:7" x14ac:dyDescent="0.3">
      <c r="A775" s="2">
        <v>43024</v>
      </c>
      <c r="B775" s="1">
        <v>39.97</v>
      </c>
      <c r="C775" s="1">
        <v>1006.34</v>
      </c>
      <c r="D775" s="1">
        <v>174.52</v>
      </c>
      <c r="E775" s="3">
        <f t="shared" si="39"/>
        <v>520.7800000000002</v>
      </c>
      <c r="F775" s="4">
        <f t="shared" si="37"/>
        <v>27.325000000000273</v>
      </c>
      <c r="G775" s="4">
        <f t="shared" si="38"/>
        <v>-27.325000000000273</v>
      </c>
    </row>
    <row r="776" spans="1:7" x14ac:dyDescent="0.3">
      <c r="A776" s="2">
        <v>43021</v>
      </c>
      <c r="B776" s="1">
        <v>39.247500000000002</v>
      </c>
      <c r="C776" s="1">
        <v>1002.94</v>
      </c>
      <c r="D776" s="1">
        <v>173.74</v>
      </c>
      <c r="E776" s="3">
        <f t="shared" si="39"/>
        <v>493.45499999999993</v>
      </c>
      <c r="F776" s="4">
        <f t="shared" si="37"/>
        <v>-7.4049999999997453</v>
      </c>
      <c r="G776" s="4">
        <f t="shared" si="38"/>
        <v>7.4049999999997453</v>
      </c>
    </row>
    <row r="777" spans="1:7" x14ac:dyDescent="0.3">
      <c r="A777" s="2">
        <v>43020</v>
      </c>
      <c r="B777" s="1">
        <v>39</v>
      </c>
      <c r="C777" s="1">
        <v>1000.93</v>
      </c>
      <c r="D777" s="1">
        <v>172.55</v>
      </c>
      <c r="E777" s="3">
        <f t="shared" si="39"/>
        <v>500.85999999999967</v>
      </c>
      <c r="F777" s="4">
        <f t="shared" si="37"/>
        <v>8.7849999999998545</v>
      </c>
      <c r="G777" s="4">
        <f t="shared" si="38"/>
        <v>-8.7849999999998545</v>
      </c>
    </row>
    <row r="778" spans="1:7" x14ac:dyDescent="0.3">
      <c r="A778" s="2">
        <v>43019</v>
      </c>
      <c r="B778" s="1">
        <v>39.137500000000003</v>
      </c>
      <c r="C778" s="1">
        <v>995</v>
      </c>
      <c r="D778" s="1">
        <v>172.74</v>
      </c>
      <c r="E778" s="3">
        <f t="shared" si="39"/>
        <v>492.07499999999982</v>
      </c>
      <c r="F778" s="4">
        <f t="shared" si="37"/>
        <v>0.72499999999990905</v>
      </c>
      <c r="G778" s="4">
        <f t="shared" si="38"/>
        <v>-0.72499999999990905</v>
      </c>
    </row>
    <row r="779" spans="1:7" x14ac:dyDescent="0.3">
      <c r="A779" s="2">
        <v>43018</v>
      </c>
      <c r="B779" s="1">
        <v>38.975000000000001</v>
      </c>
      <c r="C779" s="1">
        <v>987.2</v>
      </c>
      <c r="D779" s="1">
        <v>171.59</v>
      </c>
      <c r="E779" s="3">
        <f t="shared" si="39"/>
        <v>491.34999999999991</v>
      </c>
      <c r="F779" s="4">
        <f t="shared" si="37"/>
        <v>11.369999999999891</v>
      </c>
      <c r="G779" s="4">
        <f t="shared" si="38"/>
        <v>-11.369999999999891</v>
      </c>
    </row>
    <row r="780" spans="1:7" x14ac:dyDescent="0.3">
      <c r="A780" s="2">
        <v>43017</v>
      </c>
      <c r="B780" s="1">
        <v>38.96</v>
      </c>
      <c r="C780" s="1">
        <v>990.99</v>
      </c>
      <c r="D780" s="1">
        <v>172.5</v>
      </c>
      <c r="E780" s="3">
        <f t="shared" si="39"/>
        <v>479.98</v>
      </c>
      <c r="F780" s="4">
        <f t="shared" si="37"/>
        <v>4.1697999999996682</v>
      </c>
      <c r="G780" s="4">
        <f t="shared" si="38"/>
        <v>-4.1697999999996682</v>
      </c>
    </row>
    <row r="781" spans="1:7" x14ac:dyDescent="0.3">
      <c r="A781" s="2">
        <v>43014</v>
      </c>
      <c r="B781" s="1">
        <v>38.825000000000003</v>
      </c>
      <c r="C781" s="1">
        <v>989.58010000000002</v>
      </c>
      <c r="D781" s="1">
        <v>172.23</v>
      </c>
      <c r="E781" s="3">
        <f t="shared" si="39"/>
        <v>475.81020000000035</v>
      </c>
      <c r="F781" s="4">
        <f t="shared" si="37"/>
        <v>-3.464999999999236</v>
      </c>
      <c r="G781" s="4">
        <f t="shared" si="38"/>
        <v>3.464999999999236</v>
      </c>
    </row>
    <row r="782" spans="1:7" x14ac:dyDescent="0.3">
      <c r="A782" s="2">
        <v>43013</v>
      </c>
      <c r="B782" s="1">
        <v>38.847499999999997</v>
      </c>
      <c r="C782" s="1">
        <v>980.8501</v>
      </c>
      <c r="D782" s="1">
        <v>171.24</v>
      </c>
      <c r="E782" s="3">
        <f t="shared" si="39"/>
        <v>479.27519999999959</v>
      </c>
      <c r="F782" s="4">
        <f t="shared" si="37"/>
        <v>-1.724800000000414</v>
      </c>
      <c r="G782" s="4">
        <f t="shared" si="38"/>
        <v>1.724800000000414</v>
      </c>
    </row>
    <row r="783" spans="1:7" x14ac:dyDescent="0.3">
      <c r="A783" s="2">
        <v>43012</v>
      </c>
      <c r="B783" s="1">
        <v>38.369999999999997</v>
      </c>
      <c r="C783" s="1">
        <v>965.45</v>
      </c>
      <c r="D783" s="1">
        <v>168.42</v>
      </c>
      <c r="E783" s="3">
        <f t="shared" si="39"/>
        <v>481</v>
      </c>
      <c r="F783" s="4">
        <f t="shared" si="37"/>
        <v>34.999800000000505</v>
      </c>
      <c r="G783" s="4">
        <f t="shared" si="38"/>
        <v>-34.999800000000505</v>
      </c>
    </row>
    <row r="784" spans="1:7" x14ac:dyDescent="0.3">
      <c r="A784" s="2">
        <v>43011</v>
      </c>
      <c r="B784" s="1">
        <v>38.619999999999997</v>
      </c>
      <c r="C784" s="1">
        <v>957.1001</v>
      </c>
      <c r="D784" s="1">
        <v>169.96</v>
      </c>
      <c r="E784" s="3">
        <f t="shared" si="39"/>
        <v>446.0001999999995</v>
      </c>
      <c r="F784" s="4">
        <f t="shared" si="37"/>
        <v>-5.6046000000001186</v>
      </c>
      <c r="G784" s="4">
        <f t="shared" si="38"/>
        <v>5.6046000000001186</v>
      </c>
    </row>
    <row r="785" spans="1:7" x14ac:dyDescent="0.3">
      <c r="A785" s="2">
        <v>43010</v>
      </c>
      <c r="B785" s="1">
        <v>38.452500000000001</v>
      </c>
      <c r="C785" s="1">
        <v>959.18989999999997</v>
      </c>
      <c r="D785" s="1">
        <v>169.47</v>
      </c>
      <c r="E785" s="3">
        <f t="shared" si="39"/>
        <v>451.60479999999961</v>
      </c>
      <c r="F785" s="4">
        <f t="shared" si="37"/>
        <v>19.804599999999482</v>
      </c>
      <c r="G785" s="4">
        <f t="shared" si="38"/>
        <v>-19.804599999999482</v>
      </c>
    </row>
    <row r="786" spans="1:7" x14ac:dyDescent="0.3">
      <c r="A786" s="2">
        <v>43007</v>
      </c>
      <c r="B786" s="1">
        <v>38.53</v>
      </c>
      <c r="C786" s="1">
        <v>961.3501</v>
      </c>
      <c r="D786" s="1">
        <v>170.87</v>
      </c>
      <c r="E786" s="3">
        <f t="shared" si="39"/>
        <v>431.80020000000013</v>
      </c>
      <c r="F786" s="4">
        <f t="shared" si="37"/>
        <v>-22.399599999999737</v>
      </c>
      <c r="G786" s="4">
        <f t="shared" si="38"/>
        <v>22.399599999999737</v>
      </c>
    </row>
    <row r="787" spans="1:7" x14ac:dyDescent="0.3">
      <c r="A787" s="2">
        <v>43006</v>
      </c>
      <c r="B787" s="1">
        <v>38.32</v>
      </c>
      <c r="C787" s="1">
        <v>956.3999</v>
      </c>
      <c r="D787" s="1">
        <v>168.73</v>
      </c>
      <c r="E787" s="3">
        <f t="shared" si="39"/>
        <v>454.19979999999987</v>
      </c>
      <c r="F787" s="4">
        <f t="shared" si="37"/>
        <v>-21.815399999999499</v>
      </c>
      <c r="G787" s="4">
        <f t="shared" si="38"/>
        <v>21.815399999999499</v>
      </c>
    </row>
    <row r="788" spans="1:7" x14ac:dyDescent="0.3">
      <c r="A788" s="2">
        <v>43005</v>
      </c>
      <c r="B788" s="1">
        <v>38.557499999999997</v>
      </c>
      <c r="C788" s="1">
        <v>950.87009999999998</v>
      </c>
      <c r="D788" s="1">
        <v>167.68</v>
      </c>
      <c r="E788" s="3">
        <f t="shared" si="39"/>
        <v>476.01519999999937</v>
      </c>
      <c r="F788" s="4">
        <f t="shared" si="37"/>
        <v>-31.235000000000127</v>
      </c>
      <c r="G788" s="4">
        <f t="shared" si="38"/>
        <v>31.235000000000127</v>
      </c>
    </row>
    <row r="789" spans="1:7" x14ac:dyDescent="0.3">
      <c r="A789" s="2">
        <v>43004</v>
      </c>
      <c r="B789" s="1">
        <v>38.284999999999997</v>
      </c>
      <c r="C789" s="1">
        <v>938.6001</v>
      </c>
      <c r="D789" s="1">
        <v>164.21</v>
      </c>
      <c r="E789" s="3">
        <f t="shared" si="39"/>
        <v>507.2501999999995</v>
      </c>
      <c r="F789" s="4">
        <f t="shared" si="37"/>
        <v>3.1951999999996588</v>
      </c>
      <c r="G789" s="4">
        <f t="shared" si="38"/>
        <v>-3.1951999999996588</v>
      </c>
    </row>
    <row r="790" spans="1:7" x14ac:dyDescent="0.3">
      <c r="A790" s="2">
        <v>43003</v>
      </c>
      <c r="B790" s="1">
        <v>37.637500000000003</v>
      </c>
      <c r="C790" s="1">
        <v>939.79</v>
      </c>
      <c r="D790" s="1">
        <v>162.87</v>
      </c>
      <c r="E790" s="3">
        <f t="shared" si="39"/>
        <v>504.05499999999984</v>
      </c>
      <c r="F790" s="4">
        <f t="shared" si="37"/>
        <v>106.0297999999998</v>
      </c>
      <c r="G790" s="4">
        <f t="shared" si="38"/>
        <v>-106.0297999999998</v>
      </c>
    </row>
    <row r="791" spans="1:7" x14ac:dyDescent="0.3">
      <c r="A791" s="2">
        <v>43000</v>
      </c>
      <c r="B791" s="1">
        <v>37.972499999999997</v>
      </c>
      <c r="C791" s="1">
        <v>955.1001</v>
      </c>
      <c r="D791" s="1">
        <v>170.54</v>
      </c>
      <c r="E791" s="3">
        <f t="shared" si="39"/>
        <v>398.02520000000004</v>
      </c>
      <c r="F791" s="4">
        <f t="shared" si="37"/>
        <v>-26.449599999999464</v>
      </c>
      <c r="G791" s="4">
        <f t="shared" si="38"/>
        <v>26.449599999999464</v>
      </c>
    </row>
    <row r="792" spans="1:7" x14ac:dyDescent="0.3">
      <c r="A792" s="2">
        <v>42999</v>
      </c>
      <c r="B792" s="1">
        <v>38.347499999999997</v>
      </c>
      <c r="C792" s="1">
        <v>964.6499</v>
      </c>
      <c r="D792" s="1">
        <v>171.11</v>
      </c>
      <c r="E792" s="3">
        <f t="shared" si="39"/>
        <v>424.4747999999995</v>
      </c>
      <c r="F792" s="4">
        <f t="shared" si="37"/>
        <v>-29.420200000000932</v>
      </c>
      <c r="G792" s="4">
        <f t="shared" si="38"/>
        <v>29.420200000000932</v>
      </c>
    </row>
    <row r="793" spans="1:7" x14ac:dyDescent="0.3">
      <c r="A793" s="2">
        <v>42998</v>
      </c>
      <c r="B793" s="1">
        <v>39.017499999999998</v>
      </c>
      <c r="C793" s="1">
        <v>973.21</v>
      </c>
      <c r="D793" s="1">
        <v>172.17</v>
      </c>
      <c r="E793" s="3">
        <f t="shared" si="39"/>
        <v>453.89500000000044</v>
      </c>
      <c r="F793" s="4">
        <f t="shared" si="37"/>
        <v>-19.550199999999222</v>
      </c>
      <c r="G793" s="4">
        <f t="shared" si="38"/>
        <v>19.550199999999222</v>
      </c>
    </row>
    <row r="794" spans="1:7" x14ac:dyDescent="0.3">
      <c r="A794" s="2">
        <v>42997</v>
      </c>
      <c r="B794" s="1">
        <v>39.682499999999997</v>
      </c>
      <c r="C794" s="1">
        <v>969.86009999999999</v>
      </c>
      <c r="D794" s="1">
        <v>172.52</v>
      </c>
      <c r="E794" s="3">
        <f t="shared" si="39"/>
        <v>473.44519999999966</v>
      </c>
      <c r="F794" s="4">
        <f t="shared" si="37"/>
        <v>-58.109600000000228</v>
      </c>
      <c r="G794" s="4">
        <f t="shared" si="38"/>
        <v>58.109600000000228</v>
      </c>
    </row>
    <row r="795" spans="1:7" x14ac:dyDescent="0.3">
      <c r="A795" s="2">
        <v>42996</v>
      </c>
      <c r="B795" s="1">
        <v>39.667499999999997</v>
      </c>
      <c r="C795" s="1">
        <v>974.18989999999997</v>
      </c>
      <c r="D795" s="1">
        <v>170.01</v>
      </c>
      <c r="E795" s="3">
        <f t="shared" si="39"/>
        <v>531.55479999999989</v>
      </c>
      <c r="F795" s="4">
        <f t="shared" si="37"/>
        <v>-7.7252000000003136</v>
      </c>
      <c r="G795" s="4">
        <f t="shared" si="38"/>
        <v>7.7252000000003136</v>
      </c>
    </row>
    <row r="796" spans="1:7" x14ac:dyDescent="0.3">
      <c r="A796" s="2">
        <v>42993</v>
      </c>
      <c r="B796" s="1">
        <v>39.97</v>
      </c>
      <c r="C796" s="1">
        <v>986.79</v>
      </c>
      <c r="D796" s="1">
        <v>171.64</v>
      </c>
      <c r="E796" s="3">
        <f t="shared" si="39"/>
        <v>539.2800000000002</v>
      </c>
      <c r="F796" s="4">
        <f t="shared" si="37"/>
        <v>-4.4399999999995998</v>
      </c>
      <c r="G796" s="4">
        <f t="shared" si="38"/>
        <v>4.4399999999995998</v>
      </c>
    </row>
    <row r="797" spans="1:7" x14ac:dyDescent="0.3">
      <c r="A797" s="2">
        <v>42992</v>
      </c>
      <c r="B797" s="1">
        <v>39.57</v>
      </c>
      <c r="C797" s="1">
        <v>992.21</v>
      </c>
      <c r="D797" s="1">
        <v>170.96</v>
      </c>
      <c r="E797" s="3">
        <f t="shared" si="39"/>
        <v>543.7199999999998</v>
      </c>
      <c r="F797" s="4">
        <f t="shared" si="37"/>
        <v>9.8947999999995773</v>
      </c>
      <c r="G797" s="4">
        <f t="shared" si="38"/>
        <v>-9.8947999999995773</v>
      </c>
    </row>
    <row r="798" spans="1:7" x14ac:dyDescent="0.3">
      <c r="A798" s="2">
        <v>42991</v>
      </c>
      <c r="B798" s="1">
        <v>39.912500000000001</v>
      </c>
      <c r="C798" s="1">
        <v>999.6001</v>
      </c>
      <c r="D798" s="1">
        <v>173.05</v>
      </c>
      <c r="E798" s="3">
        <f t="shared" si="39"/>
        <v>533.82520000000022</v>
      </c>
      <c r="F798" s="4">
        <f t="shared" si="37"/>
        <v>17.115000000000236</v>
      </c>
      <c r="G798" s="4">
        <f t="shared" si="38"/>
        <v>-17.115000000000236</v>
      </c>
    </row>
    <row r="799" spans="1:7" x14ac:dyDescent="0.3">
      <c r="A799" s="2">
        <v>42990</v>
      </c>
      <c r="B799" s="1">
        <v>40.215000000000003</v>
      </c>
      <c r="C799" s="1">
        <v>982.58010000000002</v>
      </c>
      <c r="D799" s="1">
        <v>172.96</v>
      </c>
      <c r="E799" s="3">
        <f t="shared" si="39"/>
        <v>516.71019999999999</v>
      </c>
      <c r="F799" s="4">
        <f t="shared" si="37"/>
        <v>12.240199999999732</v>
      </c>
      <c r="G799" s="4">
        <f t="shared" si="38"/>
        <v>-12.240199999999732</v>
      </c>
    </row>
    <row r="800" spans="1:7" x14ac:dyDescent="0.3">
      <c r="A800" s="2">
        <v>42989</v>
      </c>
      <c r="B800" s="1">
        <v>40.375</v>
      </c>
      <c r="C800" s="1">
        <v>977.96</v>
      </c>
      <c r="D800" s="1">
        <v>173.51</v>
      </c>
      <c r="E800" s="3">
        <f t="shared" si="39"/>
        <v>504.47000000000025</v>
      </c>
      <c r="F800" s="4">
        <f t="shared" si="37"/>
        <v>8.7952000000004773</v>
      </c>
      <c r="G800" s="4">
        <f t="shared" si="38"/>
        <v>-8.7952000000004773</v>
      </c>
    </row>
    <row r="801" spans="1:7" x14ac:dyDescent="0.3">
      <c r="A801" s="2">
        <v>42986</v>
      </c>
      <c r="B801" s="1">
        <v>39.657499999999999</v>
      </c>
      <c r="C801" s="1">
        <v>965.8999</v>
      </c>
      <c r="D801" s="1">
        <v>170.95</v>
      </c>
      <c r="E801" s="3">
        <f t="shared" si="39"/>
        <v>495.67479999999978</v>
      </c>
      <c r="F801" s="4">
        <f t="shared" si="37"/>
        <v>-14.815200000000004</v>
      </c>
      <c r="G801" s="4">
        <f t="shared" si="38"/>
        <v>14.815200000000004</v>
      </c>
    </row>
    <row r="802" spans="1:7" x14ac:dyDescent="0.3">
      <c r="A802" s="2">
        <v>42985</v>
      </c>
      <c r="B802" s="1">
        <v>40.314999999999998</v>
      </c>
      <c r="C802" s="1">
        <v>979.47</v>
      </c>
      <c r="D802" s="1">
        <v>173.21</v>
      </c>
      <c r="E802" s="3">
        <f t="shared" si="39"/>
        <v>510.48999999999978</v>
      </c>
      <c r="F802" s="4">
        <f t="shared" si="37"/>
        <v>-7.1849999999999454</v>
      </c>
      <c r="G802" s="4">
        <f t="shared" si="38"/>
        <v>7.1849999999999454</v>
      </c>
    </row>
    <row r="803" spans="1:7" x14ac:dyDescent="0.3">
      <c r="A803" s="2">
        <v>42984</v>
      </c>
      <c r="B803" s="1">
        <v>40.477499999999999</v>
      </c>
      <c r="C803" s="1">
        <v>967.8</v>
      </c>
      <c r="D803" s="1">
        <v>172.09</v>
      </c>
      <c r="E803" s="3">
        <f t="shared" si="39"/>
        <v>517.67499999999973</v>
      </c>
      <c r="F803" s="4">
        <f t="shared" si="37"/>
        <v>-24.465000000000146</v>
      </c>
      <c r="G803" s="4">
        <f t="shared" si="38"/>
        <v>24.465000000000146</v>
      </c>
    </row>
    <row r="804" spans="1:7" x14ac:dyDescent="0.3">
      <c r="A804" s="2">
        <v>42983</v>
      </c>
      <c r="B804" s="1">
        <v>40.520000000000003</v>
      </c>
      <c r="C804" s="1">
        <v>965.27</v>
      </c>
      <c r="D804" s="1">
        <v>170.72</v>
      </c>
      <c r="E804" s="3">
        <f t="shared" si="39"/>
        <v>542.13999999999987</v>
      </c>
      <c r="F804" s="4">
        <f t="shared" si="37"/>
        <v>-24.585000000000036</v>
      </c>
      <c r="G804" s="4">
        <f t="shared" si="38"/>
        <v>24.585000000000036</v>
      </c>
    </row>
    <row r="805" spans="1:7" x14ac:dyDescent="0.3">
      <c r="A805" s="2">
        <v>42982</v>
      </c>
      <c r="B805" s="1">
        <v>41.012500000000003</v>
      </c>
      <c r="C805" s="1">
        <v>978.25</v>
      </c>
      <c r="D805" s="1">
        <v>172.02</v>
      </c>
      <c r="E805" s="3">
        <f t="shared" si="39"/>
        <v>566.72499999999991</v>
      </c>
      <c r="F805" s="4">
        <f t="shared" si="37"/>
        <v>0</v>
      </c>
      <c r="G805" s="4">
        <f t="shared" si="38"/>
        <v>0</v>
      </c>
    </row>
    <row r="806" spans="1:7" x14ac:dyDescent="0.3">
      <c r="A806" s="2">
        <v>42979</v>
      </c>
      <c r="B806" s="1">
        <v>41.012500000000003</v>
      </c>
      <c r="C806" s="1">
        <v>978.25</v>
      </c>
      <c r="D806" s="1">
        <v>172.02</v>
      </c>
      <c r="E806" s="3">
        <f t="shared" si="39"/>
        <v>566.72499999999991</v>
      </c>
      <c r="F806" s="4">
        <f t="shared" si="37"/>
        <v>-5.0752000000002226</v>
      </c>
      <c r="G806" s="4">
        <f t="shared" si="38"/>
        <v>5.0752000000002226</v>
      </c>
    </row>
    <row r="807" spans="1:7" x14ac:dyDescent="0.3">
      <c r="A807" s="2">
        <v>42978</v>
      </c>
      <c r="B807" s="1">
        <v>41</v>
      </c>
      <c r="C807" s="1">
        <v>980.6001</v>
      </c>
      <c r="D807" s="1">
        <v>171.97</v>
      </c>
      <c r="E807" s="3">
        <f t="shared" si="39"/>
        <v>571.80020000000013</v>
      </c>
      <c r="F807" s="4">
        <f t="shared" si="37"/>
        <v>-6.8550000000000182</v>
      </c>
      <c r="G807" s="4">
        <f t="shared" si="38"/>
        <v>6.8550000000000182</v>
      </c>
    </row>
    <row r="808" spans="1:7" x14ac:dyDescent="0.3">
      <c r="A808" s="2">
        <v>42977</v>
      </c>
      <c r="B808" s="1">
        <v>40.837499999999999</v>
      </c>
      <c r="C808" s="1">
        <v>967.59010000000001</v>
      </c>
      <c r="D808" s="1">
        <v>169.92</v>
      </c>
      <c r="E808" s="3">
        <f t="shared" si="39"/>
        <v>578.65520000000015</v>
      </c>
      <c r="F808" s="4">
        <f t="shared" si="37"/>
        <v>-4.8400000000001455</v>
      </c>
      <c r="G808" s="4">
        <f t="shared" si="38"/>
        <v>4.8400000000001455</v>
      </c>
    </row>
    <row r="809" spans="1:7" x14ac:dyDescent="0.3">
      <c r="A809" s="2">
        <v>42976</v>
      </c>
      <c r="B809" s="1">
        <v>40.727499999999999</v>
      </c>
      <c r="C809" s="1">
        <v>954.06010000000003</v>
      </c>
      <c r="D809" s="1">
        <v>168.05</v>
      </c>
      <c r="E809" s="3">
        <f t="shared" si="39"/>
        <v>583.4952000000003</v>
      </c>
      <c r="F809" s="4">
        <f t="shared" si="37"/>
        <v>17.880200000000514</v>
      </c>
      <c r="G809" s="4">
        <f t="shared" si="38"/>
        <v>-17.880200000000514</v>
      </c>
    </row>
    <row r="810" spans="1:7" x14ac:dyDescent="0.3">
      <c r="A810" s="2">
        <v>42975</v>
      </c>
      <c r="B810" s="1">
        <v>40.3675</v>
      </c>
      <c r="C810" s="1">
        <v>946.02</v>
      </c>
      <c r="D810" s="1">
        <v>167.24</v>
      </c>
      <c r="E810" s="3">
        <f t="shared" si="39"/>
        <v>565.61499999999978</v>
      </c>
      <c r="F810" s="4">
        <f t="shared" si="37"/>
        <v>3.2449999999989814</v>
      </c>
      <c r="G810" s="4">
        <f t="shared" si="38"/>
        <v>-3.2449999999989814</v>
      </c>
    </row>
    <row r="811" spans="1:7" x14ac:dyDescent="0.3">
      <c r="A811" s="2">
        <v>42972</v>
      </c>
      <c r="B811" s="1">
        <v>39.965000000000003</v>
      </c>
      <c r="C811" s="1">
        <v>945.26</v>
      </c>
      <c r="D811" s="1">
        <v>166.32</v>
      </c>
      <c r="E811" s="3">
        <f t="shared" si="39"/>
        <v>562.3700000000008</v>
      </c>
      <c r="F811" s="4">
        <f t="shared" si="37"/>
        <v>21.395000000000437</v>
      </c>
      <c r="G811" s="4">
        <f t="shared" si="38"/>
        <v>-21.395000000000437</v>
      </c>
    </row>
    <row r="812" spans="1:7" x14ac:dyDescent="0.3">
      <c r="A812" s="2">
        <v>42971</v>
      </c>
      <c r="B812" s="1">
        <v>39.817500000000003</v>
      </c>
      <c r="C812" s="1">
        <v>952.45</v>
      </c>
      <c r="D812" s="1">
        <v>167.74</v>
      </c>
      <c r="E812" s="3">
        <f t="shared" si="39"/>
        <v>540.97500000000036</v>
      </c>
      <c r="F812" s="4">
        <f t="shared" si="37"/>
        <v>-0.57499999999936335</v>
      </c>
      <c r="G812" s="4">
        <f t="shared" si="38"/>
        <v>0.57499999999936335</v>
      </c>
    </row>
    <row r="813" spans="1:7" x14ac:dyDescent="0.3">
      <c r="A813" s="2">
        <v>42970</v>
      </c>
      <c r="B813" s="1">
        <v>39.994999999999997</v>
      </c>
      <c r="C813" s="1">
        <v>958</v>
      </c>
      <c r="D813" s="1">
        <v>168.71</v>
      </c>
      <c r="E813" s="3">
        <f t="shared" si="39"/>
        <v>541.54999999999973</v>
      </c>
      <c r="F813" s="4">
        <f t="shared" si="37"/>
        <v>3.3001999999996769</v>
      </c>
      <c r="G813" s="4">
        <f t="shared" si="38"/>
        <v>-3.3001999999996769</v>
      </c>
    </row>
    <row r="814" spans="1:7" x14ac:dyDescent="0.3">
      <c r="A814" s="2">
        <v>42969</v>
      </c>
      <c r="B814" s="1">
        <v>39.945</v>
      </c>
      <c r="C814" s="1">
        <v>966.8999</v>
      </c>
      <c r="D814" s="1">
        <v>169.64</v>
      </c>
      <c r="E814" s="3">
        <f t="shared" si="39"/>
        <v>538.24980000000005</v>
      </c>
      <c r="F814" s="4">
        <f t="shared" si="37"/>
        <v>22.144800000000032</v>
      </c>
      <c r="G814" s="4">
        <f t="shared" si="38"/>
        <v>-22.144800000000032</v>
      </c>
    </row>
    <row r="815" spans="1:7" x14ac:dyDescent="0.3">
      <c r="A815" s="2">
        <v>42968</v>
      </c>
      <c r="B815" s="1">
        <v>39.302500000000002</v>
      </c>
      <c r="C815" s="1">
        <v>953.29</v>
      </c>
      <c r="D815" s="1">
        <v>167.78</v>
      </c>
      <c r="E815" s="3">
        <f t="shared" si="39"/>
        <v>516.10500000000002</v>
      </c>
      <c r="F815" s="4">
        <f t="shared" si="37"/>
        <v>-21.385000000000218</v>
      </c>
      <c r="G815" s="4">
        <f t="shared" si="38"/>
        <v>21.385000000000218</v>
      </c>
    </row>
    <row r="816" spans="1:7" x14ac:dyDescent="0.3">
      <c r="A816" s="2">
        <v>42965</v>
      </c>
      <c r="B816" s="1">
        <v>39.375</v>
      </c>
      <c r="C816" s="1">
        <v>958.47</v>
      </c>
      <c r="D816" s="1">
        <v>167.41</v>
      </c>
      <c r="E816" s="3">
        <f t="shared" si="39"/>
        <v>537.49000000000024</v>
      </c>
      <c r="F816" s="4">
        <f t="shared" si="37"/>
        <v>-18.700200000000223</v>
      </c>
      <c r="G816" s="4">
        <f t="shared" si="38"/>
        <v>18.700200000000223</v>
      </c>
    </row>
    <row r="817" spans="1:7" x14ac:dyDescent="0.3">
      <c r="A817" s="2">
        <v>42964</v>
      </c>
      <c r="B817" s="1">
        <v>39.465000000000003</v>
      </c>
      <c r="C817" s="1">
        <v>960.57010000000002</v>
      </c>
      <c r="D817" s="1">
        <v>166.91</v>
      </c>
      <c r="E817" s="3">
        <f t="shared" si="39"/>
        <v>556.19020000000046</v>
      </c>
      <c r="F817" s="4">
        <f t="shared" si="37"/>
        <v>-12.044599999999264</v>
      </c>
      <c r="G817" s="4">
        <f t="shared" si="38"/>
        <v>12.044599999999264</v>
      </c>
    </row>
    <row r="818" spans="1:7" x14ac:dyDescent="0.3">
      <c r="A818" s="2">
        <v>42963</v>
      </c>
      <c r="B818" s="1">
        <v>40.237499999999997</v>
      </c>
      <c r="C818" s="1">
        <v>978.17989999999998</v>
      </c>
      <c r="D818" s="1">
        <v>170</v>
      </c>
      <c r="E818" s="3">
        <f t="shared" si="39"/>
        <v>568.23479999999972</v>
      </c>
      <c r="F818" s="4">
        <f t="shared" si="37"/>
        <v>2.7547999999997046</v>
      </c>
      <c r="G818" s="4">
        <f t="shared" si="38"/>
        <v>-2.7547999999997046</v>
      </c>
    </row>
    <row r="819" spans="1:7" x14ac:dyDescent="0.3">
      <c r="A819" s="2">
        <v>42962</v>
      </c>
      <c r="B819" s="1">
        <v>40.4</v>
      </c>
      <c r="C819" s="1">
        <v>982.74</v>
      </c>
      <c r="D819" s="1">
        <v>171</v>
      </c>
      <c r="E819" s="3">
        <f t="shared" si="39"/>
        <v>565.48</v>
      </c>
      <c r="F819" s="4">
        <f t="shared" si="37"/>
        <v>15.755000000000109</v>
      </c>
      <c r="G819" s="4">
        <f t="shared" si="38"/>
        <v>-15.755000000000109</v>
      </c>
    </row>
    <row r="820" spans="1:7" x14ac:dyDescent="0.3">
      <c r="A820" s="2">
        <v>42961</v>
      </c>
      <c r="B820" s="1">
        <v>39.962499999999999</v>
      </c>
      <c r="C820" s="1">
        <v>983.3</v>
      </c>
      <c r="D820" s="1">
        <v>170.75</v>
      </c>
      <c r="E820" s="3">
        <f t="shared" si="39"/>
        <v>549.72499999999991</v>
      </c>
      <c r="F820" s="4">
        <f t="shared" si="37"/>
        <v>6.8450000000007094</v>
      </c>
      <c r="G820" s="4">
        <f t="shared" si="38"/>
        <v>-6.8450000000007094</v>
      </c>
    </row>
    <row r="821" spans="1:7" x14ac:dyDescent="0.3">
      <c r="A821" s="2">
        <v>42958</v>
      </c>
      <c r="B821" s="1">
        <v>39.369999999999997</v>
      </c>
      <c r="C821" s="1">
        <v>967.99</v>
      </c>
      <c r="D821" s="1">
        <v>168.08</v>
      </c>
      <c r="E821" s="3">
        <f t="shared" si="39"/>
        <v>542.8799999999992</v>
      </c>
      <c r="F821" s="4">
        <f t="shared" si="37"/>
        <v>35.540199999999459</v>
      </c>
      <c r="G821" s="4">
        <f t="shared" si="38"/>
        <v>-35.540199999999459</v>
      </c>
    </row>
    <row r="822" spans="1:7" x14ac:dyDescent="0.3">
      <c r="A822" s="2">
        <v>42957</v>
      </c>
      <c r="B822" s="1">
        <v>38.83</v>
      </c>
      <c r="C822" s="1">
        <v>956.91989999999998</v>
      </c>
      <c r="D822" s="1">
        <v>167.4</v>
      </c>
      <c r="E822" s="3">
        <f t="shared" si="39"/>
        <v>507.33979999999974</v>
      </c>
      <c r="F822" s="4">
        <f t="shared" si="37"/>
        <v>-46.330199999999877</v>
      </c>
      <c r="G822" s="4">
        <f t="shared" si="38"/>
        <v>46.330199999999877</v>
      </c>
    </row>
    <row r="823" spans="1:7" x14ac:dyDescent="0.3">
      <c r="A823" s="2">
        <v>42956</v>
      </c>
      <c r="B823" s="1">
        <v>40.265000000000001</v>
      </c>
      <c r="C823" s="1">
        <v>982.01</v>
      </c>
      <c r="D823" s="1">
        <v>171.18</v>
      </c>
      <c r="E823" s="3">
        <f t="shared" si="39"/>
        <v>553.66999999999962</v>
      </c>
      <c r="F823" s="4">
        <f t="shared" si="37"/>
        <v>-2.4102000000007138</v>
      </c>
      <c r="G823" s="4">
        <f t="shared" si="38"/>
        <v>2.4102000000007138</v>
      </c>
    </row>
    <row r="824" spans="1:7" x14ac:dyDescent="0.3">
      <c r="A824" s="2">
        <v>42955</v>
      </c>
      <c r="B824" s="1">
        <v>40.020000000000003</v>
      </c>
      <c r="C824" s="1">
        <v>989.84010000000001</v>
      </c>
      <c r="D824" s="1">
        <v>171.23</v>
      </c>
      <c r="E824" s="3">
        <f t="shared" si="39"/>
        <v>556.08020000000033</v>
      </c>
      <c r="F824" s="4">
        <f t="shared" si="37"/>
        <v>26.015200000000277</v>
      </c>
      <c r="G824" s="4">
        <f t="shared" si="38"/>
        <v>-26.015200000000277</v>
      </c>
    </row>
    <row r="825" spans="1:7" x14ac:dyDescent="0.3">
      <c r="A825" s="2">
        <v>42954</v>
      </c>
      <c r="B825" s="1">
        <v>39.702500000000001</v>
      </c>
      <c r="C825" s="1">
        <v>992.27</v>
      </c>
      <c r="D825" s="1">
        <v>171.98</v>
      </c>
      <c r="E825" s="3">
        <f t="shared" si="39"/>
        <v>530.06500000000005</v>
      </c>
      <c r="F825" s="4">
        <f t="shared" si="37"/>
        <v>-7.5701999999996588</v>
      </c>
      <c r="G825" s="4">
        <f t="shared" si="38"/>
        <v>7.5701999999996588</v>
      </c>
    </row>
    <row r="826" spans="1:7" x14ac:dyDescent="0.3">
      <c r="A826" s="2">
        <v>42951</v>
      </c>
      <c r="B826" s="1">
        <v>39.097499999999997</v>
      </c>
      <c r="C826" s="1">
        <v>987.58010000000002</v>
      </c>
      <c r="D826" s="1">
        <v>169.62</v>
      </c>
      <c r="E826" s="3">
        <f t="shared" si="39"/>
        <v>537.63519999999971</v>
      </c>
      <c r="F826" s="4">
        <f t="shared" si="37"/>
        <v>-9.0295999999998457</v>
      </c>
      <c r="G826" s="4">
        <f t="shared" si="38"/>
        <v>9.0295999999998457</v>
      </c>
    </row>
    <row r="827" spans="1:7" x14ac:dyDescent="0.3">
      <c r="A827" s="2">
        <v>42950</v>
      </c>
      <c r="B827" s="1">
        <v>38.892499999999998</v>
      </c>
      <c r="C827" s="1">
        <v>986.91989999999998</v>
      </c>
      <c r="D827" s="1">
        <v>168.59</v>
      </c>
      <c r="E827" s="3">
        <f t="shared" si="39"/>
        <v>546.66479999999956</v>
      </c>
      <c r="F827" s="4">
        <f t="shared" si="37"/>
        <v>-23.365000000000236</v>
      </c>
      <c r="G827" s="4">
        <f t="shared" si="38"/>
        <v>23.365000000000236</v>
      </c>
    </row>
    <row r="828" spans="1:7" x14ac:dyDescent="0.3">
      <c r="A828" s="2">
        <v>42949</v>
      </c>
      <c r="B828" s="1">
        <v>39.284999999999997</v>
      </c>
      <c r="C828" s="1">
        <v>995.88990000000001</v>
      </c>
      <c r="D828" s="1">
        <v>169.3</v>
      </c>
      <c r="E828" s="3">
        <f t="shared" si="39"/>
        <v>570.0297999999998</v>
      </c>
      <c r="F828" s="4">
        <f t="shared" si="37"/>
        <v>99.224999999999909</v>
      </c>
      <c r="G828" s="4">
        <f t="shared" si="38"/>
        <v>-99.224999999999909</v>
      </c>
    </row>
    <row r="829" spans="1:7" x14ac:dyDescent="0.3">
      <c r="A829" s="2">
        <v>42948</v>
      </c>
      <c r="B829" s="1">
        <v>37.512500000000003</v>
      </c>
      <c r="C829" s="1">
        <v>996.18989999999997</v>
      </c>
      <c r="D829" s="1">
        <v>169.86</v>
      </c>
      <c r="E829" s="3">
        <f t="shared" si="39"/>
        <v>470.80479999999989</v>
      </c>
      <c r="F829" s="4">
        <f t="shared" si="37"/>
        <v>21.119800000000396</v>
      </c>
      <c r="G829" s="4">
        <f t="shared" si="38"/>
        <v>-21.119800000000396</v>
      </c>
    </row>
    <row r="830" spans="1:7" x14ac:dyDescent="0.3">
      <c r="A830" s="2">
        <v>42947</v>
      </c>
      <c r="B830" s="1">
        <v>37.182499999999997</v>
      </c>
      <c r="C830" s="1">
        <v>987.78</v>
      </c>
      <c r="D830" s="1">
        <v>169.25</v>
      </c>
      <c r="E830" s="3">
        <f t="shared" si="39"/>
        <v>449.68499999999949</v>
      </c>
      <c r="F830" s="4">
        <f t="shared" si="37"/>
        <v>-10.145000000000437</v>
      </c>
      <c r="G830" s="4">
        <f t="shared" si="38"/>
        <v>10.145000000000437</v>
      </c>
    </row>
    <row r="831" spans="1:7" x14ac:dyDescent="0.3">
      <c r="A831" s="2">
        <v>42944</v>
      </c>
      <c r="B831" s="1">
        <v>37.375</v>
      </c>
      <c r="C831" s="1">
        <v>1020.04</v>
      </c>
      <c r="D831" s="1">
        <v>172.45</v>
      </c>
      <c r="E831" s="3">
        <f t="shared" si="39"/>
        <v>459.82999999999993</v>
      </c>
      <c r="F831" s="4">
        <f t="shared" si="37"/>
        <v>-105.36999999999989</v>
      </c>
      <c r="G831" s="4">
        <f t="shared" si="38"/>
        <v>105.36999999999989</v>
      </c>
    </row>
    <row r="832" spans="1:7" x14ac:dyDescent="0.3">
      <c r="A832" s="2">
        <v>42943</v>
      </c>
      <c r="B832" s="1">
        <v>37.64</v>
      </c>
      <c r="C832" s="1">
        <v>1046</v>
      </c>
      <c r="D832" s="1">
        <v>170.44</v>
      </c>
      <c r="E832" s="3">
        <f t="shared" si="39"/>
        <v>565.19999999999982</v>
      </c>
      <c r="F832" s="4">
        <f t="shared" si="37"/>
        <v>-146.44999999999982</v>
      </c>
      <c r="G832" s="4">
        <f t="shared" si="38"/>
        <v>146.44999999999982</v>
      </c>
    </row>
    <row r="833" spans="1:7" x14ac:dyDescent="0.3">
      <c r="A833" s="2">
        <v>42942</v>
      </c>
      <c r="B833" s="1">
        <v>38.365000000000002</v>
      </c>
      <c r="C833" s="1">
        <v>1052.8</v>
      </c>
      <c r="D833" s="1">
        <v>165.61</v>
      </c>
      <c r="E833" s="3">
        <f t="shared" si="39"/>
        <v>711.64999999999964</v>
      </c>
      <c r="F833" s="4">
        <f t="shared" si="37"/>
        <v>28.259999999999764</v>
      </c>
      <c r="G833" s="4">
        <f t="shared" si="38"/>
        <v>-28.259999999999764</v>
      </c>
    </row>
    <row r="834" spans="1:7" x14ac:dyDescent="0.3">
      <c r="A834" s="2">
        <v>42941</v>
      </c>
      <c r="B834" s="1">
        <v>38.185000000000002</v>
      </c>
      <c r="C834" s="1">
        <v>1039.8699999999999</v>
      </c>
      <c r="D834" s="1">
        <v>165.28</v>
      </c>
      <c r="E834" s="3">
        <f t="shared" si="39"/>
        <v>683.38999999999987</v>
      </c>
      <c r="F834" s="4">
        <f t="shared" si="37"/>
        <v>24.364999999999782</v>
      </c>
      <c r="G834" s="4">
        <f t="shared" si="38"/>
        <v>-24.364999999999782</v>
      </c>
    </row>
    <row r="835" spans="1:7" x14ac:dyDescent="0.3">
      <c r="A835" s="2">
        <v>42940</v>
      </c>
      <c r="B835" s="1">
        <v>38.022500000000001</v>
      </c>
      <c r="C835" s="1">
        <v>1038.95</v>
      </c>
      <c r="D835" s="1">
        <v>166</v>
      </c>
      <c r="E835" s="3">
        <f t="shared" si="39"/>
        <v>659.02500000000009</v>
      </c>
      <c r="F835" s="4">
        <f t="shared" si="37"/>
        <v>17.910000000000309</v>
      </c>
      <c r="G835" s="4">
        <f t="shared" si="38"/>
        <v>-17.910000000000309</v>
      </c>
    </row>
    <row r="836" spans="1:7" x14ac:dyDescent="0.3">
      <c r="A836" s="2">
        <v>42937</v>
      </c>
      <c r="B836" s="1">
        <v>37.567500000000003</v>
      </c>
      <c r="C836" s="1">
        <v>1025.67</v>
      </c>
      <c r="D836" s="1">
        <v>164.43</v>
      </c>
      <c r="E836" s="3">
        <f t="shared" si="39"/>
        <v>641.11499999999978</v>
      </c>
      <c r="F836" s="4">
        <f t="shared" si="37"/>
        <v>-4.9350000000004002</v>
      </c>
      <c r="G836" s="4">
        <f t="shared" si="38"/>
        <v>4.9350000000004002</v>
      </c>
    </row>
    <row r="837" spans="1:7" x14ac:dyDescent="0.3">
      <c r="A837" s="2">
        <v>42936</v>
      </c>
      <c r="B837" s="1">
        <v>37.585000000000001</v>
      </c>
      <c r="C837" s="1">
        <v>1028.7</v>
      </c>
      <c r="D837" s="1">
        <v>164.53</v>
      </c>
      <c r="E837" s="3">
        <f t="shared" si="39"/>
        <v>646.05000000000018</v>
      </c>
      <c r="F837" s="4">
        <f t="shared" ref="F837:F900" si="40">E837-E838</f>
        <v>-12.639999999999873</v>
      </c>
      <c r="G837" s="4">
        <f t="shared" ref="G837:G900" si="41">-F837</f>
        <v>12.639999999999873</v>
      </c>
    </row>
    <row r="838" spans="1:7" x14ac:dyDescent="0.3">
      <c r="A838" s="2">
        <v>42935</v>
      </c>
      <c r="B838" s="1">
        <v>37.755000000000003</v>
      </c>
      <c r="C838" s="1">
        <v>1026.8699999999999</v>
      </c>
      <c r="D838" s="1">
        <v>164.14</v>
      </c>
      <c r="E838" s="3">
        <f t="shared" ref="E838:E901" si="42">50*B838+2*C838-20*D838</f>
        <v>658.69</v>
      </c>
      <c r="F838" s="4">
        <f t="shared" si="40"/>
        <v>-9.0100000000002183</v>
      </c>
      <c r="G838" s="4">
        <f t="shared" si="41"/>
        <v>9.0100000000002183</v>
      </c>
    </row>
    <row r="839" spans="1:7" x14ac:dyDescent="0.3">
      <c r="A839" s="2">
        <v>42934</v>
      </c>
      <c r="B839" s="1">
        <v>37.520000000000003</v>
      </c>
      <c r="C839" s="1">
        <v>1024.45</v>
      </c>
      <c r="D839" s="1">
        <v>162.86000000000001</v>
      </c>
      <c r="E839" s="3">
        <f t="shared" si="42"/>
        <v>667.70000000000027</v>
      </c>
      <c r="F839" s="4">
        <f t="shared" si="40"/>
        <v>-27.279999999999745</v>
      </c>
      <c r="G839" s="4">
        <f t="shared" si="41"/>
        <v>27.279999999999745</v>
      </c>
    </row>
    <row r="840" spans="1:7" x14ac:dyDescent="0.3">
      <c r="A840" s="2">
        <v>42933</v>
      </c>
      <c r="B840" s="1">
        <v>37.39</v>
      </c>
      <c r="C840" s="1">
        <v>1010.04</v>
      </c>
      <c r="D840" s="1">
        <v>159.72999999999999</v>
      </c>
      <c r="E840" s="3">
        <f t="shared" si="42"/>
        <v>694.98</v>
      </c>
      <c r="F840" s="4">
        <f t="shared" si="40"/>
        <v>27.760000000000218</v>
      </c>
      <c r="G840" s="4">
        <f t="shared" si="41"/>
        <v>-27.760000000000218</v>
      </c>
    </row>
    <row r="841" spans="1:7" x14ac:dyDescent="0.3">
      <c r="A841" s="2">
        <v>42930</v>
      </c>
      <c r="B841" s="1">
        <v>37.26</v>
      </c>
      <c r="C841" s="1">
        <v>1001.81</v>
      </c>
      <c r="D841" s="1">
        <v>159.97</v>
      </c>
      <c r="E841" s="3">
        <f t="shared" si="42"/>
        <v>667.2199999999998</v>
      </c>
      <c r="F841" s="4">
        <f t="shared" si="40"/>
        <v>4.0349999999993997</v>
      </c>
      <c r="G841" s="4">
        <f t="shared" si="41"/>
        <v>-4.0349999999993997</v>
      </c>
    </row>
    <row r="842" spans="1:7" x14ac:dyDescent="0.3">
      <c r="A842" s="2">
        <v>42929</v>
      </c>
      <c r="B842" s="1">
        <v>36.942500000000003</v>
      </c>
      <c r="C842" s="1">
        <v>1000.63</v>
      </c>
      <c r="D842" s="1">
        <v>159.26</v>
      </c>
      <c r="E842" s="3">
        <f t="shared" si="42"/>
        <v>663.1850000000004</v>
      </c>
      <c r="F842" s="4">
        <f t="shared" si="40"/>
        <v>6.4150000000004184</v>
      </c>
      <c r="G842" s="4">
        <f t="shared" si="41"/>
        <v>-6.4150000000004184</v>
      </c>
    </row>
    <row r="843" spans="1:7" x14ac:dyDescent="0.3">
      <c r="A843" s="2">
        <v>42928</v>
      </c>
      <c r="B843" s="1">
        <v>36.435000000000002</v>
      </c>
      <c r="C843" s="1">
        <v>1006.51</v>
      </c>
      <c r="D843" s="1">
        <v>158.9</v>
      </c>
      <c r="E843" s="3">
        <f t="shared" si="42"/>
        <v>656.77</v>
      </c>
      <c r="F843" s="4">
        <f t="shared" si="40"/>
        <v>-45.214799999999741</v>
      </c>
      <c r="G843" s="4">
        <f t="shared" si="41"/>
        <v>45.214799999999741</v>
      </c>
    </row>
    <row r="844" spans="1:7" x14ac:dyDescent="0.3">
      <c r="A844" s="2">
        <v>42927</v>
      </c>
      <c r="B844" s="1">
        <v>36.3825</v>
      </c>
      <c r="C844" s="1">
        <v>994.12990000000002</v>
      </c>
      <c r="D844" s="1">
        <v>155.27000000000001</v>
      </c>
      <c r="E844" s="3">
        <f t="shared" si="42"/>
        <v>701.98479999999972</v>
      </c>
      <c r="F844" s="4">
        <f t="shared" si="40"/>
        <v>-34.205200000000332</v>
      </c>
      <c r="G844" s="4">
        <f t="shared" si="41"/>
        <v>34.205200000000332</v>
      </c>
    </row>
    <row r="845" spans="1:7" x14ac:dyDescent="0.3">
      <c r="A845" s="2">
        <v>42926</v>
      </c>
      <c r="B845" s="1">
        <v>36.265000000000001</v>
      </c>
      <c r="C845" s="1">
        <v>996.47</v>
      </c>
      <c r="D845" s="1">
        <v>153.5</v>
      </c>
      <c r="E845" s="3">
        <f t="shared" si="42"/>
        <v>736.19</v>
      </c>
      <c r="F845" s="4">
        <f t="shared" si="40"/>
        <v>5.2200000000002547</v>
      </c>
      <c r="G845" s="4">
        <f t="shared" si="41"/>
        <v>-5.2200000000002547</v>
      </c>
    </row>
    <row r="846" spans="1:7" x14ac:dyDescent="0.3">
      <c r="A846" s="2">
        <v>42923</v>
      </c>
      <c r="B846" s="1">
        <v>36.045000000000002</v>
      </c>
      <c r="C846" s="1">
        <v>978.76</v>
      </c>
      <c r="D846" s="1">
        <v>151.44</v>
      </c>
      <c r="E846" s="3">
        <f t="shared" si="42"/>
        <v>730.9699999999998</v>
      </c>
      <c r="F846" s="4">
        <f t="shared" si="40"/>
        <v>-7.0348000000003594</v>
      </c>
      <c r="G846" s="4">
        <f t="shared" si="41"/>
        <v>7.0348000000003594</v>
      </c>
    </row>
    <row r="847" spans="1:7" x14ac:dyDescent="0.3">
      <c r="A847" s="2">
        <v>42922</v>
      </c>
      <c r="B847" s="1">
        <v>35.682499999999997</v>
      </c>
      <c r="C847" s="1">
        <v>965.13990000000001</v>
      </c>
      <c r="D847" s="1">
        <v>148.82</v>
      </c>
      <c r="E847" s="3">
        <f t="shared" si="42"/>
        <v>738.00480000000016</v>
      </c>
      <c r="F847" s="4">
        <f t="shared" si="40"/>
        <v>0.88000000000056389</v>
      </c>
      <c r="G847" s="4">
        <f t="shared" si="41"/>
        <v>-0.88000000000056389</v>
      </c>
    </row>
    <row r="848" spans="1:7" x14ac:dyDescent="0.3">
      <c r="A848" s="2">
        <v>42921</v>
      </c>
      <c r="B848" s="1">
        <v>36.022500000000001</v>
      </c>
      <c r="C848" s="1">
        <v>971.3999</v>
      </c>
      <c r="D848" s="1">
        <v>150.34</v>
      </c>
      <c r="E848" s="3">
        <f t="shared" si="42"/>
        <v>737.1247999999996</v>
      </c>
      <c r="F848" s="4">
        <f t="shared" si="40"/>
        <v>4.6549999999997453</v>
      </c>
      <c r="G848" s="4">
        <f t="shared" si="41"/>
        <v>-4.6549999999997453</v>
      </c>
    </row>
    <row r="849" spans="1:7" x14ac:dyDescent="0.3">
      <c r="A849" s="2">
        <v>42920</v>
      </c>
      <c r="B849" s="1">
        <v>35.875</v>
      </c>
      <c r="C849" s="1">
        <v>953.65989999999999</v>
      </c>
      <c r="D849" s="1">
        <v>148.43</v>
      </c>
      <c r="E849" s="3">
        <f t="shared" si="42"/>
        <v>732.46979999999985</v>
      </c>
      <c r="F849" s="4">
        <f t="shared" si="40"/>
        <v>0</v>
      </c>
      <c r="G849" s="4">
        <f t="shared" si="41"/>
        <v>0</v>
      </c>
    </row>
    <row r="850" spans="1:7" x14ac:dyDescent="0.3">
      <c r="A850" s="2">
        <v>42919</v>
      </c>
      <c r="B850" s="1">
        <v>35.875</v>
      </c>
      <c r="C850" s="1">
        <v>953.65989999999999</v>
      </c>
      <c r="D850" s="1">
        <v>148.43</v>
      </c>
      <c r="E850" s="3">
        <f t="shared" si="42"/>
        <v>732.46979999999985</v>
      </c>
      <c r="F850" s="4">
        <f t="shared" si="40"/>
        <v>15.819799999999759</v>
      </c>
      <c r="G850" s="4">
        <f t="shared" si="41"/>
        <v>-15.819799999999759</v>
      </c>
    </row>
    <row r="851" spans="1:7" x14ac:dyDescent="0.3">
      <c r="A851" s="2">
        <v>42916</v>
      </c>
      <c r="B851" s="1">
        <v>36.005000000000003</v>
      </c>
      <c r="C851" s="1">
        <v>968</v>
      </c>
      <c r="D851" s="1">
        <v>150.97999999999999</v>
      </c>
      <c r="E851" s="3">
        <f t="shared" si="42"/>
        <v>716.65000000000009</v>
      </c>
      <c r="F851" s="4">
        <f t="shared" si="40"/>
        <v>-10.409800000000359</v>
      </c>
      <c r="G851" s="4">
        <f t="shared" si="41"/>
        <v>10.409800000000359</v>
      </c>
    </row>
    <row r="852" spans="1:7" x14ac:dyDescent="0.3">
      <c r="A852" s="2">
        <v>42915</v>
      </c>
      <c r="B852" s="1">
        <v>35.92</v>
      </c>
      <c r="C852" s="1">
        <v>975.92989999999998</v>
      </c>
      <c r="D852" s="1">
        <v>151.04</v>
      </c>
      <c r="E852" s="3">
        <f t="shared" si="42"/>
        <v>727.05980000000045</v>
      </c>
      <c r="F852" s="4">
        <f t="shared" si="40"/>
        <v>-11.675399999999627</v>
      </c>
      <c r="G852" s="4">
        <f t="shared" si="41"/>
        <v>11.675399999999627</v>
      </c>
    </row>
    <row r="853" spans="1:7" x14ac:dyDescent="0.3">
      <c r="A853" s="2">
        <v>42914</v>
      </c>
      <c r="B853" s="1">
        <v>36.457500000000003</v>
      </c>
      <c r="C853" s="1">
        <v>990.33010000000002</v>
      </c>
      <c r="D853" s="1">
        <v>153.24</v>
      </c>
      <c r="E853" s="3">
        <f t="shared" si="42"/>
        <v>738.73520000000008</v>
      </c>
      <c r="F853" s="4">
        <f t="shared" si="40"/>
        <v>0.15020000000095024</v>
      </c>
      <c r="G853" s="4">
        <f t="shared" si="41"/>
        <v>-0.15020000000095024</v>
      </c>
    </row>
    <row r="854" spans="1:7" x14ac:dyDescent="0.3">
      <c r="A854" s="2">
        <v>42913</v>
      </c>
      <c r="B854" s="1">
        <v>35.932499999999997</v>
      </c>
      <c r="C854" s="1">
        <v>976.78</v>
      </c>
      <c r="D854" s="1">
        <v>150.58000000000001</v>
      </c>
      <c r="E854" s="3">
        <f t="shared" si="42"/>
        <v>738.58499999999913</v>
      </c>
      <c r="F854" s="4">
        <f t="shared" si="40"/>
        <v>-0.3250000000007276</v>
      </c>
      <c r="G854" s="4">
        <f t="shared" si="41"/>
        <v>0.3250000000007276</v>
      </c>
    </row>
    <row r="855" spans="1:7" x14ac:dyDescent="0.3">
      <c r="A855" s="2">
        <v>42912</v>
      </c>
      <c r="B855" s="1">
        <v>36.454999999999998</v>
      </c>
      <c r="C855" s="1">
        <v>993.98</v>
      </c>
      <c r="D855" s="1">
        <v>153.59</v>
      </c>
      <c r="E855" s="3">
        <f t="shared" si="42"/>
        <v>738.90999999999985</v>
      </c>
      <c r="F855" s="4">
        <f t="shared" si="40"/>
        <v>4.3299999999994725</v>
      </c>
      <c r="G855" s="4">
        <f t="shared" si="41"/>
        <v>-4.3299999999994725</v>
      </c>
    </row>
    <row r="856" spans="1:7" x14ac:dyDescent="0.3">
      <c r="A856" s="2">
        <v>42909</v>
      </c>
      <c r="B856" s="1">
        <v>36.57</v>
      </c>
      <c r="C856" s="1">
        <v>1003.74</v>
      </c>
      <c r="D856" s="1">
        <v>155.07</v>
      </c>
      <c r="E856" s="3">
        <f t="shared" si="42"/>
        <v>734.58000000000038</v>
      </c>
      <c r="F856" s="4">
        <f t="shared" si="40"/>
        <v>-20.394999999999527</v>
      </c>
      <c r="G856" s="4">
        <f t="shared" si="41"/>
        <v>20.394999999999527</v>
      </c>
    </row>
    <row r="857" spans="1:7" x14ac:dyDescent="0.3">
      <c r="A857" s="2">
        <v>42908</v>
      </c>
      <c r="B857" s="1">
        <v>36.407499999999999</v>
      </c>
      <c r="C857" s="1">
        <v>1001.3</v>
      </c>
      <c r="D857" s="1">
        <v>153.4</v>
      </c>
      <c r="E857" s="3">
        <f t="shared" si="42"/>
        <v>754.97499999999991</v>
      </c>
      <c r="F857" s="4">
        <f t="shared" si="40"/>
        <v>5.3399999999996908</v>
      </c>
      <c r="G857" s="4">
        <f t="shared" si="41"/>
        <v>-5.3399999999996908</v>
      </c>
    </row>
    <row r="858" spans="1:7" x14ac:dyDescent="0.3">
      <c r="A858" s="2">
        <v>42907</v>
      </c>
      <c r="B858" s="1">
        <v>36.467500000000001</v>
      </c>
      <c r="C858" s="1">
        <v>1002.23</v>
      </c>
      <c r="D858" s="1">
        <v>153.91</v>
      </c>
      <c r="E858" s="3">
        <f t="shared" si="42"/>
        <v>749.63500000000022</v>
      </c>
      <c r="F858" s="4">
        <f t="shared" si="40"/>
        <v>-3.1701999999995678</v>
      </c>
      <c r="G858" s="4">
        <f t="shared" si="41"/>
        <v>3.1701999999995678</v>
      </c>
    </row>
    <row r="859" spans="1:7" x14ac:dyDescent="0.3">
      <c r="A859" s="2">
        <v>42906</v>
      </c>
      <c r="B859" s="1">
        <v>36.252499999999998</v>
      </c>
      <c r="C859" s="1">
        <v>992.59010000000001</v>
      </c>
      <c r="D859" s="1">
        <v>152.25</v>
      </c>
      <c r="E859" s="3">
        <f t="shared" si="42"/>
        <v>752.80519999999979</v>
      </c>
      <c r="F859" s="4">
        <f t="shared" si="40"/>
        <v>-9.3845999999998639</v>
      </c>
      <c r="G859" s="4">
        <f t="shared" si="41"/>
        <v>9.3845999999998639</v>
      </c>
    </row>
    <row r="860" spans="1:7" x14ac:dyDescent="0.3">
      <c r="A860" s="2">
        <v>42905</v>
      </c>
      <c r="B860" s="1">
        <v>36.585000000000001</v>
      </c>
      <c r="C860" s="1">
        <v>995.16989999999998</v>
      </c>
      <c r="D860" s="1">
        <v>152.87</v>
      </c>
      <c r="E860" s="3">
        <f t="shared" si="42"/>
        <v>762.18979999999965</v>
      </c>
      <c r="F860" s="4">
        <f t="shared" si="40"/>
        <v>21.194799999999304</v>
      </c>
      <c r="G860" s="4">
        <f t="shared" si="41"/>
        <v>-21.194799999999304</v>
      </c>
    </row>
    <row r="861" spans="1:7" x14ac:dyDescent="0.3">
      <c r="A861" s="2">
        <v>42902</v>
      </c>
      <c r="B861" s="1">
        <v>35.567500000000003</v>
      </c>
      <c r="C861" s="1">
        <v>987.71</v>
      </c>
      <c r="D861" s="1">
        <v>150.63999999999999</v>
      </c>
      <c r="E861" s="3">
        <f t="shared" si="42"/>
        <v>740.99500000000035</v>
      </c>
      <c r="F861" s="4">
        <f t="shared" si="40"/>
        <v>5.0302000000006046</v>
      </c>
      <c r="G861" s="4">
        <f t="shared" si="41"/>
        <v>-5.0302000000006046</v>
      </c>
    </row>
    <row r="862" spans="1:7" x14ac:dyDescent="0.3">
      <c r="A862" s="2">
        <v>42901</v>
      </c>
      <c r="B862" s="1">
        <v>36.072499999999998</v>
      </c>
      <c r="C862" s="1">
        <v>964.16989999999998</v>
      </c>
      <c r="D862" s="1">
        <v>149.80000000000001</v>
      </c>
      <c r="E862" s="3">
        <f t="shared" si="42"/>
        <v>735.96479999999974</v>
      </c>
      <c r="F862" s="4">
        <f t="shared" si="40"/>
        <v>-26.475200000000314</v>
      </c>
      <c r="G862" s="4">
        <f t="shared" si="41"/>
        <v>26.475200000000314</v>
      </c>
    </row>
    <row r="863" spans="1:7" x14ac:dyDescent="0.3">
      <c r="A863" s="2">
        <v>42900</v>
      </c>
      <c r="B863" s="1">
        <v>36.29</v>
      </c>
      <c r="C863" s="1">
        <v>976.47</v>
      </c>
      <c r="D863" s="1">
        <v>150.25</v>
      </c>
      <c r="E863" s="3">
        <f t="shared" si="42"/>
        <v>762.44</v>
      </c>
      <c r="F863" s="4">
        <f t="shared" si="40"/>
        <v>-17.914999999999509</v>
      </c>
      <c r="G863" s="4">
        <f t="shared" si="41"/>
        <v>17.914999999999509</v>
      </c>
    </row>
    <row r="864" spans="1:7" x14ac:dyDescent="0.3">
      <c r="A864" s="2">
        <v>42899</v>
      </c>
      <c r="B864" s="1">
        <v>36.647500000000001</v>
      </c>
      <c r="C864" s="1">
        <v>980.79</v>
      </c>
      <c r="D864" s="1">
        <v>150.68</v>
      </c>
      <c r="E864" s="3">
        <f t="shared" si="42"/>
        <v>780.35499999999956</v>
      </c>
      <c r="F864" s="4">
        <f t="shared" si="40"/>
        <v>1.5851999999999862</v>
      </c>
      <c r="G864" s="4">
        <f t="shared" si="41"/>
        <v>-1.5851999999999862</v>
      </c>
    </row>
    <row r="865" spans="1:7" x14ac:dyDescent="0.3">
      <c r="A865" s="2">
        <v>42898</v>
      </c>
      <c r="B865" s="1">
        <v>36.354999999999997</v>
      </c>
      <c r="C865" s="1">
        <v>964.90989999999999</v>
      </c>
      <c r="D865" s="1">
        <v>148.44</v>
      </c>
      <c r="E865" s="3">
        <f t="shared" si="42"/>
        <v>778.76979999999958</v>
      </c>
      <c r="F865" s="4">
        <f t="shared" si="40"/>
        <v>-48.100400000000263</v>
      </c>
      <c r="G865" s="4">
        <f t="shared" si="41"/>
        <v>48.100400000000263</v>
      </c>
    </row>
    <row r="866" spans="1:7" x14ac:dyDescent="0.3">
      <c r="A866" s="2">
        <v>42895</v>
      </c>
      <c r="B866" s="1">
        <v>37.244999999999997</v>
      </c>
      <c r="C866" s="1">
        <v>978.31010000000003</v>
      </c>
      <c r="D866" s="1">
        <v>149.6</v>
      </c>
      <c r="E866" s="3">
        <f t="shared" si="42"/>
        <v>826.87019999999984</v>
      </c>
      <c r="F866" s="4">
        <f t="shared" si="40"/>
        <v>-36.84479999999985</v>
      </c>
      <c r="G866" s="4">
        <f t="shared" si="41"/>
        <v>36.84479999999985</v>
      </c>
    </row>
    <row r="867" spans="1:7" x14ac:dyDescent="0.3">
      <c r="A867" s="2">
        <v>42894</v>
      </c>
      <c r="B867" s="1">
        <v>38.747500000000002</v>
      </c>
      <c r="C867" s="1">
        <v>1010.27</v>
      </c>
      <c r="D867" s="1">
        <v>154.71</v>
      </c>
      <c r="E867" s="3">
        <f t="shared" si="42"/>
        <v>863.71499999999969</v>
      </c>
      <c r="F867" s="4">
        <f t="shared" si="40"/>
        <v>-36.150000000000546</v>
      </c>
      <c r="G867" s="4">
        <f t="shared" si="41"/>
        <v>36.150000000000546</v>
      </c>
    </row>
    <row r="868" spans="1:7" x14ac:dyDescent="0.3">
      <c r="A868" s="2">
        <v>42893</v>
      </c>
      <c r="B868" s="1">
        <v>38.842500000000001</v>
      </c>
      <c r="C868" s="1">
        <v>1010.07</v>
      </c>
      <c r="D868" s="1">
        <v>153.12</v>
      </c>
      <c r="E868" s="3">
        <f t="shared" si="42"/>
        <v>899.86500000000024</v>
      </c>
      <c r="F868" s="4">
        <f t="shared" si="40"/>
        <v>19.440000000000055</v>
      </c>
      <c r="G868" s="4">
        <f t="shared" si="41"/>
        <v>-19.440000000000055</v>
      </c>
    </row>
    <row r="869" spans="1:7" x14ac:dyDescent="0.3">
      <c r="A869" s="2">
        <v>42892</v>
      </c>
      <c r="B869" s="1">
        <v>38.612499999999997</v>
      </c>
      <c r="C869" s="1">
        <v>1003</v>
      </c>
      <c r="D869" s="1">
        <v>152.81</v>
      </c>
      <c r="E869" s="3">
        <f t="shared" si="42"/>
        <v>880.42500000000018</v>
      </c>
      <c r="F869" s="4">
        <f t="shared" si="40"/>
        <v>6.2199999999997999</v>
      </c>
      <c r="G869" s="4">
        <f t="shared" si="41"/>
        <v>-6.2199999999997999</v>
      </c>
    </row>
    <row r="870" spans="1:7" x14ac:dyDescent="0.3">
      <c r="A870" s="2">
        <v>42891</v>
      </c>
      <c r="B870" s="1">
        <v>38.482500000000002</v>
      </c>
      <c r="C870" s="1">
        <v>1011.34</v>
      </c>
      <c r="D870" s="1">
        <v>153.63</v>
      </c>
      <c r="E870" s="3">
        <f t="shared" si="42"/>
        <v>874.20500000000038</v>
      </c>
      <c r="F870" s="4">
        <f t="shared" si="40"/>
        <v>-10.179999999999382</v>
      </c>
      <c r="G870" s="4">
        <f t="shared" si="41"/>
        <v>10.179999999999382</v>
      </c>
    </row>
    <row r="871" spans="1:7" x14ac:dyDescent="0.3">
      <c r="A871" s="2">
        <v>42888</v>
      </c>
      <c r="B871" s="1">
        <v>38.862499999999997</v>
      </c>
      <c r="C871" s="1">
        <v>1006.73</v>
      </c>
      <c r="D871" s="1">
        <v>153.61000000000001</v>
      </c>
      <c r="E871" s="3">
        <f t="shared" si="42"/>
        <v>884.38499999999976</v>
      </c>
      <c r="F871" s="4">
        <f t="shared" si="40"/>
        <v>8.3349999999995816</v>
      </c>
      <c r="G871" s="4">
        <f t="shared" si="41"/>
        <v>-8.3349999999995816</v>
      </c>
    </row>
    <row r="872" spans="1:7" x14ac:dyDescent="0.3">
      <c r="A872" s="2">
        <v>42887</v>
      </c>
      <c r="B872" s="1">
        <v>38.295000000000002</v>
      </c>
      <c r="C872" s="1">
        <v>995.95</v>
      </c>
      <c r="D872" s="1">
        <v>151.53</v>
      </c>
      <c r="E872" s="3">
        <f t="shared" si="42"/>
        <v>876.05000000000018</v>
      </c>
      <c r="F872" s="4">
        <f t="shared" si="40"/>
        <v>6.5098000000002685</v>
      </c>
      <c r="G872" s="4">
        <f t="shared" si="41"/>
        <v>-6.5098000000002685</v>
      </c>
    </row>
    <row r="873" spans="1:7" x14ac:dyDescent="0.3">
      <c r="A873" s="2">
        <v>42886</v>
      </c>
      <c r="B873" s="1">
        <v>38.19</v>
      </c>
      <c r="C873" s="1">
        <v>994.62009999999998</v>
      </c>
      <c r="D873" s="1">
        <v>151.46</v>
      </c>
      <c r="E873" s="3">
        <f t="shared" si="42"/>
        <v>869.54019999999991</v>
      </c>
      <c r="F873" s="4">
        <f t="shared" si="40"/>
        <v>2.8652000000001863</v>
      </c>
      <c r="G873" s="4">
        <f t="shared" si="41"/>
        <v>-2.8652000000001863</v>
      </c>
    </row>
    <row r="874" spans="1:7" x14ac:dyDescent="0.3">
      <c r="A874" s="2">
        <v>42885</v>
      </c>
      <c r="B874" s="1">
        <v>38.417499999999997</v>
      </c>
      <c r="C874" s="1">
        <v>996.7</v>
      </c>
      <c r="D874" s="1">
        <v>152.38</v>
      </c>
      <c r="E874" s="3">
        <f t="shared" si="42"/>
        <v>866.67499999999973</v>
      </c>
      <c r="F874" s="4">
        <f t="shared" si="40"/>
        <v>-2.410000000000764</v>
      </c>
      <c r="G874" s="4">
        <f t="shared" si="41"/>
        <v>2.410000000000764</v>
      </c>
    </row>
    <row r="875" spans="1:7" x14ac:dyDescent="0.3">
      <c r="A875" s="2">
        <v>42884</v>
      </c>
      <c r="B875" s="1">
        <v>38.402500000000003</v>
      </c>
      <c r="C875" s="1">
        <v>995.78</v>
      </c>
      <c r="D875" s="1">
        <v>152.13</v>
      </c>
      <c r="E875" s="3">
        <f t="shared" si="42"/>
        <v>869.08500000000049</v>
      </c>
      <c r="F875" s="4">
        <f t="shared" si="40"/>
        <v>0</v>
      </c>
      <c r="G875" s="4">
        <f t="shared" si="41"/>
        <v>0</v>
      </c>
    </row>
    <row r="876" spans="1:7" x14ac:dyDescent="0.3">
      <c r="A876" s="2">
        <v>42881</v>
      </c>
      <c r="B876" s="1">
        <v>38.402500000000003</v>
      </c>
      <c r="C876" s="1">
        <v>995.78</v>
      </c>
      <c r="D876" s="1">
        <v>152.13</v>
      </c>
      <c r="E876" s="3">
        <f t="shared" si="42"/>
        <v>869.08500000000049</v>
      </c>
      <c r="F876" s="4">
        <f t="shared" si="40"/>
        <v>-1.8497999999990498</v>
      </c>
      <c r="G876" s="4">
        <f t="shared" si="41"/>
        <v>1.8497999999990498</v>
      </c>
    </row>
    <row r="877" spans="1:7" x14ac:dyDescent="0.3">
      <c r="A877" s="2">
        <v>42880</v>
      </c>
      <c r="B877" s="1">
        <v>38.467500000000001</v>
      </c>
      <c r="C877" s="1">
        <v>993.37990000000002</v>
      </c>
      <c r="D877" s="1">
        <v>151.96</v>
      </c>
      <c r="E877" s="3">
        <f t="shared" si="42"/>
        <v>870.93479999999954</v>
      </c>
      <c r="F877" s="4">
        <f t="shared" si="40"/>
        <v>-5.7154000000009546</v>
      </c>
      <c r="G877" s="4">
        <f t="shared" si="41"/>
        <v>5.7154000000009546</v>
      </c>
    </row>
    <row r="878" spans="1:7" x14ac:dyDescent="0.3">
      <c r="A878" s="2">
        <v>42879</v>
      </c>
      <c r="B878" s="1">
        <v>38.335000000000001</v>
      </c>
      <c r="C878" s="1">
        <v>980.3501</v>
      </c>
      <c r="D878" s="1">
        <v>150.04</v>
      </c>
      <c r="E878" s="3">
        <f t="shared" si="42"/>
        <v>876.6502000000005</v>
      </c>
      <c r="F878" s="4">
        <f t="shared" si="40"/>
        <v>-27.529799999999796</v>
      </c>
      <c r="G878" s="4">
        <f t="shared" si="41"/>
        <v>27.529799999999796</v>
      </c>
    </row>
    <row r="879" spans="1:7" x14ac:dyDescent="0.3">
      <c r="A879" s="2">
        <v>42878</v>
      </c>
      <c r="B879" s="1">
        <v>38.450000000000003</v>
      </c>
      <c r="C879" s="1">
        <v>971.54</v>
      </c>
      <c r="D879" s="1">
        <v>148.07</v>
      </c>
      <c r="E879" s="3">
        <f t="shared" si="42"/>
        <v>904.18000000000029</v>
      </c>
      <c r="F879" s="4">
        <f t="shared" si="40"/>
        <v>2.765200000000732</v>
      </c>
      <c r="G879" s="4">
        <f t="shared" si="41"/>
        <v>-2.765200000000732</v>
      </c>
    </row>
    <row r="880" spans="1:7" x14ac:dyDescent="0.3">
      <c r="A880" s="2">
        <v>42877</v>
      </c>
      <c r="B880" s="1">
        <v>38.497500000000002</v>
      </c>
      <c r="C880" s="1">
        <v>970.66989999999998</v>
      </c>
      <c r="D880" s="1">
        <v>148.24</v>
      </c>
      <c r="E880" s="3">
        <f t="shared" si="42"/>
        <v>901.41479999999956</v>
      </c>
      <c r="F880" s="4">
        <f t="shared" si="40"/>
        <v>29.684599999999591</v>
      </c>
      <c r="G880" s="4">
        <f t="shared" si="41"/>
        <v>-29.684599999999591</v>
      </c>
    </row>
    <row r="881" spans="1:7" x14ac:dyDescent="0.3">
      <c r="A881" s="2">
        <v>42874</v>
      </c>
      <c r="B881" s="1">
        <v>38.265000000000001</v>
      </c>
      <c r="C881" s="1">
        <v>959.84010000000001</v>
      </c>
      <c r="D881" s="1">
        <v>148.06</v>
      </c>
      <c r="E881" s="3">
        <f t="shared" si="42"/>
        <v>871.73019999999997</v>
      </c>
      <c r="F881" s="4">
        <f t="shared" si="40"/>
        <v>1.2001999999997679</v>
      </c>
      <c r="G881" s="4">
        <f t="shared" si="41"/>
        <v>-1.2001999999997679</v>
      </c>
    </row>
    <row r="882" spans="1:7" x14ac:dyDescent="0.3">
      <c r="A882" s="2">
        <v>42873</v>
      </c>
      <c r="B882" s="1">
        <v>38.134999999999998</v>
      </c>
      <c r="C882" s="1">
        <v>958.49</v>
      </c>
      <c r="D882" s="1">
        <v>147.66</v>
      </c>
      <c r="E882" s="3">
        <f t="shared" si="42"/>
        <v>870.5300000000002</v>
      </c>
      <c r="F882" s="4">
        <f t="shared" si="40"/>
        <v>-0.11499999999978172</v>
      </c>
      <c r="G882" s="4">
        <f t="shared" si="41"/>
        <v>0.11499999999978172</v>
      </c>
    </row>
    <row r="883" spans="1:7" x14ac:dyDescent="0.3">
      <c r="A883" s="2">
        <v>42872</v>
      </c>
      <c r="B883" s="1">
        <v>37.5625</v>
      </c>
      <c r="C883" s="1">
        <v>944.76</v>
      </c>
      <c r="D883" s="1">
        <v>144.85</v>
      </c>
      <c r="E883" s="3">
        <f t="shared" si="42"/>
        <v>870.64499999999998</v>
      </c>
      <c r="F883" s="4">
        <f t="shared" si="40"/>
        <v>-9.2701999999999316</v>
      </c>
      <c r="G883" s="4">
        <f t="shared" si="41"/>
        <v>9.2701999999999316</v>
      </c>
    </row>
    <row r="884" spans="1:7" x14ac:dyDescent="0.3">
      <c r="A884" s="2">
        <v>42871</v>
      </c>
      <c r="B884" s="1">
        <v>38.8675</v>
      </c>
      <c r="C884" s="1">
        <v>966.07010000000002</v>
      </c>
      <c r="D884" s="1">
        <v>149.78</v>
      </c>
      <c r="E884" s="3">
        <f t="shared" si="42"/>
        <v>879.91519999999991</v>
      </c>
      <c r="F884" s="4">
        <f t="shared" si="40"/>
        <v>21.525200000000495</v>
      </c>
      <c r="G884" s="4">
        <f t="shared" si="41"/>
        <v>-21.525200000000495</v>
      </c>
    </row>
    <row r="885" spans="1:7" x14ac:dyDescent="0.3">
      <c r="A885" s="2">
        <v>42870</v>
      </c>
      <c r="B885" s="1">
        <v>38.924999999999997</v>
      </c>
      <c r="C885" s="1">
        <v>957.97</v>
      </c>
      <c r="D885" s="1">
        <v>150.19</v>
      </c>
      <c r="E885" s="3">
        <f t="shared" si="42"/>
        <v>858.38999999999942</v>
      </c>
      <c r="F885" s="4">
        <f t="shared" si="40"/>
        <v>-8.9602000000004409</v>
      </c>
      <c r="G885" s="4">
        <f t="shared" si="41"/>
        <v>8.9602000000004409</v>
      </c>
    </row>
    <row r="886" spans="1:7" x14ac:dyDescent="0.3">
      <c r="A886" s="2">
        <v>42867</v>
      </c>
      <c r="B886" s="1">
        <v>39.024999999999999</v>
      </c>
      <c r="C886" s="1">
        <v>961.3501</v>
      </c>
      <c r="D886" s="1">
        <v>150.33000000000001</v>
      </c>
      <c r="E886" s="3">
        <f t="shared" si="42"/>
        <v>867.35019999999986</v>
      </c>
      <c r="F886" s="4">
        <f t="shared" si="40"/>
        <v>48.534999999999854</v>
      </c>
      <c r="G886" s="4">
        <f t="shared" si="41"/>
        <v>-48.534999999999854</v>
      </c>
    </row>
    <row r="887" spans="1:7" x14ac:dyDescent="0.3">
      <c r="A887" s="2">
        <v>42866</v>
      </c>
      <c r="B887" s="1">
        <v>38.487499999999997</v>
      </c>
      <c r="C887" s="1">
        <v>947.62009999999998</v>
      </c>
      <c r="D887" s="1">
        <v>150.04</v>
      </c>
      <c r="E887" s="3">
        <f t="shared" si="42"/>
        <v>818.8152</v>
      </c>
      <c r="F887" s="4">
        <f t="shared" si="40"/>
        <v>10.965199999999641</v>
      </c>
      <c r="G887" s="4">
        <f t="shared" si="41"/>
        <v>-10.965199999999641</v>
      </c>
    </row>
    <row r="888" spans="1:7" x14ac:dyDescent="0.3">
      <c r="A888" s="2">
        <v>42865</v>
      </c>
      <c r="B888" s="1">
        <v>38.314999999999998</v>
      </c>
      <c r="C888" s="1">
        <v>948.95</v>
      </c>
      <c r="D888" s="1">
        <v>150.29</v>
      </c>
      <c r="E888" s="3">
        <f t="shared" si="42"/>
        <v>807.85000000000036</v>
      </c>
      <c r="F888" s="4">
        <f t="shared" si="40"/>
        <v>-13.06519999999955</v>
      </c>
      <c r="G888" s="4">
        <f t="shared" si="41"/>
        <v>13.06519999999955</v>
      </c>
    </row>
    <row r="889" spans="1:7" x14ac:dyDescent="0.3">
      <c r="A889" s="2">
        <v>42864</v>
      </c>
      <c r="B889" s="1">
        <v>38.497500000000002</v>
      </c>
      <c r="C889" s="1">
        <v>952.82010000000002</v>
      </c>
      <c r="D889" s="1">
        <v>150.47999999999999</v>
      </c>
      <c r="E889" s="3">
        <f t="shared" si="42"/>
        <v>820.91519999999991</v>
      </c>
      <c r="F889" s="4">
        <f t="shared" si="40"/>
        <v>31.410199999999804</v>
      </c>
      <c r="G889" s="4">
        <f t="shared" si="41"/>
        <v>-31.410199999999804</v>
      </c>
    </row>
    <row r="890" spans="1:7" x14ac:dyDescent="0.3">
      <c r="A890" s="2">
        <v>42863</v>
      </c>
      <c r="B890" s="1">
        <v>38.252499999999998</v>
      </c>
      <c r="C890" s="1">
        <v>949.04</v>
      </c>
      <c r="D890" s="1">
        <v>151.06</v>
      </c>
      <c r="E890" s="3">
        <f t="shared" si="42"/>
        <v>789.50500000000011</v>
      </c>
      <c r="F890" s="4">
        <f t="shared" si="40"/>
        <v>64.005200000000514</v>
      </c>
      <c r="G890" s="4">
        <f t="shared" si="41"/>
        <v>-64.005200000000514</v>
      </c>
    </row>
    <row r="891" spans="1:7" x14ac:dyDescent="0.3">
      <c r="A891" s="2">
        <v>42860</v>
      </c>
      <c r="B891" s="1">
        <v>37.24</v>
      </c>
      <c r="C891" s="1">
        <v>934.1499</v>
      </c>
      <c r="D891" s="1">
        <v>150.24</v>
      </c>
      <c r="E891" s="3">
        <f t="shared" si="42"/>
        <v>725.4997999999996</v>
      </c>
      <c r="F891" s="4">
        <f t="shared" si="40"/>
        <v>35.81479999999965</v>
      </c>
      <c r="G891" s="4">
        <f t="shared" si="41"/>
        <v>-35.81479999999965</v>
      </c>
    </row>
    <row r="892" spans="1:7" x14ac:dyDescent="0.3">
      <c r="A892" s="2">
        <v>42859</v>
      </c>
      <c r="B892" s="1">
        <v>36.6325</v>
      </c>
      <c r="C892" s="1">
        <v>937.53</v>
      </c>
      <c r="D892" s="1">
        <v>150.85</v>
      </c>
      <c r="E892" s="3">
        <f t="shared" si="42"/>
        <v>689.68499999999995</v>
      </c>
      <c r="F892" s="4">
        <f t="shared" si="40"/>
        <v>5.375</v>
      </c>
      <c r="G892" s="4">
        <f t="shared" si="41"/>
        <v>-5.375</v>
      </c>
    </row>
    <row r="893" spans="1:7" x14ac:dyDescent="0.3">
      <c r="A893" s="2">
        <v>42858</v>
      </c>
      <c r="B893" s="1">
        <v>36.765000000000001</v>
      </c>
      <c r="C893" s="1">
        <v>941.03</v>
      </c>
      <c r="D893" s="1">
        <v>151.80000000000001</v>
      </c>
      <c r="E893" s="3">
        <f t="shared" si="42"/>
        <v>684.31</v>
      </c>
      <c r="F893" s="4">
        <f t="shared" si="40"/>
        <v>2.1552000000001499</v>
      </c>
      <c r="G893" s="4">
        <f t="shared" si="41"/>
        <v>-2.1552000000001499</v>
      </c>
    </row>
    <row r="894" spans="1:7" x14ac:dyDescent="0.3">
      <c r="A894" s="2">
        <v>42857</v>
      </c>
      <c r="B894" s="1">
        <v>36.877499999999998</v>
      </c>
      <c r="C894" s="1">
        <v>946.93989999999997</v>
      </c>
      <c r="D894" s="1">
        <v>152.78</v>
      </c>
      <c r="E894" s="3">
        <f t="shared" si="42"/>
        <v>682.1547999999998</v>
      </c>
      <c r="F894" s="4">
        <f t="shared" si="40"/>
        <v>2.644800000000032</v>
      </c>
      <c r="G894" s="4">
        <f t="shared" si="41"/>
        <v>-2.644800000000032</v>
      </c>
    </row>
    <row r="895" spans="1:7" x14ac:dyDescent="0.3">
      <c r="A895" s="2">
        <v>42856</v>
      </c>
      <c r="B895" s="1">
        <v>36.645000000000003</v>
      </c>
      <c r="C895" s="1">
        <v>948.23</v>
      </c>
      <c r="D895" s="1">
        <v>152.46</v>
      </c>
      <c r="E895" s="3">
        <f t="shared" si="42"/>
        <v>679.50999999999976</v>
      </c>
      <c r="F895" s="4">
        <f t="shared" si="40"/>
        <v>38.904999999999745</v>
      </c>
      <c r="G895" s="4">
        <f t="shared" si="41"/>
        <v>-38.904999999999745</v>
      </c>
    </row>
    <row r="896" spans="1:7" x14ac:dyDescent="0.3">
      <c r="A896" s="2">
        <v>42853</v>
      </c>
      <c r="B896" s="1">
        <v>35.912500000000001</v>
      </c>
      <c r="C896" s="1">
        <v>924.99</v>
      </c>
      <c r="D896" s="1">
        <v>150.25</v>
      </c>
      <c r="E896" s="3">
        <f t="shared" si="42"/>
        <v>640.60500000000002</v>
      </c>
      <c r="F896" s="4">
        <f t="shared" si="40"/>
        <v>-39.529799999999796</v>
      </c>
      <c r="G896" s="4">
        <f t="shared" si="41"/>
        <v>39.529799999999796</v>
      </c>
    </row>
    <row r="897" spans="1:7" x14ac:dyDescent="0.3">
      <c r="A897" s="2">
        <v>42852</v>
      </c>
      <c r="B897" s="1">
        <v>35.947499999999998</v>
      </c>
      <c r="C897" s="1">
        <v>918.37990000000002</v>
      </c>
      <c r="D897" s="1">
        <v>147.69999999999999</v>
      </c>
      <c r="E897" s="3">
        <f t="shared" si="42"/>
        <v>680.13479999999981</v>
      </c>
      <c r="F897" s="4">
        <f t="shared" si="40"/>
        <v>-3.2452000000002954</v>
      </c>
      <c r="G897" s="4">
        <f t="shared" si="41"/>
        <v>3.2452000000002954</v>
      </c>
    </row>
    <row r="898" spans="1:7" x14ac:dyDescent="0.3">
      <c r="A898" s="2">
        <v>42851</v>
      </c>
      <c r="B898" s="1">
        <v>35.92</v>
      </c>
      <c r="C898" s="1">
        <v>909.29</v>
      </c>
      <c r="D898" s="1">
        <v>146.56</v>
      </c>
      <c r="E898" s="3">
        <f t="shared" si="42"/>
        <v>683.38000000000011</v>
      </c>
      <c r="F898" s="4">
        <f t="shared" si="40"/>
        <v>-8.6851999999998952</v>
      </c>
      <c r="G898" s="4">
        <f t="shared" si="41"/>
        <v>8.6851999999998952</v>
      </c>
    </row>
    <row r="899" spans="1:7" x14ac:dyDescent="0.3">
      <c r="A899" s="2">
        <v>42850</v>
      </c>
      <c r="B899" s="1">
        <v>36.1325</v>
      </c>
      <c r="C899" s="1">
        <v>907.62009999999998</v>
      </c>
      <c r="D899" s="1">
        <v>146.49</v>
      </c>
      <c r="E899" s="3">
        <f t="shared" si="42"/>
        <v>692.0652</v>
      </c>
      <c r="F899" s="4">
        <f t="shared" si="40"/>
        <v>-8.8545999999996639</v>
      </c>
      <c r="G899" s="4">
        <f t="shared" si="41"/>
        <v>8.8545999999996639</v>
      </c>
    </row>
    <row r="900" spans="1:7" x14ac:dyDescent="0.3">
      <c r="A900" s="2">
        <v>42849</v>
      </c>
      <c r="B900" s="1">
        <v>35.909999999999997</v>
      </c>
      <c r="C900" s="1">
        <v>907.40989999999999</v>
      </c>
      <c r="D900" s="1">
        <v>145.47</v>
      </c>
      <c r="E900" s="3">
        <f t="shared" si="42"/>
        <v>700.91979999999967</v>
      </c>
      <c r="F900" s="4">
        <f t="shared" si="40"/>
        <v>-0.91520000000036816</v>
      </c>
      <c r="G900" s="4">
        <f t="shared" si="41"/>
        <v>0.91520000000036816</v>
      </c>
    </row>
    <row r="901" spans="1:7" x14ac:dyDescent="0.3">
      <c r="A901" s="2">
        <v>42846</v>
      </c>
      <c r="B901" s="1">
        <v>35.567500000000003</v>
      </c>
      <c r="C901" s="1">
        <v>898.53</v>
      </c>
      <c r="D901" s="1">
        <v>143.68</v>
      </c>
      <c r="E901" s="3">
        <f t="shared" si="42"/>
        <v>701.83500000000004</v>
      </c>
      <c r="F901" s="4">
        <f t="shared" ref="F901:F964" si="43">E901-E902</f>
        <v>-6.785200000000259</v>
      </c>
      <c r="G901" s="4">
        <f t="shared" ref="G901:G964" si="44">-F901</f>
        <v>6.785200000000259</v>
      </c>
    </row>
    <row r="902" spans="1:7" x14ac:dyDescent="0.3">
      <c r="A902" s="2">
        <v>42845</v>
      </c>
      <c r="B902" s="1">
        <v>35.61</v>
      </c>
      <c r="C902" s="1">
        <v>902.06010000000003</v>
      </c>
      <c r="D902" s="1">
        <v>143.80000000000001</v>
      </c>
      <c r="E902" s="3">
        <f t="shared" ref="E902:E965" si="45">50*B902+2*C902-20*D902</f>
        <v>708.6202000000003</v>
      </c>
      <c r="F902" s="4">
        <f t="shared" si="43"/>
        <v>-2.8797999999997046</v>
      </c>
      <c r="G902" s="4">
        <f t="shared" si="44"/>
        <v>2.8797999999997046</v>
      </c>
    </row>
    <row r="903" spans="1:7" x14ac:dyDescent="0.3">
      <c r="A903" s="2">
        <v>42844</v>
      </c>
      <c r="B903" s="1">
        <v>35.17</v>
      </c>
      <c r="C903" s="1">
        <v>899.2</v>
      </c>
      <c r="D903" s="1">
        <v>142.27000000000001</v>
      </c>
      <c r="E903" s="3">
        <f t="shared" si="45"/>
        <v>711.5</v>
      </c>
      <c r="F903" s="4">
        <f t="shared" si="43"/>
        <v>-41.859999999999218</v>
      </c>
      <c r="G903" s="4">
        <f t="shared" si="44"/>
        <v>41.859999999999218</v>
      </c>
    </row>
    <row r="904" spans="1:7" x14ac:dyDescent="0.3">
      <c r="A904" s="2">
        <v>42843</v>
      </c>
      <c r="B904" s="1">
        <v>35.299999999999997</v>
      </c>
      <c r="C904" s="1">
        <v>903.78</v>
      </c>
      <c r="D904" s="1">
        <v>140.96</v>
      </c>
      <c r="E904" s="3">
        <f t="shared" si="45"/>
        <v>753.35999999999922</v>
      </c>
      <c r="F904" s="4">
        <f t="shared" si="43"/>
        <v>4.9049999999983811</v>
      </c>
      <c r="G904" s="4">
        <f t="shared" si="44"/>
        <v>-4.9049999999983811</v>
      </c>
    </row>
    <row r="905" spans="1:7" x14ac:dyDescent="0.3">
      <c r="A905" s="2">
        <v>42842</v>
      </c>
      <c r="B905" s="1">
        <v>35.457500000000003</v>
      </c>
      <c r="C905" s="1">
        <v>901.99</v>
      </c>
      <c r="D905" s="1">
        <v>141.41999999999999</v>
      </c>
      <c r="E905" s="3">
        <f t="shared" si="45"/>
        <v>748.45500000000084</v>
      </c>
      <c r="F905" s="4">
        <f t="shared" si="43"/>
        <v>3.7902000000003682</v>
      </c>
      <c r="G905" s="4">
        <f t="shared" si="44"/>
        <v>-3.7902000000003682</v>
      </c>
    </row>
    <row r="906" spans="1:7" x14ac:dyDescent="0.3">
      <c r="A906" s="2">
        <v>42839</v>
      </c>
      <c r="B906" s="1">
        <v>35.262500000000003</v>
      </c>
      <c r="C906" s="1">
        <v>884.66989999999998</v>
      </c>
      <c r="D906" s="1">
        <v>139.38999999999999</v>
      </c>
      <c r="E906" s="3">
        <f t="shared" si="45"/>
        <v>744.66480000000047</v>
      </c>
      <c r="F906" s="4">
        <f t="shared" si="43"/>
        <v>0</v>
      </c>
      <c r="G906" s="4">
        <f t="shared" si="44"/>
        <v>0</v>
      </c>
    </row>
    <row r="907" spans="1:7" x14ac:dyDescent="0.3">
      <c r="A907" s="2">
        <v>42838</v>
      </c>
      <c r="B907" s="1">
        <v>35.262500000000003</v>
      </c>
      <c r="C907" s="1">
        <v>884.66989999999998</v>
      </c>
      <c r="D907" s="1">
        <v>139.38999999999999</v>
      </c>
      <c r="E907" s="3">
        <f t="shared" si="45"/>
        <v>744.66480000000047</v>
      </c>
      <c r="F907" s="4">
        <f t="shared" si="43"/>
        <v>-28.695199999999204</v>
      </c>
      <c r="G907" s="4">
        <f t="shared" si="44"/>
        <v>28.695199999999204</v>
      </c>
    </row>
    <row r="908" spans="1:7" x14ac:dyDescent="0.3">
      <c r="A908" s="2">
        <v>42837</v>
      </c>
      <c r="B908" s="1">
        <v>35.450000000000003</v>
      </c>
      <c r="C908" s="1">
        <v>896.23</v>
      </c>
      <c r="D908" s="1">
        <v>139.58000000000001</v>
      </c>
      <c r="E908" s="3">
        <f t="shared" si="45"/>
        <v>773.35999999999967</v>
      </c>
      <c r="F908" s="4">
        <f t="shared" si="43"/>
        <v>-3.3352000000004409</v>
      </c>
      <c r="G908" s="4">
        <f t="shared" si="44"/>
        <v>3.3352000000004409</v>
      </c>
    </row>
    <row r="909" spans="1:7" x14ac:dyDescent="0.3">
      <c r="A909" s="2">
        <v>42836</v>
      </c>
      <c r="B909" s="1">
        <v>35.407499999999999</v>
      </c>
      <c r="C909" s="1">
        <v>902.36009999999999</v>
      </c>
      <c r="D909" s="1">
        <v>139.91999999999999</v>
      </c>
      <c r="E909" s="3">
        <f t="shared" si="45"/>
        <v>776.69520000000011</v>
      </c>
      <c r="F909" s="4">
        <f t="shared" si="43"/>
        <v>-6.2098000000000866</v>
      </c>
      <c r="G909" s="4">
        <f t="shared" si="44"/>
        <v>6.2098000000000866</v>
      </c>
    </row>
    <row r="910" spans="1:7" x14ac:dyDescent="0.3">
      <c r="A910" s="2">
        <v>42835</v>
      </c>
      <c r="B910" s="1">
        <v>35.792499999999997</v>
      </c>
      <c r="C910" s="1">
        <v>907.04</v>
      </c>
      <c r="D910" s="1">
        <v>141.04</v>
      </c>
      <c r="E910" s="3">
        <f t="shared" si="45"/>
        <v>782.9050000000002</v>
      </c>
      <c r="F910" s="4">
        <f t="shared" si="43"/>
        <v>16.995200000000295</v>
      </c>
      <c r="G910" s="4">
        <f t="shared" si="44"/>
        <v>-16.995200000000295</v>
      </c>
    </row>
    <row r="911" spans="1:7" x14ac:dyDescent="0.3">
      <c r="A911" s="2">
        <v>42832</v>
      </c>
      <c r="B911" s="1">
        <v>35.835000000000001</v>
      </c>
      <c r="C911" s="1">
        <v>894.87990000000002</v>
      </c>
      <c r="D911" s="1">
        <v>140.78</v>
      </c>
      <c r="E911" s="3">
        <f t="shared" si="45"/>
        <v>765.9097999999999</v>
      </c>
      <c r="F911" s="4">
        <f t="shared" si="43"/>
        <v>-3.0002000000004045</v>
      </c>
      <c r="G911" s="4">
        <f t="shared" si="44"/>
        <v>3.0002000000004045</v>
      </c>
    </row>
    <row r="912" spans="1:7" x14ac:dyDescent="0.3">
      <c r="A912" s="2">
        <v>42831</v>
      </c>
      <c r="B912" s="1">
        <v>35.914999999999999</v>
      </c>
      <c r="C912" s="1">
        <v>898.28</v>
      </c>
      <c r="D912" s="1">
        <v>141.16999999999999</v>
      </c>
      <c r="E912" s="3">
        <f t="shared" si="45"/>
        <v>768.91000000000031</v>
      </c>
      <c r="F912" s="4">
        <f t="shared" si="43"/>
        <v>-12.900000000000091</v>
      </c>
      <c r="G912" s="4">
        <f t="shared" si="44"/>
        <v>12.900000000000091</v>
      </c>
    </row>
    <row r="913" spans="1:7" x14ac:dyDescent="0.3">
      <c r="A913" s="2">
        <v>42830</v>
      </c>
      <c r="B913" s="1">
        <v>36.005000000000003</v>
      </c>
      <c r="C913" s="1">
        <v>909.28</v>
      </c>
      <c r="D913" s="1">
        <v>141.85</v>
      </c>
      <c r="E913" s="3">
        <f t="shared" si="45"/>
        <v>781.8100000000004</v>
      </c>
      <c r="F913" s="4">
        <f t="shared" si="43"/>
        <v>-6.8751999999999498</v>
      </c>
      <c r="G913" s="4">
        <f t="shared" si="44"/>
        <v>6.8751999999999498</v>
      </c>
    </row>
    <row r="914" spans="1:7" x14ac:dyDescent="0.3">
      <c r="A914" s="2">
        <v>42829</v>
      </c>
      <c r="B914" s="1">
        <v>36.192500000000003</v>
      </c>
      <c r="C914" s="1">
        <v>906.83010000000002</v>
      </c>
      <c r="D914" s="1">
        <v>141.72999999999999</v>
      </c>
      <c r="E914" s="3">
        <f t="shared" si="45"/>
        <v>788.68520000000035</v>
      </c>
      <c r="F914" s="4">
        <f t="shared" si="43"/>
        <v>55.015200000000732</v>
      </c>
      <c r="G914" s="4">
        <f t="shared" si="44"/>
        <v>-55.015200000000732</v>
      </c>
    </row>
    <row r="915" spans="1:7" x14ac:dyDescent="0.3">
      <c r="A915" s="2">
        <v>42828</v>
      </c>
      <c r="B915" s="1">
        <v>35.924999999999997</v>
      </c>
      <c r="C915" s="1">
        <v>891.51</v>
      </c>
      <c r="D915" s="1">
        <v>142.28</v>
      </c>
      <c r="E915" s="3">
        <f t="shared" si="45"/>
        <v>733.66999999999962</v>
      </c>
      <c r="F915" s="4">
        <f t="shared" si="43"/>
        <v>5.8399999999996908</v>
      </c>
      <c r="G915" s="4">
        <f t="shared" si="44"/>
        <v>-5.8399999999996908</v>
      </c>
    </row>
    <row r="916" spans="1:7" x14ac:dyDescent="0.3">
      <c r="A916" s="2">
        <v>42825</v>
      </c>
      <c r="B916" s="1">
        <v>35.914999999999999</v>
      </c>
      <c r="C916" s="1">
        <v>886.54</v>
      </c>
      <c r="D916" s="1">
        <v>142.05000000000001</v>
      </c>
      <c r="E916" s="3">
        <f t="shared" si="45"/>
        <v>727.82999999999993</v>
      </c>
      <c r="F916" s="4">
        <f t="shared" si="43"/>
        <v>24.224799999999959</v>
      </c>
      <c r="G916" s="4">
        <f t="shared" si="44"/>
        <v>-24.224799999999959</v>
      </c>
    </row>
    <row r="917" spans="1:7" x14ac:dyDescent="0.3">
      <c r="A917" s="2">
        <v>42824</v>
      </c>
      <c r="B917" s="1">
        <v>35.982500000000002</v>
      </c>
      <c r="C917" s="1">
        <v>876.34010000000001</v>
      </c>
      <c r="D917" s="1">
        <v>142.41</v>
      </c>
      <c r="E917" s="3">
        <f t="shared" si="45"/>
        <v>703.60519999999997</v>
      </c>
      <c r="F917" s="4">
        <f t="shared" si="43"/>
        <v>6.4650000000001455</v>
      </c>
      <c r="G917" s="4">
        <f t="shared" si="44"/>
        <v>-6.4650000000001455</v>
      </c>
    </row>
    <row r="918" spans="1:7" x14ac:dyDescent="0.3">
      <c r="A918" s="2">
        <v>42823</v>
      </c>
      <c r="B918" s="1">
        <v>36.03</v>
      </c>
      <c r="C918" s="1">
        <v>874.32010000000002</v>
      </c>
      <c r="D918" s="1">
        <v>142.65</v>
      </c>
      <c r="E918" s="3">
        <f t="shared" si="45"/>
        <v>697.14019999999982</v>
      </c>
      <c r="F918" s="4">
        <f t="shared" si="43"/>
        <v>22.840199999999641</v>
      </c>
      <c r="G918" s="4">
        <f t="shared" si="44"/>
        <v>-22.840199999999641</v>
      </c>
    </row>
    <row r="919" spans="1:7" x14ac:dyDescent="0.3">
      <c r="A919" s="2">
        <v>42822</v>
      </c>
      <c r="B919" s="1">
        <v>35.950000000000003</v>
      </c>
      <c r="C919" s="1">
        <v>856</v>
      </c>
      <c r="D919" s="1">
        <v>141.76</v>
      </c>
      <c r="E919" s="3">
        <f t="shared" si="45"/>
        <v>674.30000000000018</v>
      </c>
      <c r="F919" s="4">
        <f t="shared" si="43"/>
        <v>26.059799999999996</v>
      </c>
      <c r="G919" s="4">
        <f t="shared" si="44"/>
        <v>-26.059799999999996</v>
      </c>
    </row>
    <row r="920" spans="1:7" x14ac:dyDescent="0.3">
      <c r="A920" s="2">
        <v>42821</v>
      </c>
      <c r="B920" s="1">
        <v>35.22</v>
      </c>
      <c r="C920" s="1">
        <v>846.82010000000002</v>
      </c>
      <c r="D920" s="1">
        <v>140.32</v>
      </c>
      <c r="E920" s="3">
        <f t="shared" si="45"/>
        <v>648.24020000000019</v>
      </c>
      <c r="F920" s="4">
        <f t="shared" si="43"/>
        <v>5.8200000000006185</v>
      </c>
      <c r="G920" s="4">
        <f t="shared" si="44"/>
        <v>-5.8200000000006185</v>
      </c>
    </row>
    <row r="921" spans="1:7" x14ac:dyDescent="0.3">
      <c r="A921" s="2">
        <v>42818</v>
      </c>
      <c r="B921" s="1">
        <v>35.159999999999997</v>
      </c>
      <c r="C921" s="1">
        <v>845.61009999999999</v>
      </c>
      <c r="D921" s="1">
        <v>140.34</v>
      </c>
      <c r="E921" s="3">
        <f t="shared" si="45"/>
        <v>642.42019999999957</v>
      </c>
      <c r="F921" s="4">
        <f t="shared" si="43"/>
        <v>-23.239600000000337</v>
      </c>
      <c r="G921" s="4">
        <f t="shared" si="44"/>
        <v>23.239600000000337</v>
      </c>
    </row>
    <row r="922" spans="1:7" x14ac:dyDescent="0.3">
      <c r="A922" s="2">
        <v>42817</v>
      </c>
      <c r="B922" s="1">
        <v>35.229999999999997</v>
      </c>
      <c r="C922" s="1">
        <v>847.37990000000002</v>
      </c>
      <c r="D922" s="1">
        <v>139.53</v>
      </c>
      <c r="E922" s="3">
        <f t="shared" si="45"/>
        <v>665.6597999999999</v>
      </c>
      <c r="F922" s="4">
        <f t="shared" si="43"/>
        <v>-6.4103999999997541</v>
      </c>
      <c r="G922" s="4">
        <f t="shared" si="44"/>
        <v>6.4103999999997541</v>
      </c>
    </row>
    <row r="923" spans="1:7" x14ac:dyDescent="0.3">
      <c r="A923" s="2">
        <v>42816</v>
      </c>
      <c r="B923" s="1">
        <v>35.354999999999997</v>
      </c>
      <c r="C923" s="1">
        <v>848.06010000000003</v>
      </c>
      <c r="D923" s="1">
        <v>139.59</v>
      </c>
      <c r="E923" s="3">
        <f t="shared" si="45"/>
        <v>672.07019999999966</v>
      </c>
      <c r="F923" s="4">
        <f t="shared" si="43"/>
        <v>7.8701999999993859</v>
      </c>
      <c r="G923" s="4">
        <f t="shared" si="44"/>
        <v>-7.8701999999993859</v>
      </c>
    </row>
    <row r="924" spans="1:7" x14ac:dyDescent="0.3">
      <c r="A924" s="2">
        <v>42815</v>
      </c>
      <c r="B924" s="1">
        <v>34.96</v>
      </c>
      <c r="C924" s="1">
        <v>843.2</v>
      </c>
      <c r="D924" s="1">
        <v>138.51</v>
      </c>
      <c r="E924" s="3">
        <f t="shared" si="45"/>
        <v>664.20000000000027</v>
      </c>
      <c r="F924" s="4">
        <f t="shared" si="43"/>
        <v>-19.1899999999996</v>
      </c>
      <c r="G924" s="4">
        <f t="shared" si="44"/>
        <v>19.1899999999996</v>
      </c>
    </row>
    <row r="925" spans="1:7" x14ac:dyDescent="0.3">
      <c r="A925" s="2">
        <v>42814</v>
      </c>
      <c r="B925" s="1">
        <v>35.365000000000002</v>
      </c>
      <c r="C925" s="1">
        <v>856.97</v>
      </c>
      <c r="D925" s="1">
        <v>139.94</v>
      </c>
      <c r="E925" s="3">
        <f t="shared" si="45"/>
        <v>683.38999999999987</v>
      </c>
      <c r="F925" s="4">
        <f t="shared" si="43"/>
        <v>25.694799999999759</v>
      </c>
      <c r="G925" s="4">
        <f t="shared" si="44"/>
        <v>-25.694799999999759</v>
      </c>
    </row>
    <row r="926" spans="1:7" x14ac:dyDescent="0.3">
      <c r="A926" s="2">
        <v>42811</v>
      </c>
      <c r="B926" s="1">
        <v>34.997500000000002</v>
      </c>
      <c r="C926" s="1">
        <v>852.31010000000003</v>
      </c>
      <c r="D926" s="1">
        <v>139.84</v>
      </c>
      <c r="E926" s="3">
        <f t="shared" si="45"/>
        <v>657.69520000000011</v>
      </c>
      <c r="F926" s="4">
        <f t="shared" si="43"/>
        <v>-7.9695999999994456</v>
      </c>
      <c r="G926" s="4">
        <f t="shared" si="44"/>
        <v>7.9695999999994456</v>
      </c>
    </row>
    <row r="927" spans="1:7" x14ac:dyDescent="0.3">
      <c r="A927" s="2">
        <v>42810</v>
      </c>
      <c r="B927" s="1">
        <v>35.172499999999999</v>
      </c>
      <c r="C927" s="1">
        <v>853.41989999999998</v>
      </c>
      <c r="D927" s="1">
        <v>139.99</v>
      </c>
      <c r="E927" s="3">
        <f t="shared" si="45"/>
        <v>665.66479999999956</v>
      </c>
      <c r="F927" s="4">
        <f t="shared" si="43"/>
        <v>-1.6252000000004045</v>
      </c>
      <c r="G927" s="4">
        <f t="shared" si="44"/>
        <v>1.6252000000004045</v>
      </c>
    </row>
    <row r="928" spans="1:7" x14ac:dyDescent="0.3">
      <c r="A928" s="2">
        <v>42809</v>
      </c>
      <c r="B928" s="1">
        <v>35.115000000000002</v>
      </c>
      <c r="C928" s="1">
        <v>852.97</v>
      </c>
      <c r="D928" s="1">
        <v>139.72</v>
      </c>
      <c r="E928" s="3">
        <f t="shared" si="45"/>
        <v>667.29</v>
      </c>
      <c r="F928" s="4">
        <f t="shared" si="43"/>
        <v>11.254999999999654</v>
      </c>
      <c r="G928" s="4">
        <f t="shared" si="44"/>
        <v>-11.254999999999654</v>
      </c>
    </row>
    <row r="929" spans="1:7" x14ac:dyDescent="0.3">
      <c r="A929" s="2">
        <v>42808</v>
      </c>
      <c r="B929" s="1">
        <v>34.747500000000002</v>
      </c>
      <c r="C929" s="1">
        <v>852.53</v>
      </c>
      <c r="D929" s="1">
        <v>139.32</v>
      </c>
      <c r="E929" s="3">
        <f t="shared" si="45"/>
        <v>656.03500000000031</v>
      </c>
      <c r="F929" s="4">
        <f t="shared" si="43"/>
        <v>-1.1451999999994769</v>
      </c>
      <c r="G929" s="4">
        <f t="shared" si="44"/>
        <v>1.1451999999994769</v>
      </c>
    </row>
    <row r="930" spans="1:7" x14ac:dyDescent="0.3">
      <c r="A930" s="2">
        <v>42807</v>
      </c>
      <c r="B930" s="1">
        <v>34.799999999999997</v>
      </c>
      <c r="C930" s="1">
        <v>854.59010000000001</v>
      </c>
      <c r="D930" s="1">
        <v>139.6</v>
      </c>
      <c r="E930" s="3">
        <f t="shared" si="45"/>
        <v>657.18019999999979</v>
      </c>
      <c r="F930" s="4">
        <f t="shared" si="43"/>
        <v>-11.18980000000056</v>
      </c>
      <c r="G930" s="4">
        <f t="shared" si="44"/>
        <v>11.18980000000056</v>
      </c>
    </row>
    <row r="931" spans="1:7" x14ac:dyDescent="0.3">
      <c r="A931" s="2">
        <v>42804</v>
      </c>
      <c r="B931" s="1">
        <v>34.784999999999997</v>
      </c>
      <c r="C931" s="1">
        <v>852.46</v>
      </c>
      <c r="D931" s="1">
        <v>138.79</v>
      </c>
      <c r="E931" s="3">
        <f t="shared" si="45"/>
        <v>668.37000000000035</v>
      </c>
      <c r="F931" s="4">
        <f t="shared" si="43"/>
        <v>-6.3299999999994725</v>
      </c>
      <c r="G931" s="4">
        <f t="shared" si="44"/>
        <v>6.3299999999994725</v>
      </c>
    </row>
    <row r="932" spans="1:7" x14ac:dyDescent="0.3">
      <c r="A932" s="2">
        <v>42803</v>
      </c>
      <c r="B932" s="1">
        <v>34.67</v>
      </c>
      <c r="C932" s="1">
        <v>853</v>
      </c>
      <c r="D932" s="1">
        <v>138.24</v>
      </c>
      <c r="E932" s="3">
        <f t="shared" si="45"/>
        <v>674.69999999999982</v>
      </c>
      <c r="F932" s="4">
        <f t="shared" si="43"/>
        <v>-9.4000000000000909</v>
      </c>
      <c r="G932" s="4">
        <f t="shared" si="44"/>
        <v>9.4000000000000909</v>
      </c>
    </row>
    <row r="933" spans="1:7" x14ac:dyDescent="0.3">
      <c r="A933" s="2">
        <v>42802</v>
      </c>
      <c r="B933" s="1">
        <v>34.75</v>
      </c>
      <c r="C933" s="1">
        <v>850.5</v>
      </c>
      <c r="D933" s="1">
        <v>137.72</v>
      </c>
      <c r="E933" s="3">
        <f t="shared" si="45"/>
        <v>684.09999999999991</v>
      </c>
      <c r="F933" s="4">
        <f t="shared" si="43"/>
        <v>-5.9400000000000546</v>
      </c>
      <c r="G933" s="4">
        <f t="shared" si="44"/>
        <v>5.9400000000000546</v>
      </c>
    </row>
    <row r="934" spans="1:7" x14ac:dyDescent="0.3">
      <c r="A934" s="2">
        <v>42801</v>
      </c>
      <c r="B934" s="1">
        <v>34.880000000000003</v>
      </c>
      <c r="C934" s="1">
        <v>846.02</v>
      </c>
      <c r="D934" s="1">
        <v>137.30000000000001</v>
      </c>
      <c r="E934" s="3">
        <f t="shared" si="45"/>
        <v>690.04</v>
      </c>
      <c r="F934" s="4">
        <f t="shared" si="43"/>
        <v>3.4697999999998501</v>
      </c>
      <c r="G934" s="4">
        <f t="shared" si="44"/>
        <v>-3.4697999999998501</v>
      </c>
    </row>
    <row r="935" spans="1:7" x14ac:dyDescent="0.3">
      <c r="A935" s="2">
        <v>42800</v>
      </c>
      <c r="B935" s="1">
        <v>34.835000000000001</v>
      </c>
      <c r="C935" s="1">
        <v>846.61009999999999</v>
      </c>
      <c r="D935" s="1">
        <v>137.41999999999999</v>
      </c>
      <c r="E935" s="3">
        <f t="shared" si="45"/>
        <v>686.57020000000011</v>
      </c>
      <c r="F935" s="4">
        <f t="shared" si="43"/>
        <v>-17.039600000000064</v>
      </c>
      <c r="G935" s="4">
        <f t="shared" si="44"/>
        <v>17.039600000000064</v>
      </c>
    </row>
    <row r="936" spans="1:7" x14ac:dyDescent="0.3">
      <c r="A936" s="2">
        <v>42797</v>
      </c>
      <c r="B936" s="1">
        <v>34.945</v>
      </c>
      <c r="C936" s="1">
        <v>849.87990000000002</v>
      </c>
      <c r="D936" s="1">
        <v>137.16999999999999</v>
      </c>
      <c r="E936" s="3">
        <f t="shared" si="45"/>
        <v>703.60980000000018</v>
      </c>
      <c r="F936" s="4">
        <f t="shared" si="43"/>
        <v>3.9899999999997817</v>
      </c>
      <c r="G936" s="4">
        <f t="shared" si="44"/>
        <v>-3.9899999999997817</v>
      </c>
    </row>
    <row r="937" spans="1:7" x14ac:dyDescent="0.3">
      <c r="A937" s="2">
        <v>42796</v>
      </c>
      <c r="B937" s="1">
        <v>34.74</v>
      </c>
      <c r="C937" s="1">
        <v>848.90989999999999</v>
      </c>
      <c r="D937" s="1">
        <v>136.76</v>
      </c>
      <c r="E937" s="3">
        <f t="shared" si="45"/>
        <v>699.6198000000004</v>
      </c>
      <c r="F937" s="4">
        <f t="shared" si="43"/>
        <v>-5.515400000000227</v>
      </c>
      <c r="G937" s="4">
        <f t="shared" si="44"/>
        <v>5.515400000000227</v>
      </c>
    </row>
    <row r="938" spans="1:7" x14ac:dyDescent="0.3">
      <c r="A938" s="2">
        <v>42795</v>
      </c>
      <c r="B938" s="1">
        <v>34.947499999999998</v>
      </c>
      <c r="C938" s="1">
        <v>853.08010000000002</v>
      </c>
      <c r="D938" s="1">
        <v>137.41999999999999</v>
      </c>
      <c r="E938" s="3">
        <f t="shared" si="45"/>
        <v>705.13520000000062</v>
      </c>
      <c r="F938" s="4">
        <f t="shared" si="43"/>
        <v>13.480200000000423</v>
      </c>
      <c r="G938" s="4">
        <f t="shared" si="44"/>
        <v>-13.480200000000423</v>
      </c>
    </row>
    <row r="939" spans="1:7" x14ac:dyDescent="0.3">
      <c r="A939" s="2">
        <v>42794</v>
      </c>
      <c r="B939" s="1">
        <v>34.247500000000002</v>
      </c>
      <c r="C939" s="1">
        <v>845.04</v>
      </c>
      <c r="D939" s="1">
        <v>135.54</v>
      </c>
      <c r="E939" s="3">
        <f t="shared" si="45"/>
        <v>691.6550000000002</v>
      </c>
      <c r="F939" s="4">
        <f t="shared" si="43"/>
        <v>10.950199999999768</v>
      </c>
      <c r="G939" s="4">
        <f t="shared" si="44"/>
        <v>-10.950199999999768</v>
      </c>
    </row>
    <row r="940" spans="1:7" x14ac:dyDescent="0.3">
      <c r="A940" s="2">
        <v>42793</v>
      </c>
      <c r="B940" s="1">
        <v>34.232500000000002</v>
      </c>
      <c r="C940" s="1">
        <v>848.63990000000001</v>
      </c>
      <c r="D940" s="1">
        <v>136.41</v>
      </c>
      <c r="E940" s="3">
        <f t="shared" si="45"/>
        <v>680.70480000000043</v>
      </c>
      <c r="F940" s="4">
        <f t="shared" si="43"/>
        <v>-9.2251999999994041</v>
      </c>
      <c r="G940" s="4">
        <f t="shared" si="44"/>
        <v>9.2251999999994041</v>
      </c>
    </row>
    <row r="941" spans="1:7" x14ac:dyDescent="0.3">
      <c r="A941" s="2">
        <v>42790</v>
      </c>
      <c r="B941" s="1">
        <v>34.164999999999999</v>
      </c>
      <c r="C941" s="1">
        <v>845.24</v>
      </c>
      <c r="D941" s="1">
        <v>135.44</v>
      </c>
      <c r="E941" s="3">
        <f t="shared" si="45"/>
        <v>689.92999999999984</v>
      </c>
      <c r="F941" s="4">
        <f t="shared" si="43"/>
        <v>-13.874799999999595</v>
      </c>
      <c r="G941" s="4">
        <f t="shared" si="44"/>
        <v>13.874799999999595</v>
      </c>
    </row>
    <row r="942" spans="1:7" x14ac:dyDescent="0.3">
      <c r="A942" s="2">
        <v>42789</v>
      </c>
      <c r="B942" s="1">
        <v>34.1325</v>
      </c>
      <c r="C942" s="1">
        <v>852.18989999999997</v>
      </c>
      <c r="D942" s="1">
        <v>135.36000000000001</v>
      </c>
      <c r="E942" s="3">
        <f t="shared" si="45"/>
        <v>703.80479999999943</v>
      </c>
      <c r="F942" s="4">
        <f t="shared" si="43"/>
        <v>1.1095999999993182</v>
      </c>
      <c r="G942" s="4">
        <f t="shared" si="44"/>
        <v>-1.1095999999993182</v>
      </c>
    </row>
    <row r="943" spans="1:7" x14ac:dyDescent="0.3">
      <c r="A943" s="2">
        <v>42788</v>
      </c>
      <c r="B943" s="1">
        <v>34.277500000000003</v>
      </c>
      <c r="C943" s="1">
        <v>855.61009999999999</v>
      </c>
      <c r="D943" s="1">
        <v>136.12</v>
      </c>
      <c r="E943" s="3">
        <f t="shared" si="45"/>
        <v>702.69520000000011</v>
      </c>
      <c r="F943" s="4">
        <f t="shared" si="43"/>
        <v>-44.5345999999995</v>
      </c>
      <c r="G943" s="4">
        <f t="shared" si="44"/>
        <v>44.5345999999995</v>
      </c>
    </row>
    <row r="944" spans="1:7" x14ac:dyDescent="0.3">
      <c r="A944" s="2">
        <v>42787</v>
      </c>
      <c r="B944" s="1">
        <v>34.174999999999997</v>
      </c>
      <c r="C944" s="1">
        <v>856.43989999999997</v>
      </c>
      <c r="D944" s="1">
        <v>133.72</v>
      </c>
      <c r="E944" s="3">
        <f t="shared" si="45"/>
        <v>747.22979999999961</v>
      </c>
      <c r="F944" s="4">
        <f t="shared" si="43"/>
        <v>31.1895999999997</v>
      </c>
      <c r="G944" s="4">
        <f t="shared" si="44"/>
        <v>-31.1895999999997</v>
      </c>
    </row>
    <row r="945" spans="1:7" x14ac:dyDescent="0.3">
      <c r="A945" s="2">
        <v>42786</v>
      </c>
      <c r="B945" s="1">
        <v>33.93</v>
      </c>
      <c r="C945" s="1">
        <v>845.07010000000002</v>
      </c>
      <c r="D945" s="1">
        <v>133.53</v>
      </c>
      <c r="E945" s="3">
        <f t="shared" si="45"/>
        <v>716.04019999999991</v>
      </c>
      <c r="F945" s="4">
        <f t="shared" si="43"/>
        <v>0</v>
      </c>
      <c r="G945" s="4">
        <f t="shared" si="44"/>
        <v>0</v>
      </c>
    </row>
    <row r="946" spans="1:7" x14ac:dyDescent="0.3">
      <c r="A946" s="2">
        <v>42783</v>
      </c>
      <c r="B946" s="1">
        <v>33.93</v>
      </c>
      <c r="C946" s="1">
        <v>845.07010000000002</v>
      </c>
      <c r="D946" s="1">
        <v>133.53</v>
      </c>
      <c r="E946" s="3">
        <f t="shared" si="45"/>
        <v>716.04019999999991</v>
      </c>
      <c r="F946" s="4">
        <f t="shared" si="43"/>
        <v>12.750400000000354</v>
      </c>
      <c r="G946" s="4">
        <f t="shared" si="44"/>
        <v>-12.750400000000354</v>
      </c>
    </row>
    <row r="947" spans="1:7" x14ac:dyDescent="0.3">
      <c r="A947" s="2">
        <v>42782</v>
      </c>
      <c r="B947" s="1">
        <v>33.836199999999998</v>
      </c>
      <c r="C947" s="1">
        <v>844.13990000000001</v>
      </c>
      <c r="D947" s="1">
        <v>133.84</v>
      </c>
      <c r="E947" s="3">
        <f t="shared" si="45"/>
        <v>703.28979999999956</v>
      </c>
      <c r="F947" s="4">
        <f t="shared" si="43"/>
        <v>-7.18520000000035</v>
      </c>
      <c r="G947" s="4">
        <f t="shared" si="44"/>
        <v>7.18520000000035</v>
      </c>
    </row>
    <row r="948" spans="1:7" x14ac:dyDescent="0.3">
      <c r="A948" s="2">
        <v>42781</v>
      </c>
      <c r="B948" s="1">
        <v>33.877499999999998</v>
      </c>
      <c r="C948" s="1">
        <v>842.7</v>
      </c>
      <c r="D948" s="1">
        <v>133.44</v>
      </c>
      <c r="E948" s="3">
        <f t="shared" si="45"/>
        <v>710.47499999999991</v>
      </c>
      <c r="F948" s="4">
        <f t="shared" si="43"/>
        <v>26.945199999999659</v>
      </c>
      <c r="G948" s="4">
        <f t="shared" si="44"/>
        <v>-26.945199999999659</v>
      </c>
    </row>
    <row r="949" spans="1:7" x14ac:dyDescent="0.3">
      <c r="A949" s="2">
        <v>42780</v>
      </c>
      <c r="B949" s="1">
        <v>33.755000000000003</v>
      </c>
      <c r="C949" s="1">
        <v>836.38990000000001</v>
      </c>
      <c r="D949" s="1">
        <v>133.85</v>
      </c>
      <c r="E949" s="3">
        <f t="shared" si="45"/>
        <v>683.52980000000025</v>
      </c>
      <c r="F949" s="4">
        <f t="shared" si="43"/>
        <v>25.344800000000305</v>
      </c>
      <c r="G949" s="4">
        <f t="shared" si="44"/>
        <v>-25.344800000000305</v>
      </c>
    </row>
    <row r="950" spans="1:7" x14ac:dyDescent="0.3">
      <c r="A950" s="2">
        <v>42779</v>
      </c>
      <c r="B950" s="1">
        <v>33.322499999999998</v>
      </c>
      <c r="C950" s="1">
        <v>836.53</v>
      </c>
      <c r="D950" s="1">
        <v>134.05000000000001</v>
      </c>
      <c r="E950" s="3">
        <f t="shared" si="45"/>
        <v>658.18499999999995</v>
      </c>
      <c r="F950" s="4">
        <f t="shared" si="43"/>
        <v>35.565000000000055</v>
      </c>
      <c r="G950" s="4">
        <f t="shared" si="44"/>
        <v>-35.565000000000055</v>
      </c>
    </row>
    <row r="951" spans="1:7" x14ac:dyDescent="0.3">
      <c r="A951" s="2">
        <v>42776</v>
      </c>
      <c r="B951" s="1">
        <v>33.03</v>
      </c>
      <c r="C951" s="1">
        <v>827.46</v>
      </c>
      <c r="D951" s="1">
        <v>134.19</v>
      </c>
      <c r="E951" s="3">
        <f t="shared" si="45"/>
        <v>622.61999999999989</v>
      </c>
      <c r="F951" s="4">
        <f t="shared" si="43"/>
        <v>7.4497999999998683</v>
      </c>
      <c r="G951" s="4">
        <f t="shared" si="44"/>
        <v>-7.4497999999998683</v>
      </c>
    </row>
    <row r="952" spans="1:7" x14ac:dyDescent="0.3">
      <c r="A952" s="2">
        <v>42775</v>
      </c>
      <c r="B952" s="1">
        <v>33.104999999999997</v>
      </c>
      <c r="C952" s="1">
        <v>821.36009999999999</v>
      </c>
      <c r="D952" s="1">
        <v>134.13999999999999</v>
      </c>
      <c r="E952" s="3">
        <f t="shared" si="45"/>
        <v>615.17020000000002</v>
      </c>
      <c r="F952" s="4">
        <f t="shared" si="43"/>
        <v>9.2501999999999498</v>
      </c>
      <c r="G952" s="4">
        <f t="shared" si="44"/>
        <v>-9.2501999999999498</v>
      </c>
    </row>
    <row r="953" spans="1:7" x14ac:dyDescent="0.3">
      <c r="A953" s="2">
        <v>42774</v>
      </c>
      <c r="B953" s="1">
        <v>33.01</v>
      </c>
      <c r="C953" s="1">
        <v>819.71</v>
      </c>
      <c r="D953" s="1">
        <v>134.19999999999999</v>
      </c>
      <c r="E953" s="3">
        <f t="shared" si="45"/>
        <v>605.92000000000007</v>
      </c>
      <c r="F953" s="4">
        <f t="shared" si="43"/>
        <v>-26.404999999999745</v>
      </c>
      <c r="G953" s="4">
        <f t="shared" si="44"/>
        <v>26.404999999999745</v>
      </c>
    </row>
    <row r="954" spans="1:7" x14ac:dyDescent="0.3">
      <c r="A954" s="2">
        <v>42773</v>
      </c>
      <c r="B954" s="1">
        <v>32.8825</v>
      </c>
      <c r="C954" s="1">
        <v>812.5</v>
      </c>
      <c r="D954" s="1">
        <v>131.84</v>
      </c>
      <c r="E954" s="3">
        <f t="shared" si="45"/>
        <v>632.32499999999982</v>
      </c>
      <c r="F954" s="4">
        <f t="shared" si="43"/>
        <v>29.620199999999386</v>
      </c>
      <c r="G954" s="4">
        <f t="shared" si="44"/>
        <v>-29.620199999999386</v>
      </c>
    </row>
    <row r="955" spans="1:7" x14ac:dyDescent="0.3">
      <c r="A955" s="2">
        <v>42772</v>
      </c>
      <c r="B955" s="1">
        <v>32.572499999999998</v>
      </c>
      <c r="C955" s="1">
        <v>807.63990000000001</v>
      </c>
      <c r="D955" s="1">
        <v>132.06</v>
      </c>
      <c r="E955" s="3">
        <f t="shared" si="45"/>
        <v>602.70480000000043</v>
      </c>
      <c r="F955" s="4">
        <f t="shared" si="43"/>
        <v>-11.595200000000204</v>
      </c>
      <c r="G955" s="4">
        <f t="shared" si="44"/>
        <v>11.595200000000204</v>
      </c>
    </row>
    <row r="956" spans="1:7" x14ac:dyDescent="0.3">
      <c r="A956" s="2">
        <v>42769</v>
      </c>
      <c r="B956" s="1">
        <v>32.270000000000003</v>
      </c>
      <c r="C956" s="1">
        <v>810.2</v>
      </c>
      <c r="D956" s="1">
        <v>130.97999999999999</v>
      </c>
      <c r="E956" s="3">
        <f t="shared" si="45"/>
        <v>614.30000000000064</v>
      </c>
      <c r="F956" s="4">
        <f t="shared" si="43"/>
        <v>-55.424999999999272</v>
      </c>
      <c r="G956" s="4">
        <f t="shared" si="44"/>
        <v>55.424999999999272</v>
      </c>
    </row>
    <row r="957" spans="1:7" x14ac:dyDescent="0.3">
      <c r="A957" s="2">
        <v>42768</v>
      </c>
      <c r="B957" s="1">
        <v>32.1325</v>
      </c>
      <c r="C957" s="1">
        <v>839.95</v>
      </c>
      <c r="D957" s="1">
        <v>130.84</v>
      </c>
      <c r="E957" s="3">
        <f t="shared" si="45"/>
        <v>669.72499999999991</v>
      </c>
      <c r="F957" s="4">
        <f t="shared" si="43"/>
        <v>60.249799999999595</v>
      </c>
      <c r="G957" s="4">
        <f t="shared" si="44"/>
        <v>-60.249799999999595</v>
      </c>
    </row>
    <row r="958" spans="1:7" x14ac:dyDescent="0.3">
      <c r="A958" s="2">
        <v>42767</v>
      </c>
      <c r="B958" s="1">
        <v>32.1875</v>
      </c>
      <c r="C958" s="1">
        <v>832.3501</v>
      </c>
      <c r="D958" s="1">
        <v>133.22999999999999</v>
      </c>
      <c r="E958" s="3">
        <f t="shared" si="45"/>
        <v>609.47520000000031</v>
      </c>
      <c r="F958" s="4">
        <f t="shared" si="43"/>
        <v>52.040199999999913</v>
      </c>
      <c r="G958" s="4">
        <f t="shared" si="44"/>
        <v>-52.040199999999913</v>
      </c>
    </row>
    <row r="959" spans="1:7" x14ac:dyDescent="0.3">
      <c r="A959" s="2">
        <v>42766</v>
      </c>
      <c r="B959" s="1">
        <v>30.337499999999999</v>
      </c>
      <c r="C959" s="1">
        <v>823.48</v>
      </c>
      <c r="D959" s="1">
        <v>130.32</v>
      </c>
      <c r="E959" s="3">
        <f t="shared" si="45"/>
        <v>557.4350000000004</v>
      </c>
      <c r="F959" s="4">
        <f t="shared" si="43"/>
        <v>-4.0997999999995045</v>
      </c>
      <c r="G959" s="4">
        <f t="shared" si="44"/>
        <v>4.0997999999995045</v>
      </c>
    </row>
    <row r="960" spans="1:7" x14ac:dyDescent="0.3">
      <c r="A960" s="2">
        <v>42765</v>
      </c>
      <c r="B960" s="1">
        <v>30.407499999999999</v>
      </c>
      <c r="C960" s="1">
        <v>830.37990000000002</v>
      </c>
      <c r="D960" s="1">
        <v>130.97999999999999</v>
      </c>
      <c r="E960" s="3">
        <f t="shared" si="45"/>
        <v>561.5347999999999</v>
      </c>
      <c r="F960" s="4">
        <f t="shared" si="43"/>
        <v>9.2198000000003049</v>
      </c>
      <c r="G960" s="4">
        <f t="shared" si="44"/>
        <v>-9.2198000000003049</v>
      </c>
    </row>
    <row r="961" spans="1:7" x14ac:dyDescent="0.3">
      <c r="A961" s="2">
        <v>42762</v>
      </c>
      <c r="B961" s="1">
        <v>30.487500000000001</v>
      </c>
      <c r="C961" s="1">
        <v>835.77</v>
      </c>
      <c r="D961" s="1">
        <v>132.18</v>
      </c>
      <c r="E961" s="3">
        <f t="shared" si="45"/>
        <v>552.3149999999996</v>
      </c>
      <c r="F961" s="4">
        <f t="shared" si="43"/>
        <v>5.3651999999997315</v>
      </c>
      <c r="G961" s="4">
        <f t="shared" si="44"/>
        <v>-5.3651999999997315</v>
      </c>
    </row>
    <row r="962" spans="1:7" x14ac:dyDescent="0.3">
      <c r="A962" s="2">
        <v>42761</v>
      </c>
      <c r="B962" s="1">
        <v>30.484999999999999</v>
      </c>
      <c r="C962" s="1">
        <v>839.1499</v>
      </c>
      <c r="D962" s="1">
        <v>132.78</v>
      </c>
      <c r="E962" s="3">
        <f t="shared" si="45"/>
        <v>546.94979999999987</v>
      </c>
      <c r="F962" s="4">
        <f t="shared" si="43"/>
        <v>-19.990200000000186</v>
      </c>
      <c r="G962" s="4">
        <f t="shared" si="44"/>
        <v>19.990200000000186</v>
      </c>
    </row>
    <row r="963" spans="1:7" x14ac:dyDescent="0.3">
      <c r="A963" s="2">
        <v>42760</v>
      </c>
      <c r="B963" s="1">
        <v>30.47</v>
      </c>
      <c r="C963" s="1">
        <v>836.52</v>
      </c>
      <c r="D963" s="1">
        <v>131.47999999999999</v>
      </c>
      <c r="E963" s="3">
        <f t="shared" si="45"/>
        <v>566.94000000000005</v>
      </c>
      <c r="F963" s="4">
        <f t="shared" si="43"/>
        <v>9.8352000000004409</v>
      </c>
      <c r="G963" s="4">
        <f t="shared" si="44"/>
        <v>-9.8352000000004409</v>
      </c>
    </row>
    <row r="964" spans="1:7" x14ac:dyDescent="0.3">
      <c r="A964" s="2">
        <v>42759</v>
      </c>
      <c r="B964" s="1">
        <v>29.9925</v>
      </c>
      <c r="C964" s="1">
        <v>822.43989999999997</v>
      </c>
      <c r="D964" s="1">
        <v>129.37</v>
      </c>
      <c r="E964" s="3">
        <f t="shared" si="45"/>
        <v>557.10479999999961</v>
      </c>
      <c r="F964" s="4">
        <f t="shared" si="43"/>
        <v>-1.0549999999998363</v>
      </c>
      <c r="G964" s="4">
        <f t="shared" si="44"/>
        <v>1.0549999999998363</v>
      </c>
    </row>
    <row r="965" spans="1:7" x14ac:dyDescent="0.3">
      <c r="A965" s="2">
        <v>42758</v>
      </c>
      <c r="B965" s="1">
        <v>30.02</v>
      </c>
      <c r="C965" s="1">
        <v>817.87990000000002</v>
      </c>
      <c r="D965" s="1">
        <v>128.93</v>
      </c>
      <c r="E965" s="3">
        <f t="shared" si="45"/>
        <v>558.15979999999945</v>
      </c>
      <c r="F965" s="4">
        <f t="shared" ref="F965:F1028" si="46">E965-E966</f>
        <v>-17.700400000000627</v>
      </c>
      <c r="G965" s="4">
        <f t="shared" ref="G965:G1028" si="47">-F965</f>
        <v>17.700400000000627</v>
      </c>
    </row>
    <row r="966" spans="1:7" x14ac:dyDescent="0.3">
      <c r="A966" s="2">
        <v>42755</v>
      </c>
      <c r="B966" s="1">
        <v>30</v>
      </c>
      <c r="C966" s="1">
        <v>808.33010000000002</v>
      </c>
      <c r="D966" s="1">
        <v>127.04</v>
      </c>
      <c r="E966" s="3">
        <f t="shared" ref="E966:E1029" si="48">50*B966+2*C966-20*D966</f>
        <v>575.86020000000008</v>
      </c>
      <c r="F966" s="4">
        <f t="shared" si="46"/>
        <v>11.53020000000015</v>
      </c>
      <c r="G966" s="4">
        <f t="shared" si="47"/>
        <v>-11.53020000000015</v>
      </c>
    </row>
    <row r="967" spans="1:7" x14ac:dyDescent="0.3">
      <c r="A967" s="2">
        <v>42754</v>
      </c>
      <c r="B967" s="1">
        <v>29.945</v>
      </c>
      <c r="C967" s="1">
        <v>809.04</v>
      </c>
      <c r="D967" s="1">
        <v>127.55</v>
      </c>
      <c r="E967" s="3">
        <f t="shared" si="48"/>
        <v>564.32999999999993</v>
      </c>
      <c r="F967" s="4">
        <f t="shared" si="46"/>
        <v>7.8949999999999818</v>
      </c>
      <c r="G967" s="4">
        <f t="shared" si="47"/>
        <v>-7.8949999999999818</v>
      </c>
    </row>
    <row r="968" spans="1:7" x14ac:dyDescent="0.3">
      <c r="A968" s="2">
        <v>42753</v>
      </c>
      <c r="B968" s="1">
        <v>29.997499999999999</v>
      </c>
      <c r="C968" s="1">
        <v>807.48</v>
      </c>
      <c r="D968" s="1">
        <v>127.92</v>
      </c>
      <c r="E968" s="3">
        <f t="shared" si="48"/>
        <v>556.43499999999995</v>
      </c>
      <c r="F968" s="4">
        <f t="shared" si="46"/>
        <v>-5.6050000000000182</v>
      </c>
      <c r="G968" s="4">
        <f t="shared" si="47"/>
        <v>5.6050000000000182</v>
      </c>
    </row>
    <row r="969" spans="1:7" x14ac:dyDescent="0.3">
      <c r="A969" s="2">
        <v>42752</v>
      </c>
      <c r="B969" s="1">
        <v>30</v>
      </c>
      <c r="C969" s="1">
        <v>809.72</v>
      </c>
      <c r="D969" s="1">
        <v>127.87</v>
      </c>
      <c r="E969" s="3">
        <f t="shared" si="48"/>
        <v>562.04</v>
      </c>
      <c r="F969" s="4">
        <f t="shared" si="46"/>
        <v>6.5601999999998952</v>
      </c>
      <c r="G969" s="4">
        <f t="shared" si="47"/>
        <v>-6.5601999999998952</v>
      </c>
    </row>
    <row r="970" spans="1:7" x14ac:dyDescent="0.3">
      <c r="A970" s="2">
        <v>42751</v>
      </c>
      <c r="B970" s="1">
        <v>29.76</v>
      </c>
      <c r="C970" s="1">
        <v>817.13990000000001</v>
      </c>
      <c r="D970" s="1">
        <v>128.34</v>
      </c>
      <c r="E970" s="3">
        <f t="shared" si="48"/>
        <v>555.47980000000007</v>
      </c>
      <c r="F970" s="4">
        <f t="shared" si="46"/>
        <v>0</v>
      </c>
      <c r="G970" s="4">
        <f t="shared" si="47"/>
        <v>0</v>
      </c>
    </row>
    <row r="971" spans="1:7" x14ac:dyDescent="0.3">
      <c r="A971" s="2">
        <v>42748</v>
      </c>
      <c r="B971" s="1">
        <v>29.76</v>
      </c>
      <c r="C971" s="1">
        <v>817.13990000000001</v>
      </c>
      <c r="D971" s="1">
        <v>128.34</v>
      </c>
      <c r="E971" s="3">
        <f t="shared" si="48"/>
        <v>555.47980000000007</v>
      </c>
      <c r="F971" s="4">
        <f t="shared" si="46"/>
        <v>-30.025000000000091</v>
      </c>
      <c r="G971" s="4">
        <f t="shared" si="47"/>
        <v>30.025000000000091</v>
      </c>
    </row>
    <row r="972" spans="1:7" x14ac:dyDescent="0.3">
      <c r="A972" s="2">
        <v>42747</v>
      </c>
      <c r="B972" s="1">
        <v>29.8125</v>
      </c>
      <c r="C972" s="1">
        <v>813.63990000000001</v>
      </c>
      <c r="D972" s="1">
        <v>126.62</v>
      </c>
      <c r="E972" s="3">
        <f t="shared" si="48"/>
        <v>585.50480000000016</v>
      </c>
      <c r="F972" s="4">
        <f t="shared" si="46"/>
        <v>12.389800000000378</v>
      </c>
      <c r="G972" s="4">
        <f t="shared" si="47"/>
        <v>-12.389800000000378</v>
      </c>
    </row>
    <row r="973" spans="1:7" x14ac:dyDescent="0.3">
      <c r="A973" s="2">
        <v>42746</v>
      </c>
      <c r="B973" s="1">
        <v>29.9375</v>
      </c>
      <c r="C973" s="1">
        <v>799.02</v>
      </c>
      <c r="D973" s="1">
        <v>126.09</v>
      </c>
      <c r="E973" s="3">
        <f t="shared" si="48"/>
        <v>573.11499999999978</v>
      </c>
      <c r="F973" s="4">
        <f t="shared" si="46"/>
        <v>-20.559799999999996</v>
      </c>
      <c r="G973" s="4">
        <f t="shared" si="47"/>
        <v>20.559799999999996</v>
      </c>
    </row>
    <row r="974" spans="1:7" x14ac:dyDescent="0.3">
      <c r="A974" s="2">
        <v>42745</v>
      </c>
      <c r="B974" s="1">
        <v>29.7775</v>
      </c>
      <c r="C974" s="1">
        <v>795.8999</v>
      </c>
      <c r="D974" s="1">
        <v>124.35</v>
      </c>
      <c r="E974" s="3">
        <f t="shared" si="48"/>
        <v>593.67479999999978</v>
      </c>
      <c r="F974" s="4">
        <f t="shared" si="46"/>
        <v>10.460000000000036</v>
      </c>
      <c r="G974" s="4">
        <f t="shared" si="47"/>
        <v>-10.460000000000036</v>
      </c>
    </row>
    <row r="975" spans="1:7" x14ac:dyDescent="0.3">
      <c r="A975" s="2">
        <v>42744</v>
      </c>
      <c r="B975" s="1">
        <v>29.747499999999999</v>
      </c>
      <c r="C975" s="1">
        <v>796.91989999999998</v>
      </c>
      <c r="D975" s="1">
        <v>124.9</v>
      </c>
      <c r="E975" s="3">
        <f t="shared" si="48"/>
        <v>583.21479999999974</v>
      </c>
      <c r="F975" s="4">
        <f t="shared" si="46"/>
        <v>-14.440200000000459</v>
      </c>
      <c r="G975" s="4">
        <f t="shared" si="47"/>
        <v>14.440200000000459</v>
      </c>
    </row>
    <row r="976" spans="1:7" x14ac:dyDescent="0.3">
      <c r="A976" s="2">
        <v>42741</v>
      </c>
      <c r="B976" s="1">
        <v>29.477499999999999</v>
      </c>
      <c r="C976" s="1">
        <v>795.99</v>
      </c>
      <c r="D976" s="1">
        <v>123.41</v>
      </c>
      <c r="E976" s="3">
        <f t="shared" si="48"/>
        <v>597.6550000000002</v>
      </c>
      <c r="F976" s="4">
        <f t="shared" si="46"/>
        <v>-7.4699999999997999</v>
      </c>
      <c r="G976" s="4">
        <f t="shared" si="47"/>
        <v>7.4699999999997999</v>
      </c>
    </row>
    <row r="977" spans="1:7" x14ac:dyDescent="0.3">
      <c r="A977" s="2">
        <v>42740</v>
      </c>
      <c r="B977" s="1">
        <v>29.1525</v>
      </c>
      <c r="C977" s="1">
        <v>780.45</v>
      </c>
      <c r="D977" s="1">
        <v>120.67</v>
      </c>
      <c r="E977" s="3">
        <f t="shared" si="48"/>
        <v>605.125</v>
      </c>
      <c r="F977" s="4">
        <f t="shared" si="46"/>
        <v>14.315200000000004</v>
      </c>
      <c r="G977" s="4">
        <f t="shared" si="47"/>
        <v>-14.315200000000004</v>
      </c>
    </row>
    <row r="978" spans="1:7" x14ac:dyDescent="0.3">
      <c r="A978" s="2">
        <v>42739</v>
      </c>
      <c r="B978" s="1">
        <v>29.004999999999999</v>
      </c>
      <c r="C978" s="1">
        <v>757.17989999999998</v>
      </c>
      <c r="D978" s="1">
        <v>118.69</v>
      </c>
      <c r="E978" s="3">
        <f t="shared" si="48"/>
        <v>590.8098</v>
      </c>
      <c r="F978" s="4">
        <f t="shared" si="46"/>
        <v>-31.204999999999927</v>
      </c>
      <c r="G978" s="4">
        <f t="shared" si="47"/>
        <v>31.204999999999927</v>
      </c>
    </row>
    <row r="979" spans="1:7" x14ac:dyDescent="0.3">
      <c r="A979" s="2">
        <v>42738</v>
      </c>
      <c r="B979" s="1">
        <v>29.037500000000001</v>
      </c>
      <c r="C979" s="1">
        <v>753.66989999999998</v>
      </c>
      <c r="D979" s="1">
        <v>116.86</v>
      </c>
      <c r="E979" s="3">
        <f t="shared" si="48"/>
        <v>622.01479999999992</v>
      </c>
      <c r="F979" s="4">
        <f t="shared" si="46"/>
        <v>-24.475400000000263</v>
      </c>
      <c r="G979" s="4">
        <f t="shared" si="47"/>
        <v>24.475400000000263</v>
      </c>
    </row>
    <row r="980" spans="1:7" x14ac:dyDescent="0.3">
      <c r="A980" s="2">
        <v>42737</v>
      </c>
      <c r="B980" s="1">
        <v>28.954999999999998</v>
      </c>
      <c r="C980" s="1">
        <v>749.87009999999998</v>
      </c>
      <c r="D980" s="1">
        <v>115.05</v>
      </c>
      <c r="E980" s="3">
        <f t="shared" si="48"/>
        <v>646.49020000000019</v>
      </c>
      <c r="F980" s="4">
        <f t="shared" si="46"/>
        <v>0</v>
      </c>
      <c r="G980" s="4">
        <f t="shared" si="47"/>
        <v>0</v>
      </c>
    </row>
    <row r="981" spans="1:7" x14ac:dyDescent="0.3">
      <c r="A981" s="2">
        <v>42734</v>
      </c>
      <c r="B981" s="1">
        <v>28.954999999999998</v>
      </c>
      <c r="C981" s="1">
        <v>749.87009999999998</v>
      </c>
      <c r="D981" s="1">
        <v>115.05</v>
      </c>
      <c r="E981" s="3">
        <f t="shared" si="48"/>
        <v>646.49020000000019</v>
      </c>
      <c r="F981" s="4">
        <f t="shared" si="46"/>
        <v>-15.934599999999591</v>
      </c>
      <c r="G981" s="4">
        <f t="shared" si="47"/>
        <v>15.934599999999591</v>
      </c>
    </row>
    <row r="982" spans="1:7" x14ac:dyDescent="0.3">
      <c r="A982" s="2">
        <v>42733</v>
      </c>
      <c r="B982" s="1">
        <v>29.182500000000001</v>
      </c>
      <c r="C982" s="1">
        <v>765.1499</v>
      </c>
      <c r="D982" s="1">
        <v>116.35</v>
      </c>
      <c r="E982" s="3">
        <f t="shared" si="48"/>
        <v>662.42479999999978</v>
      </c>
      <c r="F982" s="4">
        <f t="shared" si="46"/>
        <v>-2.9349999999999454</v>
      </c>
      <c r="G982" s="4">
        <f t="shared" si="47"/>
        <v>2.9349999999999454</v>
      </c>
    </row>
    <row r="983" spans="1:7" x14ac:dyDescent="0.3">
      <c r="A983" s="2">
        <v>42732</v>
      </c>
      <c r="B983" s="1">
        <v>29.19</v>
      </c>
      <c r="C983" s="1">
        <v>772.12990000000002</v>
      </c>
      <c r="D983" s="1">
        <v>116.92</v>
      </c>
      <c r="E983" s="3">
        <f t="shared" si="48"/>
        <v>665.35979999999972</v>
      </c>
      <c r="F983" s="4">
        <f t="shared" si="46"/>
        <v>17.010000000000218</v>
      </c>
      <c r="G983" s="4">
        <f t="shared" si="47"/>
        <v>-17.010000000000218</v>
      </c>
    </row>
    <row r="984" spans="1:7" x14ac:dyDescent="0.3">
      <c r="A984" s="2">
        <v>42731</v>
      </c>
      <c r="B984" s="1">
        <v>29.315000000000001</v>
      </c>
      <c r="C984" s="1">
        <v>771.3999</v>
      </c>
      <c r="D984" s="1">
        <v>118.01</v>
      </c>
      <c r="E984" s="3">
        <f t="shared" si="48"/>
        <v>648.3497999999995</v>
      </c>
      <c r="F984" s="4">
        <f t="shared" si="46"/>
        <v>16.069599999999809</v>
      </c>
      <c r="G984" s="4">
        <f t="shared" si="47"/>
        <v>-16.069599999999809</v>
      </c>
    </row>
    <row r="985" spans="1:7" x14ac:dyDescent="0.3">
      <c r="A985" s="2">
        <v>42730</v>
      </c>
      <c r="B985" s="1">
        <v>29.13</v>
      </c>
      <c r="C985" s="1">
        <v>760.59010000000001</v>
      </c>
      <c r="D985" s="1">
        <v>117.27</v>
      </c>
      <c r="E985" s="3">
        <f t="shared" si="48"/>
        <v>632.2801999999997</v>
      </c>
      <c r="F985" s="4">
        <f t="shared" si="46"/>
        <v>0</v>
      </c>
      <c r="G985" s="4">
        <f t="shared" si="47"/>
        <v>0</v>
      </c>
    </row>
    <row r="986" spans="1:7" x14ac:dyDescent="0.3">
      <c r="A986" s="2">
        <v>42727</v>
      </c>
      <c r="B986" s="1">
        <v>29.13</v>
      </c>
      <c r="C986" s="1">
        <v>760.59010000000001</v>
      </c>
      <c r="D986" s="1">
        <v>117.27</v>
      </c>
      <c r="E986" s="3">
        <f t="shared" si="48"/>
        <v>632.2801999999997</v>
      </c>
      <c r="F986" s="4">
        <f t="shared" si="46"/>
        <v>-6.0250000000000909</v>
      </c>
      <c r="G986" s="4">
        <f t="shared" si="47"/>
        <v>6.0250000000000909</v>
      </c>
    </row>
    <row r="987" spans="1:7" x14ac:dyDescent="0.3">
      <c r="A987" s="2">
        <v>42726</v>
      </c>
      <c r="B987" s="1">
        <v>29.072500000000002</v>
      </c>
      <c r="C987" s="1">
        <v>766.34010000000001</v>
      </c>
      <c r="D987" s="1">
        <v>117.4</v>
      </c>
      <c r="E987" s="3">
        <f t="shared" si="48"/>
        <v>638.30519999999979</v>
      </c>
      <c r="F987" s="4">
        <f t="shared" si="46"/>
        <v>14.654999999999745</v>
      </c>
      <c r="G987" s="4">
        <f t="shared" si="47"/>
        <v>-14.654999999999745</v>
      </c>
    </row>
    <row r="988" spans="1:7" x14ac:dyDescent="0.3">
      <c r="A988" s="2">
        <v>42725</v>
      </c>
      <c r="B988" s="1">
        <v>29.265000000000001</v>
      </c>
      <c r="C988" s="1">
        <v>770.6001</v>
      </c>
      <c r="D988" s="1">
        <v>119.04</v>
      </c>
      <c r="E988" s="3">
        <f t="shared" si="48"/>
        <v>623.65020000000004</v>
      </c>
      <c r="F988" s="4">
        <f t="shared" si="46"/>
        <v>1.1352000000001681</v>
      </c>
      <c r="G988" s="4">
        <f t="shared" si="47"/>
        <v>-1.1352000000001681</v>
      </c>
    </row>
    <row r="989" spans="1:7" x14ac:dyDescent="0.3">
      <c r="A989" s="2">
        <v>42724</v>
      </c>
      <c r="B989" s="1">
        <v>29.237500000000001</v>
      </c>
      <c r="C989" s="1">
        <v>771.22</v>
      </c>
      <c r="D989" s="1">
        <v>119.09</v>
      </c>
      <c r="E989" s="3">
        <f t="shared" si="48"/>
        <v>622.51499999999987</v>
      </c>
      <c r="F989" s="4">
        <f t="shared" si="46"/>
        <v>17.3149999999996</v>
      </c>
      <c r="G989" s="4">
        <f t="shared" si="47"/>
        <v>-17.3149999999996</v>
      </c>
    </row>
    <row r="990" spans="1:7" x14ac:dyDescent="0.3">
      <c r="A990" s="2">
        <v>42723</v>
      </c>
      <c r="B990" s="1">
        <v>29.16</v>
      </c>
      <c r="C990" s="1">
        <v>766</v>
      </c>
      <c r="D990" s="1">
        <v>119.24</v>
      </c>
      <c r="E990" s="3">
        <f t="shared" si="48"/>
        <v>605.20000000000027</v>
      </c>
      <c r="F990" s="4">
        <f t="shared" si="46"/>
        <v>37.4350000000004</v>
      </c>
      <c r="G990" s="4">
        <f t="shared" si="47"/>
        <v>-37.4350000000004</v>
      </c>
    </row>
    <row r="991" spans="1:7" x14ac:dyDescent="0.3">
      <c r="A991" s="2">
        <v>42720</v>
      </c>
      <c r="B991" s="1">
        <v>28.9925</v>
      </c>
      <c r="C991" s="1">
        <v>757.77</v>
      </c>
      <c r="D991" s="1">
        <v>119.87</v>
      </c>
      <c r="E991" s="3">
        <f t="shared" si="48"/>
        <v>567.76499999999987</v>
      </c>
      <c r="F991" s="4">
        <f t="shared" si="46"/>
        <v>9.4149999999995089</v>
      </c>
      <c r="G991" s="4">
        <f t="shared" si="47"/>
        <v>-9.4149999999995089</v>
      </c>
    </row>
    <row r="992" spans="1:7" x14ac:dyDescent="0.3">
      <c r="A992" s="2">
        <v>42719</v>
      </c>
      <c r="B992" s="1">
        <v>28.954999999999998</v>
      </c>
      <c r="C992" s="1">
        <v>761</v>
      </c>
      <c r="D992" s="1">
        <v>120.57</v>
      </c>
      <c r="E992" s="3">
        <f t="shared" si="48"/>
        <v>558.35000000000036</v>
      </c>
      <c r="F992" s="4">
        <f t="shared" si="46"/>
        <v>-14.965199999999641</v>
      </c>
      <c r="G992" s="4">
        <f t="shared" si="47"/>
        <v>14.965199999999641</v>
      </c>
    </row>
    <row r="993" spans="1:7" x14ac:dyDescent="0.3">
      <c r="A993" s="2">
        <v>42718</v>
      </c>
      <c r="B993" s="1">
        <v>28.797499999999999</v>
      </c>
      <c r="C993" s="1">
        <v>768.82010000000002</v>
      </c>
      <c r="D993" s="1">
        <v>120.21</v>
      </c>
      <c r="E993" s="3">
        <f t="shared" si="48"/>
        <v>573.3152</v>
      </c>
      <c r="F993" s="4">
        <f t="shared" si="46"/>
        <v>-9.0399999999999636</v>
      </c>
      <c r="G993" s="4">
        <f t="shared" si="47"/>
        <v>9.0399999999999636</v>
      </c>
    </row>
    <row r="994" spans="1:7" x14ac:dyDescent="0.3">
      <c r="A994" s="2">
        <v>42717</v>
      </c>
      <c r="B994" s="1">
        <v>28.797499999999999</v>
      </c>
      <c r="C994" s="1">
        <v>774.34010000000001</v>
      </c>
      <c r="D994" s="1">
        <v>120.31</v>
      </c>
      <c r="E994" s="3">
        <f t="shared" si="48"/>
        <v>582.35519999999997</v>
      </c>
      <c r="F994" s="4">
        <f t="shared" si="46"/>
        <v>1.2649999999998727</v>
      </c>
      <c r="G994" s="4">
        <f t="shared" si="47"/>
        <v>-1.2649999999998727</v>
      </c>
    </row>
    <row r="995" spans="1:7" x14ac:dyDescent="0.3">
      <c r="A995" s="2">
        <v>42716</v>
      </c>
      <c r="B995" s="1">
        <v>28.324999999999999</v>
      </c>
      <c r="C995" s="1">
        <v>760.12009999999998</v>
      </c>
      <c r="D995" s="1">
        <v>117.77</v>
      </c>
      <c r="E995" s="3">
        <f t="shared" si="48"/>
        <v>581.0902000000001</v>
      </c>
      <c r="F995" s="4">
        <f t="shared" si="46"/>
        <v>12.995400000000245</v>
      </c>
      <c r="G995" s="4">
        <f t="shared" si="47"/>
        <v>-12.995400000000245</v>
      </c>
    </row>
    <row r="996" spans="1:7" x14ac:dyDescent="0.3">
      <c r="A996" s="2">
        <v>42713</v>
      </c>
      <c r="B996" s="1">
        <v>28.487500000000001</v>
      </c>
      <c r="C996" s="1">
        <v>768.65989999999999</v>
      </c>
      <c r="D996" s="1">
        <v>119.68</v>
      </c>
      <c r="E996" s="3">
        <f t="shared" si="48"/>
        <v>568.09479999999985</v>
      </c>
      <c r="F996" s="4">
        <f t="shared" si="46"/>
        <v>10.134599999999409</v>
      </c>
      <c r="G996" s="4">
        <f t="shared" si="47"/>
        <v>-10.134599999999409</v>
      </c>
    </row>
    <row r="997" spans="1:7" x14ac:dyDescent="0.3">
      <c r="A997" s="2">
        <v>42712</v>
      </c>
      <c r="B997" s="1">
        <v>28.03</v>
      </c>
      <c r="C997" s="1">
        <v>767.33010000000002</v>
      </c>
      <c r="D997" s="1">
        <v>118.91</v>
      </c>
      <c r="E997" s="3">
        <f t="shared" si="48"/>
        <v>557.96020000000044</v>
      </c>
      <c r="F997" s="4">
        <f t="shared" si="46"/>
        <v>-11.7545999999993</v>
      </c>
      <c r="G997" s="4">
        <f t="shared" si="47"/>
        <v>11.7545999999993</v>
      </c>
    </row>
    <row r="998" spans="1:7" x14ac:dyDescent="0.3">
      <c r="A998" s="2">
        <v>42711</v>
      </c>
      <c r="B998" s="1">
        <v>27.7575</v>
      </c>
      <c r="C998" s="1">
        <v>770.41989999999998</v>
      </c>
      <c r="D998" s="1">
        <v>117.95</v>
      </c>
      <c r="E998" s="3">
        <f t="shared" si="48"/>
        <v>569.71479999999974</v>
      </c>
      <c r="F998" s="4">
        <f t="shared" si="46"/>
        <v>12.099799999999505</v>
      </c>
      <c r="G998" s="4">
        <f t="shared" si="47"/>
        <v>-12.099799999999505</v>
      </c>
    </row>
    <row r="999" spans="1:7" x14ac:dyDescent="0.3">
      <c r="A999" s="2">
        <v>42710</v>
      </c>
      <c r="B999" s="1">
        <v>27.487500000000001</v>
      </c>
      <c r="C999" s="1">
        <v>764.72</v>
      </c>
      <c r="D999" s="1">
        <v>117.31</v>
      </c>
      <c r="E999" s="3">
        <f t="shared" si="48"/>
        <v>557.61500000000024</v>
      </c>
      <c r="F999" s="4">
        <f t="shared" si="46"/>
        <v>23.619800000000851</v>
      </c>
      <c r="G999" s="4">
        <f t="shared" si="47"/>
        <v>-23.619800000000851</v>
      </c>
    </row>
    <row r="1000" spans="1:7" x14ac:dyDescent="0.3">
      <c r="A1000" s="2">
        <v>42709</v>
      </c>
      <c r="B1000" s="1">
        <v>27.2775</v>
      </c>
      <c r="C1000" s="1">
        <v>759.36009999999999</v>
      </c>
      <c r="D1000" s="1">
        <v>117.43</v>
      </c>
      <c r="E1000" s="3">
        <f t="shared" si="48"/>
        <v>533.99519999999939</v>
      </c>
      <c r="F1000" s="4">
        <f t="shared" si="46"/>
        <v>-12.4350000000004</v>
      </c>
      <c r="G1000" s="4">
        <f t="shared" si="47"/>
        <v>12.4350000000004</v>
      </c>
    </row>
    <row r="1001" spans="1:7" x14ac:dyDescent="0.3">
      <c r="A1001" s="2">
        <v>42706</v>
      </c>
      <c r="B1001" s="1">
        <v>27.475000000000001</v>
      </c>
      <c r="C1001" s="1">
        <v>740.34010000000001</v>
      </c>
      <c r="D1001" s="1">
        <v>115.4</v>
      </c>
      <c r="E1001" s="3">
        <f t="shared" si="48"/>
        <v>546.43019999999979</v>
      </c>
      <c r="F1001" s="4">
        <f t="shared" si="46"/>
        <v>-7.4945999999999913</v>
      </c>
      <c r="G1001" s="4">
        <f t="shared" si="47"/>
        <v>7.4945999999999913</v>
      </c>
    </row>
    <row r="1002" spans="1:7" x14ac:dyDescent="0.3">
      <c r="A1002" s="2">
        <v>42705</v>
      </c>
      <c r="B1002" s="1">
        <v>27.372499999999999</v>
      </c>
      <c r="C1002" s="1">
        <v>743.6499</v>
      </c>
      <c r="D1002" s="1">
        <v>115.1</v>
      </c>
      <c r="E1002" s="3">
        <f t="shared" si="48"/>
        <v>553.92479999999978</v>
      </c>
      <c r="F1002" s="4">
        <f t="shared" si="46"/>
        <v>39.684600000000046</v>
      </c>
      <c r="G1002" s="4">
        <f t="shared" si="47"/>
        <v>-39.684600000000046</v>
      </c>
    </row>
    <row r="1003" spans="1:7" x14ac:dyDescent="0.3">
      <c r="A1003" s="2">
        <v>42704</v>
      </c>
      <c r="B1003" s="1">
        <v>27.63</v>
      </c>
      <c r="C1003" s="1">
        <v>750.57010000000002</v>
      </c>
      <c r="D1003" s="1">
        <v>118.42</v>
      </c>
      <c r="E1003" s="3">
        <f t="shared" si="48"/>
        <v>514.24019999999973</v>
      </c>
      <c r="F1003" s="4">
        <f t="shared" si="46"/>
        <v>13.350199999999859</v>
      </c>
      <c r="G1003" s="4">
        <f t="shared" si="47"/>
        <v>-13.350199999999859</v>
      </c>
    </row>
    <row r="1004" spans="1:7" x14ac:dyDescent="0.3">
      <c r="A1004" s="2">
        <v>42703</v>
      </c>
      <c r="B1004" s="1">
        <v>27.864999999999998</v>
      </c>
      <c r="C1004" s="1">
        <v>762.52</v>
      </c>
      <c r="D1004" s="1">
        <v>120.87</v>
      </c>
      <c r="E1004" s="3">
        <f t="shared" si="48"/>
        <v>500.88999999999987</v>
      </c>
      <c r="F1004" s="4">
        <f t="shared" si="46"/>
        <v>-19.075000000000273</v>
      </c>
      <c r="G1004" s="4">
        <f t="shared" si="47"/>
        <v>19.075000000000273</v>
      </c>
    </row>
    <row r="1005" spans="1:7" x14ac:dyDescent="0.3">
      <c r="A1005" s="2">
        <v>42702</v>
      </c>
      <c r="B1005" s="1">
        <v>27.892499999999998</v>
      </c>
      <c r="C1005" s="1">
        <v>766.77</v>
      </c>
      <c r="D1005" s="1">
        <v>120.41</v>
      </c>
      <c r="E1005" s="3">
        <f t="shared" si="48"/>
        <v>519.96500000000015</v>
      </c>
      <c r="F1005" s="4">
        <f t="shared" si="46"/>
        <v>-30.550200000000132</v>
      </c>
      <c r="G1005" s="4">
        <f t="shared" si="47"/>
        <v>30.550200000000132</v>
      </c>
    </row>
    <row r="1006" spans="1:7" x14ac:dyDescent="0.3">
      <c r="A1006" s="2">
        <v>42699</v>
      </c>
      <c r="B1006" s="1">
        <v>27.947500000000002</v>
      </c>
      <c r="C1006" s="1">
        <v>780.37009999999998</v>
      </c>
      <c r="D1006" s="1">
        <v>120.38</v>
      </c>
      <c r="E1006" s="3">
        <f t="shared" si="48"/>
        <v>550.51520000000028</v>
      </c>
      <c r="F1006" s="4">
        <f t="shared" si="46"/>
        <v>16.700000000000273</v>
      </c>
      <c r="G1006" s="4">
        <f t="shared" si="47"/>
        <v>-16.700000000000273</v>
      </c>
    </row>
    <row r="1007" spans="1:7" x14ac:dyDescent="0.3">
      <c r="A1007" s="2">
        <v>42698</v>
      </c>
      <c r="B1007" s="1">
        <v>27.807500000000001</v>
      </c>
      <c r="C1007" s="1">
        <v>780.12009999999998</v>
      </c>
      <c r="D1007" s="1">
        <v>120.84</v>
      </c>
      <c r="E1007" s="3">
        <f t="shared" si="48"/>
        <v>533.8152</v>
      </c>
      <c r="F1007" s="4">
        <f t="shared" si="46"/>
        <v>0</v>
      </c>
      <c r="G1007" s="4">
        <f t="shared" si="47"/>
        <v>0</v>
      </c>
    </row>
    <row r="1008" spans="1:7" x14ac:dyDescent="0.3">
      <c r="A1008" s="2">
        <v>42697</v>
      </c>
      <c r="B1008" s="1">
        <v>27.807500000000001</v>
      </c>
      <c r="C1008" s="1">
        <v>780.12009999999998</v>
      </c>
      <c r="D1008" s="1">
        <v>120.84</v>
      </c>
      <c r="E1008" s="3">
        <f t="shared" si="48"/>
        <v>533.8152</v>
      </c>
      <c r="F1008" s="4">
        <f t="shared" si="46"/>
        <v>-4.9450000000001637</v>
      </c>
      <c r="G1008" s="4">
        <f t="shared" si="47"/>
        <v>4.9450000000001637</v>
      </c>
    </row>
    <row r="1009" spans="1:7" x14ac:dyDescent="0.3">
      <c r="A1009" s="2">
        <v>42696</v>
      </c>
      <c r="B1009" s="1">
        <v>27.95</v>
      </c>
      <c r="C1009" s="1">
        <v>785.33010000000002</v>
      </c>
      <c r="D1009" s="1">
        <v>121.47</v>
      </c>
      <c r="E1009" s="3">
        <f t="shared" si="48"/>
        <v>538.76020000000017</v>
      </c>
      <c r="F1009" s="4">
        <f t="shared" si="46"/>
        <v>17.535200000000259</v>
      </c>
      <c r="G1009" s="4">
        <f t="shared" si="47"/>
        <v>-17.535200000000259</v>
      </c>
    </row>
    <row r="1010" spans="1:7" x14ac:dyDescent="0.3">
      <c r="A1010" s="2">
        <v>42695</v>
      </c>
      <c r="B1010" s="1">
        <v>27.932500000000001</v>
      </c>
      <c r="C1010" s="1">
        <v>780</v>
      </c>
      <c r="D1010" s="1">
        <v>121.77</v>
      </c>
      <c r="E1010" s="3">
        <f t="shared" si="48"/>
        <v>521.22499999999991</v>
      </c>
      <c r="F1010" s="4">
        <f t="shared" si="46"/>
        <v>-34.444800000000214</v>
      </c>
      <c r="G1010" s="4">
        <f t="shared" si="47"/>
        <v>34.444800000000214</v>
      </c>
    </row>
    <row r="1011" spans="1:7" x14ac:dyDescent="0.3">
      <c r="A1011" s="2">
        <v>42692</v>
      </c>
      <c r="B1011" s="1">
        <v>27.515000000000001</v>
      </c>
      <c r="C1011" s="1">
        <v>760.15989999999999</v>
      </c>
      <c r="D1011" s="1">
        <v>117.02</v>
      </c>
      <c r="E1011" s="3">
        <f t="shared" si="48"/>
        <v>555.66980000000012</v>
      </c>
      <c r="F1011" s="4">
        <f t="shared" si="46"/>
        <v>24.295000000000528</v>
      </c>
      <c r="G1011" s="4">
        <f t="shared" si="47"/>
        <v>-24.295000000000528</v>
      </c>
    </row>
    <row r="1012" spans="1:7" x14ac:dyDescent="0.3">
      <c r="A1012" s="2">
        <v>42691</v>
      </c>
      <c r="B1012" s="1">
        <v>27.487500000000001</v>
      </c>
      <c r="C1012" s="1">
        <v>756.3999</v>
      </c>
      <c r="D1012" s="1">
        <v>117.79</v>
      </c>
      <c r="E1012" s="3">
        <f t="shared" si="48"/>
        <v>531.3747999999996</v>
      </c>
      <c r="F1012" s="4">
        <f t="shared" si="46"/>
        <v>-9.6802000000002408</v>
      </c>
      <c r="G1012" s="4">
        <f t="shared" si="47"/>
        <v>9.6802000000002408</v>
      </c>
    </row>
    <row r="1013" spans="1:7" x14ac:dyDescent="0.3">
      <c r="A1013" s="2">
        <v>42690</v>
      </c>
      <c r="B1013" s="1">
        <v>27.497499999999999</v>
      </c>
      <c r="C1013" s="1">
        <v>746.49</v>
      </c>
      <c r="D1013" s="1">
        <v>116.34</v>
      </c>
      <c r="E1013" s="3">
        <f t="shared" si="48"/>
        <v>541.05499999999984</v>
      </c>
      <c r="F1013" s="4">
        <f t="shared" si="46"/>
        <v>59.699999999999818</v>
      </c>
      <c r="G1013" s="4">
        <f t="shared" si="47"/>
        <v>-59.699999999999818</v>
      </c>
    </row>
    <row r="1014" spans="1:7" x14ac:dyDescent="0.3">
      <c r="A1014" s="2">
        <v>42689</v>
      </c>
      <c r="B1014" s="1">
        <v>26.7775</v>
      </c>
      <c r="C1014" s="1">
        <v>743.24</v>
      </c>
      <c r="D1014" s="1">
        <v>117.2</v>
      </c>
      <c r="E1014" s="3">
        <f t="shared" si="48"/>
        <v>481.35500000000002</v>
      </c>
      <c r="F1014" s="4">
        <f t="shared" si="46"/>
        <v>23.439800000000105</v>
      </c>
      <c r="G1014" s="4">
        <f t="shared" si="47"/>
        <v>-23.439800000000105</v>
      </c>
    </row>
    <row r="1015" spans="1:7" x14ac:dyDescent="0.3">
      <c r="A1015" s="2">
        <v>42688</v>
      </c>
      <c r="B1015" s="1">
        <v>26.427499999999998</v>
      </c>
      <c r="C1015" s="1">
        <v>719.07010000000002</v>
      </c>
      <c r="D1015" s="1">
        <v>115.08</v>
      </c>
      <c r="E1015" s="3">
        <f t="shared" si="48"/>
        <v>457.91519999999991</v>
      </c>
      <c r="F1015" s="4">
        <f t="shared" si="46"/>
        <v>4.9202000000000226</v>
      </c>
      <c r="G1015" s="4">
        <f t="shared" si="47"/>
        <v>-4.9202000000000226</v>
      </c>
    </row>
    <row r="1016" spans="1:7" x14ac:dyDescent="0.3">
      <c r="A1016" s="2">
        <v>42685</v>
      </c>
      <c r="B1016" s="1">
        <v>27.107500000000002</v>
      </c>
      <c r="C1016" s="1">
        <v>739.01</v>
      </c>
      <c r="D1016" s="1">
        <v>119.02</v>
      </c>
      <c r="E1016" s="3">
        <f t="shared" si="48"/>
        <v>452.99499999999989</v>
      </c>
      <c r="F1016" s="4">
        <f t="shared" si="46"/>
        <v>36.860200000000077</v>
      </c>
      <c r="G1016" s="4">
        <f t="shared" si="47"/>
        <v>-36.860200000000077</v>
      </c>
    </row>
    <row r="1017" spans="1:7" x14ac:dyDescent="0.3">
      <c r="A1017" s="2">
        <v>42684</v>
      </c>
      <c r="B1017" s="1">
        <v>26.947500000000002</v>
      </c>
      <c r="C1017" s="1">
        <v>742.37990000000002</v>
      </c>
      <c r="D1017" s="1">
        <v>120.8</v>
      </c>
      <c r="E1017" s="3">
        <f t="shared" si="48"/>
        <v>416.13479999999981</v>
      </c>
      <c r="F1017" s="4">
        <f t="shared" si="46"/>
        <v>-50.024999999999636</v>
      </c>
      <c r="G1017" s="4">
        <f t="shared" si="47"/>
        <v>50.024999999999636</v>
      </c>
    </row>
    <row r="1018" spans="1:7" x14ac:dyDescent="0.3">
      <c r="A1018" s="2">
        <v>42683</v>
      </c>
      <c r="B1018" s="1">
        <v>27.72</v>
      </c>
      <c r="C1018" s="1">
        <v>771.87990000000002</v>
      </c>
      <c r="D1018" s="1">
        <v>123.18</v>
      </c>
      <c r="E1018" s="3">
        <f t="shared" si="48"/>
        <v>466.15979999999945</v>
      </c>
      <c r="F1018" s="4">
        <f t="shared" si="46"/>
        <v>-13.190200000000459</v>
      </c>
      <c r="G1018" s="4">
        <f t="shared" si="47"/>
        <v>13.190200000000459</v>
      </c>
    </row>
    <row r="1019" spans="1:7" x14ac:dyDescent="0.3">
      <c r="A1019" s="2">
        <v>42682</v>
      </c>
      <c r="B1019" s="1">
        <v>27.765000000000001</v>
      </c>
      <c r="C1019" s="1">
        <v>787.75</v>
      </c>
      <c r="D1019" s="1">
        <v>124.22</v>
      </c>
      <c r="E1019" s="3">
        <f t="shared" si="48"/>
        <v>479.34999999999991</v>
      </c>
      <c r="F1019" s="4">
        <f t="shared" si="46"/>
        <v>-27.634800000000268</v>
      </c>
      <c r="G1019" s="4">
        <f t="shared" si="47"/>
        <v>27.634800000000268</v>
      </c>
    </row>
    <row r="1020" spans="1:7" x14ac:dyDescent="0.3">
      <c r="A1020" s="2">
        <v>42681</v>
      </c>
      <c r="B1020" s="1">
        <v>27.602499999999999</v>
      </c>
      <c r="C1020" s="1">
        <v>784.92989999999998</v>
      </c>
      <c r="D1020" s="1">
        <v>122.15</v>
      </c>
      <c r="E1020" s="3">
        <f t="shared" si="48"/>
        <v>506.98480000000018</v>
      </c>
      <c r="F1020" s="4">
        <f t="shared" si="46"/>
        <v>51.384800000000268</v>
      </c>
      <c r="G1020" s="4">
        <f t="shared" si="47"/>
        <v>-51.384800000000268</v>
      </c>
    </row>
    <row r="1021" spans="1:7" x14ac:dyDescent="0.3">
      <c r="A1021" s="2">
        <v>42678</v>
      </c>
      <c r="B1021" s="1">
        <v>27.21</v>
      </c>
      <c r="C1021" s="1">
        <v>755.05</v>
      </c>
      <c r="D1021" s="1">
        <v>120.75</v>
      </c>
      <c r="E1021" s="3">
        <f t="shared" si="48"/>
        <v>455.59999999999991</v>
      </c>
      <c r="F1021" s="4">
        <f t="shared" si="46"/>
        <v>-51.335000000000036</v>
      </c>
      <c r="G1021" s="4">
        <f t="shared" si="47"/>
        <v>51.335000000000036</v>
      </c>
    </row>
    <row r="1022" spans="1:7" x14ac:dyDescent="0.3">
      <c r="A1022" s="2">
        <v>42677</v>
      </c>
      <c r="B1022" s="1">
        <v>27.4575</v>
      </c>
      <c r="C1022" s="1">
        <v>767.03</v>
      </c>
      <c r="D1022" s="1">
        <v>120</v>
      </c>
      <c r="E1022" s="3">
        <f t="shared" si="48"/>
        <v>506.93499999999995</v>
      </c>
      <c r="F1022" s="4">
        <f t="shared" si="46"/>
        <v>124.33979999999974</v>
      </c>
      <c r="G1022" s="4">
        <f t="shared" si="47"/>
        <v>-124.33979999999974</v>
      </c>
    </row>
    <row r="1023" spans="1:7" x14ac:dyDescent="0.3">
      <c r="A1023" s="2">
        <v>42676</v>
      </c>
      <c r="B1023" s="1">
        <v>27.897500000000001</v>
      </c>
      <c r="C1023" s="1">
        <v>765.56010000000003</v>
      </c>
      <c r="D1023" s="1">
        <v>127.17</v>
      </c>
      <c r="E1023" s="3">
        <f t="shared" si="48"/>
        <v>382.5952000000002</v>
      </c>
      <c r="F1023" s="4">
        <f t="shared" si="46"/>
        <v>8.1503999999999905</v>
      </c>
      <c r="G1023" s="4">
        <f t="shared" si="47"/>
        <v>-8.1503999999999905</v>
      </c>
    </row>
    <row r="1024" spans="1:7" x14ac:dyDescent="0.3">
      <c r="A1024" s="2">
        <v>42675</v>
      </c>
      <c r="B1024" s="1">
        <v>27.872499999999999</v>
      </c>
      <c r="C1024" s="1">
        <v>785.40989999999999</v>
      </c>
      <c r="D1024" s="1">
        <v>129.5</v>
      </c>
      <c r="E1024" s="3">
        <f t="shared" si="48"/>
        <v>374.44480000000021</v>
      </c>
      <c r="F1024" s="4">
        <f t="shared" si="46"/>
        <v>-4.6453999999994267</v>
      </c>
      <c r="G1024" s="4">
        <f t="shared" si="47"/>
        <v>4.6453999999994267</v>
      </c>
    </row>
    <row r="1025" spans="1:7" x14ac:dyDescent="0.3">
      <c r="A1025" s="2">
        <v>42674</v>
      </c>
      <c r="B1025" s="1">
        <v>28.385000000000002</v>
      </c>
      <c r="C1025" s="1">
        <v>789.82010000000002</v>
      </c>
      <c r="D1025" s="1">
        <v>130.99</v>
      </c>
      <c r="E1025" s="3">
        <f t="shared" si="48"/>
        <v>379.09019999999964</v>
      </c>
      <c r="F1025" s="4">
        <f t="shared" si="46"/>
        <v>30.749999999999545</v>
      </c>
      <c r="G1025" s="4">
        <f t="shared" si="47"/>
        <v>-30.749999999999545</v>
      </c>
    </row>
    <row r="1026" spans="1:7" x14ac:dyDescent="0.3">
      <c r="A1026" s="2">
        <v>42671</v>
      </c>
      <c r="B1026" s="1">
        <v>28.43</v>
      </c>
      <c r="C1026" s="1">
        <v>776.32010000000002</v>
      </c>
      <c r="D1026" s="1">
        <v>131.29</v>
      </c>
      <c r="E1026" s="3">
        <f t="shared" si="48"/>
        <v>348.3402000000001</v>
      </c>
      <c r="F1026" s="4">
        <f t="shared" si="46"/>
        <v>-125.57999999999947</v>
      </c>
      <c r="G1026" s="4">
        <f t="shared" si="47"/>
        <v>125.57999999999947</v>
      </c>
    </row>
    <row r="1027" spans="1:7" x14ac:dyDescent="0.3">
      <c r="A1027" s="2">
        <v>42670</v>
      </c>
      <c r="B1027" s="1">
        <v>28.62</v>
      </c>
      <c r="C1027" s="1">
        <v>818.36009999999999</v>
      </c>
      <c r="D1027" s="1">
        <v>129.69</v>
      </c>
      <c r="E1027" s="3">
        <f t="shared" si="48"/>
        <v>473.92019999999957</v>
      </c>
      <c r="F1027" s="4">
        <f t="shared" si="46"/>
        <v>4.6649999999995089</v>
      </c>
      <c r="G1027" s="4">
        <f t="shared" si="47"/>
        <v>-4.6649999999995089</v>
      </c>
    </row>
    <row r="1028" spans="1:7" x14ac:dyDescent="0.3">
      <c r="A1028" s="2">
        <v>42669</v>
      </c>
      <c r="B1028" s="1">
        <v>28.897500000000001</v>
      </c>
      <c r="C1028" s="1">
        <v>822.59010000000001</v>
      </c>
      <c r="D1028" s="1">
        <v>131.04</v>
      </c>
      <c r="E1028" s="3">
        <f t="shared" si="48"/>
        <v>469.25520000000006</v>
      </c>
      <c r="F1028" s="4">
        <f t="shared" si="46"/>
        <v>-33.429600000000391</v>
      </c>
      <c r="G1028" s="4">
        <f t="shared" si="47"/>
        <v>33.429600000000391</v>
      </c>
    </row>
    <row r="1029" spans="1:7" x14ac:dyDescent="0.3">
      <c r="A1029" s="2">
        <v>42668</v>
      </c>
      <c r="B1029" s="1">
        <v>29.5625</v>
      </c>
      <c r="C1029" s="1">
        <v>835.17989999999998</v>
      </c>
      <c r="D1029" s="1">
        <v>132.29</v>
      </c>
      <c r="E1029" s="3">
        <f t="shared" si="48"/>
        <v>502.68480000000045</v>
      </c>
      <c r="F1029" s="4">
        <f t="shared" ref="F1029:F1092" si="49">E1029-E1030</f>
        <v>21.479600000000573</v>
      </c>
      <c r="G1029" s="4">
        <f t="shared" ref="G1029:G1092" si="50">-F1029</f>
        <v>-21.479600000000573</v>
      </c>
    </row>
    <row r="1030" spans="1:7" x14ac:dyDescent="0.3">
      <c r="A1030" s="2">
        <v>42667</v>
      </c>
      <c r="B1030" s="1">
        <v>29.412500000000001</v>
      </c>
      <c r="C1030" s="1">
        <v>838.09010000000001</v>
      </c>
      <c r="D1030" s="1">
        <v>133.28</v>
      </c>
      <c r="E1030" s="3">
        <f t="shared" ref="E1030:E1093" si="51">50*B1030+2*C1030-20*D1030</f>
        <v>481.20519999999988</v>
      </c>
      <c r="F1030" s="4">
        <f t="shared" si="49"/>
        <v>27.125199999999495</v>
      </c>
      <c r="G1030" s="4">
        <f t="shared" si="50"/>
        <v>-27.125199999999495</v>
      </c>
    </row>
    <row r="1031" spans="1:7" x14ac:dyDescent="0.3">
      <c r="A1031" s="2">
        <v>42664</v>
      </c>
      <c r="B1031" s="1">
        <v>29.15</v>
      </c>
      <c r="C1031" s="1">
        <v>818.99</v>
      </c>
      <c r="D1031" s="1">
        <v>132.07</v>
      </c>
      <c r="E1031" s="3">
        <f t="shared" si="51"/>
        <v>454.08000000000038</v>
      </c>
      <c r="F1031" s="4">
        <f t="shared" si="49"/>
        <v>-29.81019999999944</v>
      </c>
      <c r="G1031" s="4">
        <f t="shared" si="50"/>
        <v>29.81019999999944</v>
      </c>
    </row>
    <row r="1032" spans="1:7" x14ac:dyDescent="0.3">
      <c r="A1032" s="2">
        <v>42663</v>
      </c>
      <c r="B1032" s="1">
        <v>29.265000000000001</v>
      </c>
      <c r="C1032" s="1">
        <v>810.32010000000002</v>
      </c>
      <c r="D1032" s="1">
        <v>130</v>
      </c>
      <c r="E1032" s="3">
        <f t="shared" si="51"/>
        <v>483.89019999999982</v>
      </c>
      <c r="F1032" s="4">
        <f t="shared" si="49"/>
        <v>-13.289599999999609</v>
      </c>
      <c r="G1032" s="4">
        <f t="shared" si="50"/>
        <v>13.289599999999609</v>
      </c>
    </row>
    <row r="1033" spans="1:7" x14ac:dyDescent="0.3">
      <c r="A1033" s="2">
        <v>42662</v>
      </c>
      <c r="B1033" s="1">
        <v>29.28</v>
      </c>
      <c r="C1033" s="1">
        <v>817.68989999999997</v>
      </c>
      <c r="D1033" s="1">
        <v>130.11000000000001</v>
      </c>
      <c r="E1033" s="3">
        <f t="shared" si="51"/>
        <v>497.17979999999943</v>
      </c>
      <c r="F1033" s="4">
        <f t="shared" si="49"/>
        <v>-35.095000000000709</v>
      </c>
      <c r="G1033" s="4">
        <f t="shared" si="50"/>
        <v>35.095000000000709</v>
      </c>
    </row>
    <row r="1034" spans="1:7" x14ac:dyDescent="0.3">
      <c r="A1034" s="2">
        <v>42661</v>
      </c>
      <c r="B1034" s="1">
        <v>29.3675</v>
      </c>
      <c r="C1034" s="1">
        <v>817.6499</v>
      </c>
      <c r="D1034" s="1">
        <v>128.57</v>
      </c>
      <c r="E1034" s="3">
        <f t="shared" si="51"/>
        <v>532.27480000000014</v>
      </c>
      <c r="F1034" s="4">
        <f t="shared" si="49"/>
        <v>-12.200199999999768</v>
      </c>
      <c r="G1034" s="4">
        <f t="shared" si="50"/>
        <v>12.200199999999768</v>
      </c>
    </row>
    <row r="1035" spans="1:7" x14ac:dyDescent="0.3">
      <c r="A1035" s="2">
        <v>42660</v>
      </c>
      <c r="B1035" s="1">
        <v>29.387499999999999</v>
      </c>
      <c r="C1035" s="1">
        <v>812.95</v>
      </c>
      <c r="D1035" s="1">
        <v>127.54</v>
      </c>
      <c r="E1035" s="3">
        <f t="shared" si="51"/>
        <v>544.47499999999991</v>
      </c>
      <c r="F1035" s="4">
        <f t="shared" si="49"/>
        <v>-14.220000000000255</v>
      </c>
      <c r="G1035" s="4">
        <f t="shared" si="50"/>
        <v>14.220000000000255</v>
      </c>
    </row>
    <row r="1036" spans="1:7" x14ac:dyDescent="0.3">
      <c r="A1036" s="2">
        <v>42657</v>
      </c>
      <c r="B1036" s="1">
        <v>29.407499999999999</v>
      </c>
      <c r="C1036" s="1">
        <v>822.96</v>
      </c>
      <c r="D1036" s="1">
        <v>127.88</v>
      </c>
      <c r="E1036" s="3">
        <f t="shared" si="51"/>
        <v>558.69500000000016</v>
      </c>
      <c r="F1036" s="4">
        <f t="shared" si="49"/>
        <v>-5.7150000000001455</v>
      </c>
      <c r="G1036" s="4">
        <f t="shared" si="50"/>
        <v>5.7150000000001455</v>
      </c>
    </row>
    <row r="1037" spans="1:7" x14ac:dyDescent="0.3">
      <c r="A1037" s="2">
        <v>42656</v>
      </c>
      <c r="B1037" s="1">
        <v>29.245000000000001</v>
      </c>
      <c r="C1037" s="1">
        <v>829.28</v>
      </c>
      <c r="D1037" s="1">
        <v>127.82</v>
      </c>
      <c r="E1037" s="3">
        <f t="shared" si="51"/>
        <v>564.41000000000031</v>
      </c>
      <c r="F1037" s="4">
        <f t="shared" si="49"/>
        <v>10.479800000000523</v>
      </c>
      <c r="G1037" s="4">
        <f t="shared" si="50"/>
        <v>-10.479800000000523</v>
      </c>
    </row>
    <row r="1038" spans="1:7" x14ac:dyDescent="0.3">
      <c r="A1038" s="2">
        <v>42655</v>
      </c>
      <c r="B1038" s="1">
        <v>29.335000000000001</v>
      </c>
      <c r="C1038" s="1">
        <v>834.09010000000001</v>
      </c>
      <c r="D1038" s="1">
        <v>129.05000000000001</v>
      </c>
      <c r="E1038" s="3">
        <f t="shared" si="51"/>
        <v>553.93019999999979</v>
      </c>
      <c r="F1038" s="4">
        <f t="shared" si="49"/>
        <v>15.780199999999695</v>
      </c>
      <c r="G1038" s="4">
        <f t="shared" si="50"/>
        <v>-15.780199999999695</v>
      </c>
    </row>
    <row r="1039" spans="1:7" x14ac:dyDescent="0.3">
      <c r="A1039" s="2">
        <v>42654</v>
      </c>
      <c r="B1039" s="1">
        <v>29.074999999999999</v>
      </c>
      <c r="C1039" s="1">
        <v>831</v>
      </c>
      <c r="D1039" s="1">
        <v>128.88</v>
      </c>
      <c r="E1039" s="3">
        <f t="shared" si="51"/>
        <v>538.15000000000009</v>
      </c>
      <c r="F1039" s="4">
        <f t="shared" si="49"/>
        <v>8.9050000000002001</v>
      </c>
      <c r="G1039" s="4">
        <f t="shared" si="50"/>
        <v>-8.9050000000002001</v>
      </c>
    </row>
    <row r="1040" spans="1:7" x14ac:dyDescent="0.3">
      <c r="A1040" s="2">
        <v>42653</v>
      </c>
      <c r="B1040" s="1">
        <v>29.012499999999999</v>
      </c>
      <c r="C1040" s="1">
        <v>841.71</v>
      </c>
      <c r="D1040" s="1">
        <v>130.24</v>
      </c>
      <c r="E1040" s="3">
        <f t="shared" si="51"/>
        <v>529.24499999999989</v>
      </c>
      <c r="F1040" s="4">
        <f t="shared" si="49"/>
        <v>4.4351999999998952</v>
      </c>
      <c r="G1040" s="4">
        <f t="shared" si="50"/>
        <v>-4.4351999999998952</v>
      </c>
    </row>
    <row r="1041" spans="1:7" x14ac:dyDescent="0.3">
      <c r="A1041" s="2">
        <v>42650</v>
      </c>
      <c r="B1041" s="1">
        <v>28.515000000000001</v>
      </c>
      <c r="C1041" s="1">
        <v>839.42989999999998</v>
      </c>
      <c r="D1041" s="1">
        <v>128.99</v>
      </c>
      <c r="E1041" s="3">
        <f t="shared" si="51"/>
        <v>524.8098</v>
      </c>
      <c r="F1041" s="4">
        <f t="shared" si="49"/>
        <v>-7.3350000000000364</v>
      </c>
      <c r="G1041" s="4">
        <f t="shared" si="50"/>
        <v>7.3350000000000364</v>
      </c>
    </row>
    <row r="1042" spans="1:7" x14ac:dyDescent="0.3">
      <c r="A1042" s="2">
        <v>42649</v>
      </c>
      <c r="B1042" s="1">
        <v>28.4725</v>
      </c>
      <c r="C1042" s="1">
        <v>841.65989999999999</v>
      </c>
      <c r="D1042" s="1">
        <v>128.74</v>
      </c>
      <c r="E1042" s="3">
        <f t="shared" si="51"/>
        <v>532.14480000000003</v>
      </c>
      <c r="F1042" s="4">
        <f t="shared" si="49"/>
        <v>-0.30039999999962674</v>
      </c>
      <c r="G1042" s="4">
        <f t="shared" si="50"/>
        <v>0.30039999999962674</v>
      </c>
    </row>
    <row r="1043" spans="1:7" x14ac:dyDescent="0.3">
      <c r="A1043" s="2">
        <v>42648</v>
      </c>
      <c r="B1043" s="1">
        <v>28.262499999999999</v>
      </c>
      <c r="C1043" s="1">
        <v>844.36009999999999</v>
      </c>
      <c r="D1043" s="1">
        <v>128.47</v>
      </c>
      <c r="E1043" s="3">
        <f t="shared" si="51"/>
        <v>532.44519999999966</v>
      </c>
      <c r="F1043" s="4">
        <f t="shared" si="49"/>
        <v>15.685199999999895</v>
      </c>
      <c r="G1043" s="4">
        <f t="shared" si="50"/>
        <v>-15.685199999999895</v>
      </c>
    </row>
    <row r="1044" spans="1:7" x14ac:dyDescent="0.3">
      <c r="A1044" s="2">
        <v>42647</v>
      </c>
      <c r="B1044" s="1">
        <v>28.25</v>
      </c>
      <c r="C1044" s="1">
        <v>834.03</v>
      </c>
      <c r="D1044" s="1">
        <v>128.19</v>
      </c>
      <c r="E1044" s="3">
        <f t="shared" si="51"/>
        <v>516.75999999999976</v>
      </c>
      <c r="F1044" s="4">
        <f t="shared" si="49"/>
        <v>12.179999999999836</v>
      </c>
      <c r="G1044" s="4">
        <f t="shared" si="50"/>
        <v>-12.179999999999836</v>
      </c>
    </row>
    <row r="1045" spans="1:7" x14ac:dyDescent="0.3">
      <c r="A1045" s="2">
        <v>42646</v>
      </c>
      <c r="B1045" s="1">
        <v>28.13</v>
      </c>
      <c r="C1045" s="1">
        <v>836.74</v>
      </c>
      <c r="D1045" s="1">
        <v>128.77000000000001</v>
      </c>
      <c r="E1045" s="3">
        <f t="shared" si="51"/>
        <v>504.57999999999993</v>
      </c>
      <c r="F1045" s="4">
        <f t="shared" si="49"/>
        <v>-17.765200000000277</v>
      </c>
      <c r="G1045" s="4">
        <f t="shared" si="50"/>
        <v>17.765200000000277</v>
      </c>
    </row>
    <row r="1046" spans="1:7" x14ac:dyDescent="0.3">
      <c r="A1046" s="2">
        <v>42643</v>
      </c>
      <c r="B1046" s="1">
        <v>28.262499999999999</v>
      </c>
      <c r="C1046" s="1">
        <v>837.31010000000003</v>
      </c>
      <c r="D1046" s="1">
        <v>128.27000000000001</v>
      </c>
      <c r="E1046" s="3">
        <f t="shared" si="51"/>
        <v>522.3452000000002</v>
      </c>
      <c r="F1046" s="4">
        <f t="shared" si="49"/>
        <v>23.795200000000477</v>
      </c>
      <c r="G1046" s="4">
        <f t="shared" si="50"/>
        <v>-23.795200000000477</v>
      </c>
    </row>
    <row r="1047" spans="1:7" x14ac:dyDescent="0.3">
      <c r="A1047" s="2">
        <v>42642</v>
      </c>
      <c r="B1047" s="1">
        <v>28.045000000000002</v>
      </c>
      <c r="C1047" s="1">
        <v>829.05</v>
      </c>
      <c r="D1047" s="1">
        <v>128.09</v>
      </c>
      <c r="E1047" s="3">
        <f t="shared" si="51"/>
        <v>498.54999999999973</v>
      </c>
      <c r="F1047" s="4">
        <f t="shared" si="49"/>
        <v>1.3349999999995816</v>
      </c>
      <c r="G1047" s="4">
        <f t="shared" si="50"/>
        <v>-1.3349999999995816</v>
      </c>
    </row>
    <row r="1048" spans="1:7" x14ac:dyDescent="0.3">
      <c r="A1048" s="2">
        <v>42641</v>
      </c>
      <c r="B1048" s="1">
        <v>28.487500000000001</v>
      </c>
      <c r="C1048" s="1">
        <v>828.72</v>
      </c>
      <c r="D1048" s="1">
        <v>129.22999999999999</v>
      </c>
      <c r="E1048" s="3">
        <f t="shared" si="51"/>
        <v>497.21500000000015</v>
      </c>
      <c r="F1048" s="4">
        <f t="shared" si="49"/>
        <v>25.169800000000578</v>
      </c>
      <c r="G1048" s="4">
        <f t="shared" si="50"/>
        <v>-25.169800000000578</v>
      </c>
    </row>
    <row r="1049" spans="1:7" x14ac:dyDescent="0.3">
      <c r="A1049" s="2">
        <v>42640</v>
      </c>
      <c r="B1049" s="1">
        <v>28.272500000000001</v>
      </c>
      <c r="C1049" s="1">
        <v>816.11009999999999</v>
      </c>
      <c r="D1049" s="1">
        <v>128.69</v>
      </c>
      <c r="E1049" s="3">
        <f t="shared" si="51"/>
        <v>472.04519999999957</v>
      </c>
      <c r="F1049" s="4">
        <f t="shared" si="49"/>
        <v>8.925399999999172</v>
      </c>
      <c r="G1049" s="4">
        <f t="shared" si="50"/>
        <v>-8.925399999999172</v>
      </c>
    </row>
    <row r="1050" spans="1:7" x14ac:dyDescent="0.3">
      <c r="A1050" s="2">
        <v>42639</v>
      </c>
      <c r="B1050" s="1">
        <v>28.22</v>
      </c>
      <c r="C1050" s="1">
        <v>799.15989999999999</v>
      </c>
      <c r="D1050" s="1">
        <v>127.31</v>
      </c>
      <c r="E1050" s="3">
        <f t="shared" si="51"/>
        <v>463.1198000000004</v>
      </c>
      <c r="F1050" s="4">
        <f t="shared" si="49"/>
        <v>1.9448000000002139</v>
      </c>
      <c r="G1050" s="4">
        <f t="shared" si="50"/>
        <v>-1.9448000000002139</v>
      </c>
    </row>
    <row r="1051" spans="1:7" x14ac:dyDescent="0.3">
      <c r="A1051" s="2">
        <v>42636</v>
      </c>
      <c r="B1051" s="1">
        <v>28.177499999999998</v>
      </c>
      <c r="C1051" s="1">
        <v>805.75</v>
      </c>
      <c r="D1051" s="1">
        <v>127.96</v>
      </c>
      <c r="E1051" s="3">
        <f t="shared" si="51"/>
        <v>461.17500000000018</v>
      </c>
      <c r="F1051" s="4">
        <f t="shared" si="49"/>
        <v>20.625000000000455</v>
      </c>
      <c r="G1051" s="4">
        <f t="shared" si="50"/>
        <v>-20.625000000000455</v>
      </c>
    </row>
    <row r="1052" spans="1:7" x14ac:dyDescent="0.3">
      <c r="A1052" s="2">
        <v>42635</v>
      </c>
      <c r="B1052" s="1">
        <v>28.655000000000001</v>
      </c>
      <c r="C1052" s="1">
        <v>804.7</v>
      </c>
      <c r="D1052" s="1">
        <v>130.08000000000001</v>
      </c>
      <c r="E1052" s="3">
        <f t="shared" si="51"/>
        <v>440.54999999999973</v>
      </c>
      <c r="F1052" s="4">
        <f t="shared" si="49"/>
        <v>40.494999999999891</v>
      </c>
      <c r="G1052" s="4">
        <f t="shared" si="50"/>
        <v>-40.494999999999891</v>
      </c>
    </row>
    <row r="1053" spans="1:7" x14ac:dyDescent="0.3">
      <c r="A1053" s="2">
        <v>42634</v>
      </c>
      <c r="B1053" s="1">
        <v>28.387499999999999</v>
      </c>
      <c r="C1053" s="1">
        <v>789.74</v>
      </c>
      <c r="D1053" s="1">
        <v>129.94</v>
      </c>
      <c r="E1053" s="3">
        <f t="shared" si="51"/>
        <v>400.05499999999984</v>
      </c>
      <c r="F1053" s="4">
        <f t="shared" si="49"/>
        <v>-7.2100000000004911</v>
      </c>
      <c r="G1053" s="4">
        <f t="shared" si="50"/>
        <v>7.2100000000004911</v>
      </c>
    </row>
    <row r="1054" spans="1:7" x14ac:dyDescent="0.3">
      <c r="A1054" s="2">
        <v>42633</v>
      </c>
      <c r="B1054" s="1">
        <v>28.392499999999998</v>
      </c>
      <c r="C1054" s="1">
        <v>780.22</v>
      </c>
      <c r="D1054" s="1">
        <v>128.63999999999999</v>
      </c>
      <c r="E1054" s="3">
        <f t="shared" si="51"/>
        <v>407.26500000000033</v>
      </c>
      <c r="F1054" s="4">
        <f t="shared" si="49"/>
        <v>10.314800000000105</v>
      </c>
      <c r="G1054" s="4">
        <f t="shared" si="50"/>
        <v>-10.314800000000105</v>
      </c>
    </row>
    <row r="1055" spans="1:7" x14ac:dyDescent="0.3">
      <c r="A1055" s="2">
        <v>42632</v>
      </c>
      <c r="B1055" s="1">
        <v>28.395</v>
      </c>
      <c r="C1055" s="1">
        <v>775.1001</v>
      </c>
      <c r="D1055" s="1">
        <v>128.65</v>
      </c>
      <c r="E1055" s="3">
        <f t="shared" si="51"/>
        <v>396.95020000000022</v>
      </c>
      <c r="F1055" s="4">
        <f t="shared" si="49"/>
        <v>-15.189800000000105</v>
      </c>
      <c r="G1055" s="4">
        <f t="shared" si="50"/>
        <v>15.189800000000105</v>
      </c>
    </row>
    <row r="1056" spans="1:7" x14ac:dyDescent="0.3">
      <c r="A1056" s="2">
        <v>42629</v>
      </c>
      <c r="B1056" s="1">
        <v>28.73</v>
      </c>
      <c r="C1056" s="1">
        <v>778.52</v>
      </c>
      <c r="D1056" s="1">
        <v>129.07</v>
      </c>
      <c r="E1056" s="3">
        <f t="shared" si="51"/>
        <v>412.14000000000033</v>
      </c>
      <c r="F1056" s="4">
        <f t="shared" si="49"/>
        <v>-4.8647999999993772</v>
      </c>
      <c r="G1056" s="4">
        <f t="shared" si="50"/>
        <v>4.8647999999993772</v>
      </c>
    </row>
    <row r="1057" spans="1:7" x14ac:dyDescent="0.3">
      <c r="A1057" s="2">
        <v>42628</v>
      </c>
      <c r="B1057" s="1">
        <v>28.892499999999998</v>
      </c>
      <c r="C1057" s="1">
        <v>769.68989999999997</v>
      </c>
      <c r="D1057" s="1">
        <v>128.35</v>
      </c>
      <c r="E1057" s="3">
        <f t="shared" si="51"/>
        <v>417.0047999999997</v>
      </c>
      <c r="F1057" s="4">
        <f t="shared" si="49"/>
        <v>53.099600000000009</v>
      </c>
      <c r="G1057" s="4">
        <f t="shared" si="50"/>
        <v>-53.099600000000009</v>
      </c>
    </row>
    <row r="1058" spans="1:7" x14ac:dyDescent="0.3">
      <c r="A1058" s="2">
        <v>42627</v>
      </c>
      <c r="B1058" s="1">
        <v>27.942499999999999</v>
      </c>
      <c r="C1058" s="1">
        <v>761.09010000000001</v>
      </c>
      <c r="D1058" s="1">
        <v>127.77</v>
      </c>
      <c r="E1058" s="3">
        <f t="shared" si="51"/>
        <v>363.9051999999997</v>
      </c>
      <c r="F1058" s="4">
        <f t="shared" si="49"/>
        <v>36.710199999999531</v>
      </c>
      <c r="G1058" s="4">
        <f t="shared" si="50"/>
        <v>-36.710199999999531</v>
      </c>
    </row>
    <row r="1059" spans="1:7" x14ac:dyDescent="0.3">
      <c r="A1059" s="2">
        <v>42626</v>
      </c>
      <c r="B1059" s="1">
        <v>26.987500000000001</v>
      </c>
      <c r="C1059" s="1">
        <v>761.01</v>
      </c>
      <c r="D1059" s="1">
        <v>127.21</v>
      </c>
      <c r="E1059" s="3">
        <f t="shared" si="51"/>
        <v>327.19500000000016</v>
      </c>
      <c r="F1059" s="4">
        <f t="shared" si="49"/>
        <v>40.015000000000327</v>
      </c>
      <c r="G1059" s="4">
        <f t="shared" si="50"/>
        <v>-40.015000000000327</v>
      </c>
    </row>
    <row r="1060" spans="1:7" x14ac:dyDescent="0.3">
      <c r="A1060" s="2">
        <v>42625</v>
      </c>
      <c r="B1060" s="1">
        <v>26.36</v>
      </c>
      <c r="C1060" s="1">
        <v>771.49</v>
      </c>
      <c r="D1060" s="1">
        <v>128.69</v>
      </c>
      <c r="E1060" s="3">
        <f t="shared" si="51"/>
        <v>287.17999999999984</v>
      </c>
      <c r="F1060" s="4">
        <f t="shared" si="49"/>
        <v>19.775199999999586</v>
      </c>
      <c r="G1060" s="4">
        <f t="shared" si="50"/>
        <v>-19.775199999999586</v>
      </c>
    </row>
    <row r="1061" spans="1:7" x14ac:dyDescent="0.3">
      <c r="A1061" s="2">
        <v>42622</v>
      </c>
      <c r="B1061" s="1">
        <v>25.782499999999999</v>
      </c>
      <c r="C1061" s="1">
        <v>760.13990000000001</v>
      </c>
      <c r="D1061" s="1">
        <v>127.1</v>
      </c>
      <c r="E1061" s="3">
        <f t="shared" si="51"/>
        <v>267.40480000000025</v>
      </c>
      <c r="F1061" s="4">
        <f t="shared" si="49"/>
        <v>-14.315399999999954</v>
      </c>
      <c r="G1061" s="4">
        <f t="shared" si="50"/>
        <v>14.315399999999954</v>
      </c>
    </row>
    <row r="1062" spans="1:7" x14ac:dyDescent="0.3">
      <c r="A1062" s="2">
        <v>42621</v>
      </c>
      <c r="B1062" s="1">
        <v>26.38</v>
      </c>
      <c r="C1062" s="1">
        <v>784.06010000000003</v>
      </c>
      <c r="D1062" s="1">
        <v>130.27000000000001</v>
      </c>
      <c r="E1062" s="3">
        <f t="shared" si="51"/>
        <v>281.7202000000002</v>
      </c>
      <c r="F1062" s="4">
        <f t="shared" si="49"/>
        <v>-20.739799999999832</v>
      </c>
      <c r="G1062" s="4">
        <f t="shared" si="50"/>
        <v>20.739799999999832</v>
      </c>
    </row>
    <row r="1063" spans="1:7" x14ac:dyDescent="0.3">
      <c r="A1063" s="2">
        <v>42620</v>
      </c>
      <c r="B1063" s="1">
        <v>27.09</v>
      </c>
      <c r="C1063" s="1">
        <v>784.48</v>
      </c>
      <c r="D1063" s="1">
        <v>131.05000000000001</v>
      </c>
      <c r="E1063" s="3">
        <f t="shared" si="51"/>
        <v>302.46000000000004</v>
      </c>
      <c r="F1063" s="4">
        <f t="shared" si="49"/>
        <v>-26.930200000000241</v>
      </c>
      <c r="G1063" s="4">
        <f t="shared" si="50"/>
        <v>26.930200000000241</v>
      </c>
    </row>
    <row r="1064" spans="1:7" x14ac:dyDescent="0.3">
      <c r="A1064" s="2">
        <v>42619</v>
      </c>
      <c r="B1064" s="1">
        <v>26.925000000000001</v>
      </c>
      <c r="C1064" s="1">
        <v>788.87009999999998</v>
      </c>
      <c r="D1064" s="1">
        <v>129.72999999999999</v>
      </c>
      <c r="E1064" s="3">
        <f t="shared" si="51"/>
        <v>329.39020000000028</v>
      </c>
      <c r="F1064" s="4">
        <f t="shared" si="49"/>
        <v>-31.914599999999155</v>
      </c>
      <c r="G1064" s="4">
        <f t="shared" si="50"/>
        <v>31.914599999999155</v>
      </c>
    </row>
    <row r="1065" spans="1:7" x14ac:dyDescent="0.3">
      <c r="A1065" s="2">
        <v>42618</v>
      </c>
      <c r="B1065" s="1">
        <v>26.932500000000001</v>
      </c>
      <c r="C1065" s="1">
        <v>772.43989999999997</v>
      </c>
      <c r="D1065" s="1">
        <v>126.51</v>
      </c>
      <c r="E1065" s="3">
        <f t="shared" si="51"/>
        <v>361.30479999999943</v>
      </c>
      <c r="F1065" s="4">
        <f t="shared" si="49"/>
        <v>0</v>
      </c>
      <c r="G1065" s="4">
        <f t="shared" si="50"/>
        <v>0</v>
      </c>
    </row>
    <row r="1066" spans="1:7" x14ac:dyDescent="0.3">
      <c r="A1066" s="2">
        <v>42615</v>
      </c>
      <c r="B1066" s="1">
        <v>26.932500000000001</v>
      </c>
      <c r="C1066" s="1">
        <v>772.43989999999997</v>
      </c>
      <c r="D1066" s="1">
        <v>126.51</v>
      </c>
      <c r="E1066" s="3">
        <f t="shared" si="51"/>
        <v>361.30479999999943</v>
      </c>
      <c r="F1066" s="4">
        <f t="shared" si="49"/>
        <v>9.3395999999993364</v>
      </c>
      <c r="G1066" s="4">
        <f t="shared" si="50"/>
        <v>-9.3395999999993364</v>
      </c>
    </row>
    <row r="1067" spans="1:7" x14ac:dyDescent="0.3">
      <c r="A1067" s="2">
        <v>42614</v>
      </c>
      <c r="B1067" s="1">
        <v>26.682500000000001</v>
      </c>
      <c r="C1067" s="1">
        <v>770.62009999999998</v>
      </c>
      <c r="D1067" s="1">
        <v>126.17</v>
      </c>
      <c r="E1067" s="3">
        <f t="shared" si="51"/>
        <v>351.9652000000001</v>
      </c>
      <c r="F1067" s="4">
        <f t="shared" si="49"/>
        <v>9.7953999999999724</v>
      </c>
      <c r="G1067" s="4">
        <f t="shared" si="50"/>
        <v>-9.7953999999999724</v>
      </c>
    </row>
    <row r="1068" spans="1:7" x14ac:dyDescent="0.3">
      <c r="A1068" s="2">
        <v>42613</v>
      </c>
      <c r="B1068" s="1">
        <v>26.524999999999999</v>
      </c>
      <c r="C1068" s="1">
        <v>769.15989999999999</v>
      </c>
      <c r="D1068" s="1">
        <v>126.12</v>
      </c>
      <c r="E1068" s="3">
        <f t="shared" si="51"/>
        <v>342.16980000000012</v>
      </c>
      <c r="F1068" s="4">
        <f t="shared" si="49"/>
        <v>-1.1903999999999542</v>
      </c>
      <c r="G1068" s="4">
        <f t="shared" si="50"/>
        <v>1.1903999999999542</v>
      </c>
    </row>
    <row r="1069" spans="1:7" x14ac:dyDescent="0.3">
      <c r="A1069" s="2">
        <v>42612</v>
      </c>
      <c r="B1069" s="1">
        <v>26.5</v>
      </c>
      <c r="C1069" s="1">
        <v>767.58010000000002</v>
      </c>
      <c r="D1069" s="1">
        <v>125.84</v>
      </c>
      <c r="E1069" s="3">
        <f t="shared" si="51"/>
        <v>343.36020000000008</v>
      </c>
      <c r="F1069" s="4">
        <f t="shared" si="49"/>
        <v>-3.6697999999996682</v>
      </c>
      <c r="G1069" s="4">
        <f t="shared" si="50"/>
        <v>3.6697999999996682</v>
      </c>
    </row>
    <row r="1070" spans="1:7" x14ac:dyDescent="0.3">
      <c r="A1070" s="2">
        <v>42611</v>
      </c>
      <c r="B1070" s="1">
        <v>26.704999999999998</v>
      </c>
      <c r="C1070" s="1">
        <v>771.29</v>
      </c>
      <c r="D1070" s="1">
        <v>126.54</v>
      </c>
      <c r="E1070" s="3">
        <f t="shared" si="51"/>
        <v>347.02999999999975</v>
      </c>
      <c r="F1070" s="4">
        <f t="shared" si="49"/>
        <v>-28.520000000000437</v>
      </c>
      <c r="G1070" s="4">
        <f t="shared" si="50"/>
        <v>28.520000000000437</v>
      </c>
    </row>
    <row r="1071" spans="1:7" x14ac:dyDescent="0.3">
      <c r="A1071" s="2">
        <v>42608</v>
      </c>
      <c r="B1071" s="1">
        <v>26.734999999999999</v>
      </c>
      <c r="C1071" s="1">
        <v>769</v>
      </c>
      <c r="D1071" s="1">
        <v>124.96</v>
      </c>
      <c r="E1071" s="3">
        <f t="shared" si="51"/>
        <v>375.55000000000018</v>
      </c>
      <c r="F1071" s="4">
        <f t="shared" si="49"/>
        <v>-9.7149999999996908</v>
      </c>
      <c r="G1071" s="4">
        <f t="shared" si="50"/>
        <v>9.7149999999996908</v>
      </c>
    </row>
    <row r="1072" spans="1:7" x14ac:dyDescent="0.3">
      <c r="A1072" s="2">
        <v>42607</v>
      </c>
      <c r="B1072" s="1">
        <v>26.892499999999998</v>
      </c>
      <c r="C1072" s="1">
        <v>759.22</v>
      </c>
      <c r="D1072" s="1">
        <v>123.89</v>
      </c>
      <c r="E1072" s="3">
        <f t="shared" si="51"/>
        <v>385.26499999999987</v>
      </c>
      <c r="F1072" s="4">
        <f t="shared" si="49"/>
        <v>-10.010000000000218</v>
      </c>
      <c r="G1072" s="4">
        <f t="shared" si="50"/>
        <v>10.010000000000218</v>
      </c>
    </row>
    <row r="1073" spans="1:7" x14ac:dyDescent="0.3">
      <c r="A1073" s="2">
        <v>42606</v>
      </c>
      <c r="B1073" s="1">
        <v>27.0075</v>
      </c>
      <c r="C1073" s="1">
        <v>757.25</v>
      </c>
      <c r="D1073" s="1">
        <v>123.48</v>
      </c>
      <c r="E1073" s="3">
        <f t="shared" si="51"/>
        <v>395.27500000000009</v>
      </c>
      <c r="F1073" s="4">
        <f t="shared" si="49"/>
        <v>-2.8499999999999091</v>
      </c>
      <c r="G1073" s="4">
        <f t="shared" si="50"/>
        <v>2.8499999999999091</v>
      </c>
    </row>
    <row r="1074" spans="1:7" x14ac:dyDescent="0.3">
      <c r="A1074" s="2">
        <v>42605</v>
      </c>
      <c r="B1074" s="1">
        <v>27.212499999999999</v>
      </c>
      <c r="C1074" s="1">
        <v>762.45</v>
      </c>
      <c r="D1074" s="1">
        <v>124.37</v>
      </c>
      <c r="E1074" s="3">
        <f t="shared" si="51"/>
        <v>398.125</v>
      </c>
      <c r="F1074" s="4">
        <f t="shared" si="49"/>
        <v>5.7899999999999636</v>
      </c>
      <c r="G1074" s="4">
        <f t="shared" si="50"/>
        <v>-5.7899999999999636</v>
      </c>
    </row>
    <row r="1075" spans="1:7" x14ac:dyDescent="0.3">
      <c r="A1075" s="2">
        <v>42604</v>
      </c>
      <c r="B1075" s="1">
        <v>27.127500000000001</v>
      </c>
      <c r="C1075" s="1">
        <v>759.48</v>
      </c>
      <c r="D1075" s="1">
        <v>124.15</v>
      </c>
      <c r="E1075" s="3">
        <f t="shared" si="51"/>
        <v>392.33500000000004</v>
      </c>
      <c r="F1075" s="4">
        <f t="shared" si="49"/>
        <v>-18.085200000000441</v>
      </c>
      <c r="G1075" s="4">
        <f t="shared" si="50"/>
        <v>18.085200000000441</v>
      </c>
    </row>
    <row r="1076" spans="1:7" x14ac:dyDescent="0.3">
      <c r="A1076" s="2">
        <v>42601</v>
      </c>
      <c r="B1076" s="1">
        <v>27.34</v>
      </c>
      <c r="C1076" s="1">
        <v>757.31010000000003</v>
      </c>
      <c r="D1076" s="1">
        <v>123.56</v>
      </c>
      <c r="E1076" s="3">
        <f t="shared" si="51"/>
        <v>410.42020000000048</v>
      </c>
      <c r="F1076" s="4">
        <f t="shared" si="49"/>
        <v>-3.7997999999997774</v>
      </c>
      <c r="G1076" s="4">
        <f t="shared" si="50"/>
        <v>3.7997999999997774</v>
      </c>
    </row>
    <row r="1077" spans="1:7" x14ac:dyDescent="0.3">
      <c r="A1077" s="2">
        <v>42600</v>
      </c>
      <c r="B1077" s="1">
        <v>27.27</v>
      </c>
      <c r="C1077" s="1">
        <v>764.46</v>
      </c>
      <c r="D1077" s="1">
        <v>123.91</v>
      </c>
      <c r="E1077" s="3">
        <f t="shared" si="51"/>
        <v>414.22000000000025</v>
      </c>
      <c r="F1077" s="4">
        <f t="shared" si="49"/>
        <v>7.1102000000005319</v>
      </c>
      <c r="G1077" s="4">
        <f t="shared" si="50"/>
        <v>-7.1102000000005319</v>
      </c>
    </row>
    <row r="1078" spans="1:7" x14ac:dyDescent="0.3">
      <c r="A1078" s="2">
        <v>42599</v>
      </c>
      <c r="B1078" s="1">
        <v>27.305</v>
      </c>
      <c r="C1078" s="1">
        <v>764.62990000000002</v>
      </c>
      <c r="D1078" s="1">
        <v>124.37</v>
      </c>
      <c r="E1078" s="3">
        <f t="shared" si="51"/>
        <v>407.10979999999972</v>
      </c>
      <c r="F1078" s="4">
        <f t="shared" si="49"/>
        <v>-22.220200000000204</v>
      </c>
      <c r="G1078" s="4">
        <f t="shared" si="50"/>
        <v>22.220200000000204</v>
      </c>
    </row>
    <row r="1079" spans="1:7" x14ac:dyDescent="0.3">
      <c r="A1079" s="2">
        <v>42598</v>
      </c>
      <c r="B1079" s="1">
        <v>27.344999999999999</v>
      </c>
      <c r="C1079" s="1">
        <v>764.04</v>
      </c>
      <c r="D1079" s="1">
        <v>123.3</v>
      </c>
      <c r="E1079" s="3">
        <f t="shared" si="51"/>
        <v>429.32999999999993</v>
      </c>
      <c r="F1079" s="4">
        <f t="shared" si="49"/>
        <v>1.8499999999999091</v>
      </c>
      <c r="G1079" s="4">
        <f t="shared" si="50"/>
        <v>-1.8499999999999091</v>
      </c>
    </row>
    <row r="1080" spans="1:7" x14ac:dyDescent="0.3">
      <c r="A1080" s="2">
        <v>42597</v>
      </c>
      <c r="B1080" s="1">
        <v>27.37</v>
      </c>
      <c r="C1080" s="1">
        <v>768.49</v>
      </c>
      <c r="D1080" s="1">
        <v>123.9</v>
      </c>
      <c r="E1080" s="3">
        <f t="shared" si="51"/>
        <v>427.48</v>
      </c>
      <c r="F1080" s="4">
        <f t="shared" si="49"/>
        <v>27.709799999999632</v>
      </c>
      <c r="G1080" s="4">
        <f t="shared" si="50"/>
        <v>-27.709799999999632</v>
      </c>
    </row>
    <row r="1081" spans="1:7" x14ac:dyDescent="0.3">
      <c r="A1081" s="2">
        <v>42594</v>
      </c>
      <c r="B1081" s="1">
        <v>27.045000000000002</v>
      </c>
      <c r="C1081" s="1">
        <v>772.56010000000003</v>
      </c>
      <c r="D1081" s="1">
        <v>124.88</v>
      </c>
      <c r="E1081" s="3">
        <f t="shared" si="51"/>
        <v>399.77020000000039</v>
      </c>
      <c r="F1081" s="4">
        <f t="shared" si="49"/>
        <v>6.1652000000003682</v>
      </c>
      <c r="G1081" s="4">
        <f t="shared" si="50"/>
        <v>-6.1652000000003682</v>
      </c>
    </row>
    <row r="1082" spans="1:7" x14ac:dyDescent="0.3">
      <c r="A1082" s="2">
        <v>42593</v>
      </c>
      <c r="B1082" s="1">
        <v>26.982500000000002</v>
      </c>
      <c r="C1082" s="1">
        <v>771.24</v>
      </c>
      <c r="D1082" s="1">
        <v>124.9</v>
      </c>
      <c r="E1082" s="3">
        <f t="shared" si="51"/>
        <v>393.60500000000002</v>
      </c>
      <c r="F1082" s="4">
        <f t="shared" si="49"/>
        <v>4.0847999999996318</v>
      </c>
      <c r="G1082" s="4">
        <f t="shared" si="50"/>
        <v>-4.0847999999996318</v>
      </c>
    </row>
    <row r="1083" spans="1:7" x14ac:dyDescent="0.3">
      <c r="A1083" s="2">
        <v>42592</v>
      </c>
      <c r="B1083" s="1">
        <v>27</v>
      </c>
      <c r="C1083" s="1">
        <v>768.56010000000003</v>
      </c>
      <c r="D1083" s="1">
        <v>124.88</v>
      </c>
      <c r="E1083" s="3">
        <f t="shared" si="51"/>
        <v>389.52020000000039</v>
      </c>
      <c r="F1083" s="4">
        <f t="shared" si="49"/>
        <v>-6.0250000000000909</v>
      </c>
      <c r="G1083" s="4">
        <f t="shared" si="50"/>
        <v>6.0250000000000909</v>
      </c>
    </row>
    <row r="1084" spans="1:7" x14ac:dyDescent="0.3">
      <c r="A1084" s="2">
        <v>42591</v>
      </c>
      <c r="B1084" s="1">
        <v>27.202500000000001</v>
      </c>
      <c r="C1084" s="1">
        <v>768.31010000000003</v>
      </c>
      <c r="D1084" s="1">
        <v>125.06</v>
      </c>
      <c r="E1084" s="3">
        <f t="shared" si="51"/>
        <v>395.54520000000048</v>
      </c>
      <c r="F1084" s="4">
        <f t="shared" si="49"/>
        <v>13.000000000000455</v>
      </c>
      <c r="G1084" s="4">
        <f t="shared" si="50"/>
        <v>-13.000000000000455</v>
      </c>
    </row>
    <row r="1085" spans="1:7" x14ac:dyDescent="0.3">
      <c r="A1085" s="2">
        <v>42590</v>
      </c>
      <c r="B1085" s="1">
        <v>27.092500000000001</v>
      </c>
      <c r="C1085" s="1">
        <v>766.56010000000003</v>
      </c>
      <c r="D1085" s="1">
        <v>125.26</v>
      </c>
      <c r="E1085" s="3">
        <f t="shared" si="51"/>
        <v>382.54520000000002</v>
      </c>
      <c r="F1085" s="4">
        <f t="shared" si="49"/>
        <v>10.085199999999986</v>
      </c>
      <c r="G1085" s="4">
        <f t="shared" si="50"/>
        <v>-10.085199999999986</v>
      </c>
    </row>
    <row r="1086" spans="1:7" x14ac:dyDescent="0.3">
      <c r="A1086" s="2">
        <v>42587</v>
      </c>
      <c r="B1086" s="1">
        <v>26.87</v>
      </c>
      <c r="C1086" s="1">
        <v>765.98</v>
      </c>
      <c r="D1086" s="1">
        <v>125.15</v>
      </c>
      <c r="E1086" s="3">
        <f t="shared" si="51"/>
        <v>372.46000000000004</v>
      </c>
      <c r="F1086" s="4">
        <f t="shared" si="49"/>
        <v>14.744999999999891</v>
      </c>
      <c r="G1086" s="4">
        <f t="shared" si="50"/>
        <v>-14.744999999999891</v>
      </c>
    </row>
    <row r="1087" spans="1:7" x14ac:dyDescent="0.3">
      <c r="A1087" s="2">
        <v>42586</v>
      </c>
      <c r="B1087" s="1">
        <v>26.467500000000001</v>
      </c>
      <c r="C1087" s="1">
        <v>760.77</v>
      </c>
      <c r="D1087" s="1">
        <v>124.36</v>
      </c>
      <c r="E1087" s="3">
        <f t="shared" si="51"/>
        <v>357.71500000000015</v>
      </c>
      <c r="F1087" s="4">
        <f t="shared" si="49"/>
        <v>-23.739799999999832</v>
      </c>
      <c r="G1087" s="4">
        <f t="shared" si="50"/>
        <v>23.739799999999832</v>
      </c>
    </row>
    <row r="1088" spans="1:7" x14ac:dyDescent="0.3">
      <c r="A1088" s="2">
        <v>42585</v>
      </c>
      <c r="B1088" s="1">
        <v>26.447500000000002</v>
      </c>
      <c r="C1088" s="1">
        <v>754.63990000000001</v>
      </c>
      <c r="D1088" s="1">
        <v>122.51</v>
      </c>
      <c r="E1088" s="3">
        <f t="shared" si="51"/>
        <v>381.45479999999998</v>
      </c>
      <c r="F1088" s="4">
        <f t="shared" si="49"/>
        <v>16.0945999999999</v>
      </c>
      <c r="G1088" s="4">
        <f t="shared" si="50"/>
        <v>-16.0945999999999</v>
      </c>
    </row>
    <row r="1089" spans="1:7" x14ac:dyDescent="0.3">
      <c r="A1089" s="2">
        <v>42584</v>
      </c>
      <c r="B1089" s="1">
        <v>26.12</v>
      </c>
      <c r="C1089" s="1">
        <v>760.58010000000002</v>
      </c>
      <c r="D1089" s="1">
        <v>123.09</v>
      </c>
      <c r="E1089" s="3">
        <f t="shared" si="51"/>
        <v>365.36020000000008</v>
      </c>
      <c r="F1089" s="4">
        <f t="shared" si="49"/>
        <v>-9.544800000000123</v>
      </c>
      <c r="G1089" s="4">
        <f t="shared" si="50"/>
        <v>9.544800000000123</v>
      </c>
    </row>
    <row r="1090" spans="1:7" x14ac:dyDescent="0.3">
      <c r="A1090" s="2">
        <v>42583</v>
      </c>
      <c r="B1090" s="1">
        <v>26.512499999999999</v>
      </c>
      <c r="C1090" s="1">
        <v>767.74</v>
      </c>
      <c r="D1090" s="1">
        <v>124.31</v>
      </c>
      <c r="E1090" s="3">
        <f t="shared" si="51"/>
        <v>374.9050000000002</v>
      </c>
      <c r="F1090" s="4">
        <f t="shared" si="49"/>
        <v>33.459800000000087</v>
      </c>
      <c r="G1090" s="4">
        <f t="shared" si="50"/>
        <v>-33.459800000000087</v>
      </c>
    </row>
    <row r="1091" spans="1:7" x14ac:dyDescent="0.3">
      <c r="A1091" s="2">
        <v>42580</v>
      </c>
      <c r="B1091" s="1">
        <v>26.052499999999998</v>
      </c>
      <c r="C1091" s="1">
        <v>758.81010000000003</v>
      </c>
      <c r="D1091" s="1">
        <v>123.94</v>
      </c>
      <c r="E1091" s="3">
        <f t="shared" si="51"/>
        <v>341.44520000000011</v>
      </c>
      <c r="F1091" s="4">
        <f t="shared" si="49"/>
        <v>31.975000000000364</v>
      </c>
      <c r="G1091" s="4">
        <f t="shared" si="50"/>
        <v>-31.975000000000364</v>
      </c>
    </row>
    <row r="1092" spans="1:7" x14ac:dyDescent="0.3">
      <c r="A1092" s="2">
        <v>42579</v>
      </c>
      <c r="B1092" s="1">
        <v>26.085000000000001</v>
      </c>
      <c r="C1092" s="1">
        <v>752.61009999999999</v>
      </c>
      <c r="D1092" s="1">
        <v>125</v>
      </c>
      <c r="E1092" s="3">
        <f t="shared" si="51"/>
        <v>309.47019999999975</v>
      </c>
      <c r="F1092" s="4">
        <f t="shared" si="49"/>
        <v>16.055400000000191</v>
      </c>
      <c r="G1092" s="4">
        <f t="shared" si="50"/>
        <v>-16.055400000000191</v>
      </c>
    </row>
    <row r="1093" spans="1:7" x14ac:dyDescent="0.3">
      <c r="A1093" s="2">
        <v>42578</v>
      </c>
      <c r="B1093" s="1">
        <v>25.737500000000001</v>
      </c>
      <c r="C1093" s="1">
        <v>736.66989999999998</v>
      </c>
      <c r="D1093" s="1">
        <v>123.34</v>
      </c>
      <c r="E1093" s="3">
        <f t="shared" si="51"/>
        <v>293.41479999999956</v>
      </c>
      <c r="F1093" s="4">
        <f t="shared" ref="F1093:F1156" si="52">E1093-E1094</f>
        <v>38.259599999999864</v>
      </c>
      <c r="G1093" s="4">
        <f t="shared" ref="G1093:G1156" si="53">-F1093</f>
        <v>-38.259599999999864</v>
      </c>
    </row>
    <row r="1094" spans="1:7" x14ac:dyDescent="0.3">
      <c r="A1094" s="2">
        <v>42577</v>
      </c>
      <c r="B1094" s="1">
        <v>24.1675</v>
      </c>
      <c r="C1094" s="1">
        <v>735.59010000000001</v>
      </c>
      <c r="D1094" s="1">
        <v>121.22</v>
      </c>
      <c r="E1094" s="3">
        <f t="shared" ref="E1094:E1157" si="54">50*B1094+2*C1094-20*D1094</f>
        <v>255.1551999999997</v>
      </c>
      <c r="F1094" s="4">
        <f t="shared" si="52"/>
        <v>-8.2150000000001455</v>
      </c>
      <c r="G1094" s="4">
        <f t="shared" si="53"/>
        <v>8.2150000000001455</v>
      </c>
    </row>
    <row r="1095" spans="1:7" x14ac:dyDescent="0.3">
      <c r="A1095" s="2">
        <v>42576</v>
      </c>
      <c r="B1095" s="1">
        <v>24.335000000000001</v>
      </c>
      <c r="C1095" s="1">
        <v>739.61009999999999</v>
      </c>
      <c r="D1095" s="1">
        <v>121.63</v>
      </c>
      <c r="E1095" s="3">
        <f t="shared" si="54"/>
        <v>263.37019999999984</v>
      </c>
      <c r="F1095" s="4">
        <f t="shared" si="52"/>
        <v>-39.599999999999909</v>
      </c>
      <c r="G1095" s="4">
        <f t="shared" si="53"/>
        <v>39.599999999999909</v>
      </c>
    </row>
    <row r="1096" spans="1:7" x14ac:dyDescent="0.3">
      <c r="A1096" s="2">
        <v>42573</v>
      </c>
      <c r="B1096" s="1">
        <v>24.664999999999999</v>
      </c>
      <c r="C1096" s="1">
        <v>744.86009999999999</v>
      </c>
      <c r="D1096" s="1">
        <v>121</v>
      </c>
      <c r="E1096" s="3">
        <f t="shared" si="54"/>
        <v>302.97019999999975</v>
      </c>
      <c r="F1096" s="4">
        <f t="shared" si="52"/>
        <v>-16.56460000000061</v>
      </c>
      <c r="G1096" s="4">
        <f t="shared" si="53"/>
        <v>16.56460000000061</v>
      </c>
    </row>
    <row r="1097" spans="1:7" x14ac:dyDescent="0.3">
      <c r="A1097" s="2">
        <v>42572</v>
      </c>
      <c r="B1097" s="1">
        <v>24.857500000000002</v>
      </c>
      <c r="C1097" s="1">
        <v>744.42989999999998</v>
      </c>
      <c r="D1097" s="1">
        <v>120.61</v>
      </c>
      <c r="E1097" s="3">
        <f t="shared" si="54"/>
        <v>319.53480000000036</v>
      </c>
      <c r="F1097" s="4">
        <f t="shared" si="52"/>
        <v>16.994800000000396</v>
      </c>
      <c r="G1097" s="4">
        <f t="shared" si="53"/>
        <v>-16.994800000000396</v>
      </c>
    </row>
    <row r="1098" spans="1:7" x14ac:dyDescent="0.3">
      <c r="A1098" s="2">
        <v>42571</v>
      </c>
      <c r="B1098" s="1">
        <v>24.99</v>
      </c>
      <c r="C1098" s="1">
        <v>745.72</v>
      </c>
      <c r="D1098" s="1">
        <v>121.92</v>
      </c>
      <c r="E1098" s="3">
        <f t="shared" si="54"/>
        <v>302.53999999999996</v>
      </c>
      <c r="F1098" s="4">
        <f t="shared" si="52"/>
        <v>-13.535000000000309</v>
      </c>
      <c r="G1098" s="4">
        <f t="shared" si="53"/>
        <v>13.535000000000309</v>
      </c>
    </row>
    <row r="1099" spans="1:7" x14ac:dyDescent="0.3">
      <c r="A1099" s="2">
        <v>42570</v>
      </c>
      <c r="B1099" s="1">
        <v>24.967500000000001</v>
      </c>
      <c r="C1099" s="1">
        <v>739.95</v>
      </c>
      <c r="D1099" s="1">
        <v>120.61</v>
      </c>
      <c r="E1099" s="3">
        <f t="shared" si="54"/>
        <v>316.07500000000027</v>
      </c>
      <c r="F1099" s="4">
        <f t="shared" si="52"/>
        <v>-16.540199999999459</v>
      </c>
      <c r="G1099" s="4">
        <f t="shared" si="53"/>
        <v>16.540199999999459</v>
      </c>
    </row>
    <row r="1100" spans="1:7" x14ac:dyDescent="0.3">
      <c r="A1100" s="2">
        <v>42569</v>
      </c>
      <c r="B1100" s="1">
        <v>24.9575</v>
      </c>
      <c r="C1100" s="1">
        <v>736.07010000000002</v>
      </c>
      <c r="D1100" s="1">
        <v>119.37</v>
      </c>
      <c r="E1100" s="3">
        <f t="shared" si="54"/>
        <v>332.61519999999973</v>
      </c>
      <c r="F1100" s="4">
        <f t="shared" si="52"/>
        <v>-35.814600000000155</v>
      </c>
      <c r="G1100" s="4">
        <f t="shared" si="53"/>
        <v>35.814600000000155</v>
      </c>
    </row>
    <row r="1101" spans="1:7" x14ac:dyDescent="0.3">
      <c r="A1101" s="2">
        <v>42566</v>
      </c>
      <c r="B1101" s="1">
        <v>24.695</v>
      </c>
      <c r="C1101" s="1">
        <v>735.43989999999997</v>
      </c>
      <c r="D1101" s="1">
        <v>116.86</v>
      </c>
      <c r="E1101" s="3">
        <f t="shared" si="54"/>
        <v>368.42979999999989</v>
      </c>
      <c r="F1101" s="4">
        <f t="shared" si="52"/>
        <v>-3.0452000000000226</v>
      </c>
      <c r="G1101" s="4">
        <f t="shared" si="53"/>
        <v>3.0452000000000226</v>
      </c>
    </row>
    <row r="1102" spans="1:7" x14ac:dyDescent="0.3">
      <c r="A1102" s="2">
        <v>42565</v>
      </c>
      <c r="B1102" s="1">
        <v>24.697500000000002</v>
      </c>
      <c r="C1102" s="1">
        <v>741.2</v>
      </c>
      <c r="D1102" s="1">
        <v>117.29</v>
      </c>
      <c r="E1102" s="3">
        <f t="shared" si="54"/>
        <v>371.47499999999991</v>
      </c>
      <c r="F1102" s="4">
        <f t="shared" si="52"/>
        <v>10.940200000000004</v>
      </c>
      <c r="G1102" s="4">
        <f t="shared" si="53"/>
        <v>-10.940200000000004</v>
      </c>
    </row>
    <row r="1103" spans="1:7" x14ac:dyDescent="0.3">
      <c r="A1103" s="2">
        <v>42564</v>
      </c>
      <c r="B1103" s="1">
        <v>24.217500000000001</v>
      </c>
      <c r="C1103" s="1">
        <v>742.62990000000002</v>
      </c>
      <c r="D1103" s="1">
        <v>116.78</v>
      </c>
      <c r="E1103" s="3">
        <f t="shared" si="54"/>
        <v>360.5347999999999</v>
      </c>
      <c r="F1103" s="4">
        <f t="shared" si="52"/>
        <v>4.9648000000001957</v>
      </c>
      <c r="G1103" s="4">
        <f t="shared" si="53"/>
        <v>-4.9648000000001957</v>
      </c>
    </row>
    <row r="1104" spans="1:7" x14ac:dyDescent="0.3">
      <c r="A1104" s="2">
        <v>42563</v>
      </c>
      <c r="B1104" s="1">
        <v>24.355</v>
      </c>
      <c r="C1104" s="1">
        <v>748.21</v>
      </c>
      <c r="D1104" s="1">
        <v>117.93</v>
      </c>
      <c r="E1104" s="3">
        <f t="shared" si="54"/>
        <v>355.56999999999971</v>
      </c>
      <c r="F1104" s="4">
        <f t="shared" si="52"/>
        <v>-6.8400000000001455</v>
      </c>
      <c r="G1104" s="4">
        <f t="shared" si="53"/>
        <v>6.8400000000001455</v>
      </c>
    </row>
    <row r="1105" spans="1:7" x14ac:dyDescent="0.3">
      <c r="A1105" s="2">
        <v>42562</v>
      </c>
      <c r="B1105" s="1">
        <v>24.245000000000001</v>
      </c>
      <c r="C1105" s="1">
        <v>753.78</v>
      </c>
      <c r="D1105" s="1">
        <v>117.87</v>
      </c>
      <c r="E1105" s="3">
        <f t="shared" si="54"/>
        <v>362.40999999999985</v>
      </c>
      <c r="F1105" s="4">
        <f t="shared" si="52"/>
        <v>7.0897999999992862</v>
      </c>
      <c r="G1105" s="4">
        <f t="shared" si="53"/>
        <v>-7.0897999999992862</v>
      </c>
    </row>
    <row r="1106" spans="1:7" x14ac:dyDescent="0.3">
      <c r="A1106" s="2">
        <v>42559</v>
      </c>
      <c r="B1106" s="1">
        <v>24.17</v>
      </c>
      <c r="C1106" s="1">
        <v>745.81010000000003</v>
      </c>
      <c r="D1106" s="1">
        <v>117.24</v>
      </c>
      <c r="E1106" s="3">
        <f t="shared" si="54"/>
        <v>355.32020000000057</v>
      </c>
      <c r="F1106" s="4">
        <f t="shared" si="52"/>
        <v>-6.9999999999254214E-2</v>
      </c>
      <c r="G1106" s="4">
        <f t="shared" si="53"/>
        <v>6.9999999999254214E-2</v>
      </c>
    </row>
    <row r="1107" spans="1:7" x14ac:dyDescent="0.3">
      <c r="A1107" s="2">
        <v>42558</v>
      </c>
      <c r="B1107" s="1">
        <v>23.984999999999999</v>
      </c>
      <c r="C1107" s="1">
        <v>736.57010000000002</v>
      </c>
      <c r="D1107" s="1">
        <v>115.85</v>
      </c>
      <c r="E1107" s="3">
        <f t="shared" si="54"/>
        <v>355.39019999999982</v>
      </c>
      <c r="F1107" s="4">
        <f t="shared" si="52"/>
        <v>20.045000000000073</v>
      </c>
      <c r="G1107" s="4">
        <f t="shared" si="53"/>
        <v>-20.045000000000073</v>
      </c>
    </row>
    <row r="1108" spans="1:7" x14ac:dyDescent="0.3">
      <c r="A1108" s="2">
        <v>42557</v>
      </c>
      <c r="B1108" s="1">
        <v>23.8825</v>
      </c>
      <c r="C1108" s="1">
        <v>737.61009999999999</v>
      </c>
      <c r="D1108" s="1">
        <v>116.7</v>
      </c>
      <c r="E1108" s="3">
        <f t="shared" si="54"/>
        <v>335.34519999999975</v>
      </c>
      <c r="F1108" s="4">
        <f t="shared" si="52"/>
        <v>-28.230000000000473</v>
      </c>
      <c r="G1108" s="4">
        <f t="shared" si="53"/>
        <v>28.230000000000473</v>
      </c>
    </row>
    <row r="1109" spans="1:7" x14ac:dyDescent="0.3">
      <c r="A1109" s="2">
        <v>42556</v>
      </c>
      <c r="B1109" s="1">
        <v>23.747499999999999</v>
      </c>
      <c r="C1109" s="1">
        <v>728.1001</v>
      </c>
      <c r="D1109" s="1">
        <v>114</v>
      </c>
      <c r="E1109" s="3">
        <f t="shared" si="54"/>
        <v>363.57520000000022</v>
      </c>
      <c r="F1109" s="4">
        <f t="shared" si="52"/>
        <v>-2.609599999999773</v>
      </c>
      <c r="G1109" s="4">
        <f t="shared" si="53"/>
        <v>2.609599999999773</v>
      </c>
    </row>
    <row r="1110" spans="1:7" x14ac:dyDescent="0.3">
      <c r="A1110" s="2">
        <v>42555</v>
      </c>
      <c r="B1110" s="1">
        <v>23.9725</v>
      </c>
      <c r="C1110" s="1">
        <v>725.67989999999998</v>
      </c>
      <c r="D1110" s="1">
        <v>114.19</v>
      </c>
      <c r="E1110" s="3">
        <f t="shared" si="54"/>
        <v>366.1848</v>
      </c>
      <c r="F1110" s="4">
        <f t="shared" si="52"/>
        <v>0</v>
      </c>
      <c r="G1110" s="4">
        <f t="shared" si="53"/>
        <v>0</v>
      </c>
    </row>
    <row r="1111" spans="1:7" x14ac:dyDescent="0.3">
      <c r="A1111" s="2">
        <v>42552</v>
      </c>
      <c r="B1111" s="1">
        <v>23.9725</v>
      </c>
      <c r="C1111" s="1">
        <v>725.67989999999998</v>
      </c>
      <c r="D1111" s="1">
        <v>114.19</v>
      </c>
      <c r="E1111" s="3">
        <f t="shared" si="54"/>
        <v>366.1848</v>
      </c>
      <c r="F1111" s="4">
        <f t="shared" si="52"/>
        <v>25.544599999999718</v>
      </c>
      <c r="G1111" s="4">
        <f t="shared" si="53"/>
        <v>-25.544599999999718</v>
      </c>
    </row>
    <row r="1112" spans="1:7" x14ac:dyDescent="0.3">
      <c r="A1112" s="2">
        <v>42551</v>
      </c>
      <c r="B1112" s="1">
        <v>23.9</v>
      </c>
      <c r="C1112" s="1">
        <v>715.62009999999998</v>
      </c>
      <c r="D1112" s="1">
        <v>114.28</v>
      </c>
      <c r="E1112" s="3">
        <f t="shared" si="54"/>
        <v>340.64020000000028</v>
      </c>
      <c r="F1112" s="4">
        <f t="shared" si="52"/>
        <v>12.639999999999873</v>
      </c>
      <c r="G1112" s="4">
        <f t="shared" si="53"/>
        <v>-12.639999999999873</v>
      </c>
    </row>
    <row r="1113" spans="1:7" x14ac:dyDescent="0.3">
      <c r="A1113" s="2">
        <v>42550</v>
      </c>
      <c r="B1113" s="1">
        <v>23.6</v>
      </c>
      <c r="C1113" s="1">
        <v>715.6001</v>
      </c>
      <c r="D1113" s="1">
        <v>114.16</v>
      </c>
      <c r="E1113" s="3">
        <f t="shared" si="54"/>
        <v>328.0002000000004</v>
      </c>
      <c r="F1113" s="4">
        <f t="shared" si="52"/>
        <v>-3.7747999999996864</v>
      </c>
      <c r="G1113" s="4">
        <f t="shared" si="53"/>
        <v>3.7747999999996864</v>
      </c>
    </row>
    <row r="1114" spans="1:7" x14ac:dyDescent="0.3">
      <c r="A1114" s="2">
        <v>42549</v>
      </c>
      <c r="B1114" s="1">
        <v>23.397500000000001</v>
      </c>
      <c r="C1114" s="1">
        <v>707.95</v>
      </c>
      <c r="D1114" s="1">
        <v>112.7</v>
      </c>
      <c r="E1114" s="3">
        <f t="shared" si="54"/>
        <v>331.77500000000009</v>
      </c>
      <c r="F1114" s="4">
        <f t="shared" si="52"/>
        <v>-22.045199999999568</v>
      </c>
      <c r="G1114" s="4">
        <f t="shared" si="53"/>
        <v>22.045199999999568</v>
      </c>
    </row>
    <row r="1115" spans="1:7" x14ac:dyDescent="0.3">
      <c r="A1115" s="2">
        <v>42548</v>
      </c>
      <c r="B1115" s="1">
        <v>23.01</v>
      </c>
      <c r="C1115" s="1">
        <v>691.36009999999999</v>
      </c>
      <c r="D1115" s="1">
        <v>108.97</v>
      </c>
      <c r="E1115" s="3">
        <f t="shared" si="54"/>
        <v>353.82019999999966</v>
      </c>
      <c r="F1115" s="4">
        <f t="shared" si="52"/>
        <v>30.000199999999495</v>
      </c>
      <c r="G1115" s="4">
        <f t="shared" si="53"/>
        <v>-30.000199999999495</v>
      </c>
    </row>
    <row r="1116" spans="1:7" x14ac:dyDescent="0.3">
      <c r="A1116" s="2">
        <v>42545</v>
      </c>
      <c r="B1116" s="1">
        <v>23.35</v>
      </c>
      <c r="C1116" s="1">
        <v>698.96</v>
      </c>
      <c r="D1116" s="1">
        <v>112.08</v>
      </c>
      <c r="E1116" s="3">
        <f t="shared" si="54"/>
        <v>323.82000000000016</v>
      </c>
      <c r="F1116" s="4">
        <f t="shared" si="52"/>
        <v>-19.990200000000186</v>
      </c>
      <c r="G1116" s="4">
        <f t="shared" si="53"/>
        <v>19.990200000000186</v>
      </c>
    </row>
    <row r="1117" spans="1:7" x14ac:dyDescent="0.3">
      <c r="A1117" s="2">
        <v>42544</v>
      </c>
      <c r="B1117" s="1">
        <v>24.024999999999999</v>
      </c>
      <c r="C1117" s="1">
        <v>722.08010000000002</v>
      </c>
      <c r="D1117" s="1">
        <v>115.08</v>
      </c>
      <c r="E1117" s="3">
        <f t="shared" si="54"/>
        <v>343.81020000000035</v>
      </c>
      <c r="F1117" s="4">
        <f t="shared" si="52"/>
        <v>6.4349999999999454</v>
      </c>
      <c r="G1117" s="4">
        <f t="shared" si="53"/>
        <v>-6.4349999999999454</v>
      </c>
    </row>
    <row r="1118" spans="1:7" x14ac:dyDescent="0.3">
      <c r="A1118" s="2">
        <v>42543</v>
      </c>
      <c r="B1118" s="1">
        <v>23.887499999999999</v>
      </c>
      <c r="C1118" s="1">
        <v>710.6001</v>
      </c>
      <c r="D1118" s="1">
        <v>113.91</v>
      </c>
      <c r="E1118" s="3">
        <f t="shared" si="54"/>
        <v>337.3752000000004</v>
      </c>
      <c r="F1118" s="4">
        <f t="shared" si="52"/>
        <v>-5.5399999999995089</v>
      </c>
      <c r="G1118" s="4">
        <f t="shared" si="53"/>
        <v>5.5399999999995089</v>
      </c>
    </row>
    <row r="1119" spans="1:7" x14ac:dyDescent="0.3">
      <c r="A1119" s="2">
        <v>42542</v>
      </c>
      <c r="B1119" s="1">
        <v>23.977499999999999</v>
      </c>
      <c r="C1119" s="1">
        <v>715.82010000000002</v>
      </c>
      <c r="D1119" s="1">
        <v>114.38</v>
      </c>
      <c r="E1119" s="3">
        <f t="shared" si="54"/>
        <v>342.91519999999991</v>
      </c>
      <c r="F1119" s="4">
        <f t="shared" si="52"/>
        <v>-6.4547999999999774</v>
      </c>
      <c r="G1119" s="4">
        <f t="shared" si="53"/>
        <v>6.4547999999999774</v>
      </c>
    </row>
    <row r="1120" spans="1:7" x14ac:dyDescent="0.3">
      <c r="A1120" s="2">
        <v>42541</v>
      </c>
      <c r="B1120" s="1">
        <v>23.774999999999999</v>
      </c>
      <c r="C1120" s="1">
        <v>714.01</v>
      </c>
      <c r="D1120" s="1">
        <v>113.37</v>
      </c>
      <c r="E1120" s="3">
        <f t="shared" si="54"/>
        <v>349.36999999999989</v>
      </c>
      <c r="F1120" s="4">
        <f t="shared" si="52"/>
        <v>5.3651999999997315</v>
      </c>
      <c r="G1120" s="4">
        <f t="shared" si="53"/>
        <v>-5.3651999999997315</v>
      </c>
    </row>
    <row r="1121" spans="1:7" x14ac:dyDescent="0.3">
      <c r="A1121" s="2">
        <v>42538</v>
      </c>
      <c r="B1121" s="1">
        <v>23.8325</v>
      </c>
      <c r="C1121" s="1">
        <v>706.38990000000001</v>
      </c>
      <c r="D1121" s="1">
        <v>113.02</v>
      </c>
      <c r="E1121" s="3">
        <f t="shared" si="54"/>
        <v>344.00480000000016</v>
      </c>
      <c r="F1121" s="4">
        <f t="shared" si="52"/>
        <v>-22.590199999999641</v>
      </c>
      <c r="G1121" s="4">
        <f t="shared" si="53"/>
        <v>22.590199999999641</v>
      </c>
    </row>
    <row r="1122" spans="1:7" x14ac:dyDescent="0.3">
      <c r="A1122" s="2">
        <v>42537</v>
      </c>
      <c r="B1122" s="1">
        <v>24.387499999999999</v>
      </c>
      <c r="C1122" s="1">
        <v>717.51</v>
      </c>
      <c r="D1122" s="1">
        <v>114.39</v>
      </c>
      <c r="E1122" s="3">
        <f t="shared" si="54"/>
        <v>366.5949999999998</v>
      </c>
      <c r="F1122" s="4">
        <f t="shared" si="52"/>
        <v>15.824999999999818</v>
      </c>
      <c r="G1122" s="4">
        <f t="shared" si="53"/>
        <v>-15.824999999999818</v>
      </c>
    </row>
    <row r="1123" spans="1:7" x14ac:dyDescent="0.3">
      <c r="A1123" s="2">
        <v>42536</v>
      </c>
      <c r="B1123" s="1">
        <v>24.285</v>
      </c>
      <c r="C1123" s="1">
        <v>714.26</v>
      </c>
      <c r="D1123" s="1">
        <v>114.6</v>
      </c>
      <c r="E1123" s="3">
        <f t="shared" si="54"/>
        <v>350.77</v>
      </c>
      <c r="F1123" s="4">
        <f t="shared" si="52"/>
        <v>-7.2799999999997453</v>
      </c>
      <c r="G1123" s="4">
        <f t="shared" si="53"/>
        <v>7.2799999999997453</v>
      </c>
    </row>
    <row r="1124" spans="1:7" x14ac:dyDescent="0.3">
      <c r="A1124" s="2">
        <v>42535</v>
      </c>
      <c r="B1124" s="1">
        <v>24.364999999999998</v>
      </c>
      <c r="C1124" s="1">
        <v>719.3</v>
      </c>
      <c r="D1124" s="1">
        <v>114.94</v>
      </c>
      <c r="E1124" s="3">
        <f t="shared" si="54"/>
        <v>358.04999999999973</v>
      </c>
      <c r="F1124" s="4">
        <f t="shared" si="52"/>
        <v>-10.180000000000291</v>
      </c>
      <c r="G1124" s="4">
        <f t="shared" si="53"/>
        <v>10.180000000000291</v>
      </c>
    </row>
    <row r="1125" spans="1:7" x14ac:dyDescent="0.3">
      <c r="A1125" s="2">
        <v>42534</v>
      </c>
      <c r="B1125" s="1">
        <v>24.335000000000001</v>
      </c>
      <c r="C1125" s="1">
        <v>715.24</v>
      </c>
      <c r="D1125" s="1">
        <v>113.95</v>
      </c>
      <c r="E1125" s="3">
        <f t="shared" si="54"/>
        <v>368.23</v>
      </c>
      <c r="F1125" s="4">
        <f t="shared" si="52"/>
        <v>29.435199999999895</v>
      </c>
      <c r="G1125" s="4">
        <f t="shared" si="53"/>
        <v>-29.435199999999895</v>
      </c>
    </row>
    <row r="1126" spans="1:7" x14ac:dyDescent="0.3">
      <c r="A1126" s="2">
        <v>42531</v>
      </c>
      <c r="B1126" s="1">
        <v>24.7075</v>
      </c>
      <c r="C1126" s="1">
        <v>717.90989999999999</v>
      </c>
      <c r="D1126" s="1">
        <v>116.62</v>
      </c>
      <c r="E1126" s="3">
        <f t="shared" si="54"/>
        <v>338.79480000000012</v>
      </c>
      <c r="F1126" s="4">
        <f t="shared" si="52"/>
        <v>9.0700000000001637</v>
      </c>
      <c r="G1126" s="4">
        <f t="shared" si="53"/>
        <v>-9.0700000000001637</v>
      </c>
    </row>
    <row r="1127" spans="1:7" x14ac:dyDescent="0.3">
      <c r="A1127" s="2">
        <v>42530</v>
      </c>
      <c r="B1127" s="1">
        <v>24.912500000000001</v>
      </c>
      <c r="C1127" s="1">
        <v>727.6499</v>
      </c>
      <c r="D1127" s="1">
        <v>118.56</v>
      </c>
      <c r="E1127" s="3">
        <f t="shared" si="54"/>
        <v>329.72479999999996</v>
      </c>
      <c r="F1127" s="4">
        <f t="shared" si="52"/>
        <v>7.4949999999998909</v>
      </c>
      <c r="G1127" s="4">
        <f t="shared" si="53"/>
        <v>-7.4949999999998909</v>
      </c>
    </row>
    <row r="1128" spans="1:7" x14ac:dyDescent="0.3">
      <c r="A1128" s="2">
        <v>42529</v>
      </c>
      <c r="B1128" s="1">
        <v>24.734999999999999</v>
      </c>
      <c r="C1128" s="1">
        <v>726.63990000000001</v>
      </c>
      <c r="D1128" s="1">
        <v>118.39</v>
      </c>
      <c r="E1128" s="3">
        <f t="shared" si="54"/>
        <v>322.22980000000007</v>
      </c>
      <c r="F1128" s="4">
        <f t="shared" si="52"/>
        <v>-7.9251999999996769</v>
      </c>
      <c r="G1128" s="4">
        <f t="shared" si="53"/>
        <v>7.9251999999996769</v>
      </c>
    </row>
    <row r="1129" spans="1:7" x14ac:dyDescent="0.3">
      <c r="A1129" s="2">
        <v>42528</v>
      </c>
      <c r="B1129" s="1">
        <v>24.7575</v>
      </c>
      <c r="C1129" s="1">
        <v>723.74</v>
      </c>
      <c r="D1129" s="1">
        <v>117.76</v>
      </c>
      <c r="E1129" s="3">
        <f t="shared" si="54"/>
        <v>330.15499999999975</v>
      </c>
      <c r="F1129" s="4">
        <f t="shared" si="52"/>
        <v>19.619999999999891</v>
      </c>
      <c r="G1129" s="4">
        <f t="shared" si="53"/>
        <v>-19.619999999999891</v>
      </c>
    </row>
    <row r="1130" spans="1:7" x14ac:dyDescent="0.3">
      <c r="A1130" s="2">
        <v>42527</v>
      </c>
      <c r="B1130" s="1">
        <v>24.657499999999999</v>
      </c>
      <c r="C1130" s="1">
        <v>726.73</v>
      </c>
      <c r="D1130" s="1">
        <v>118.79</v>
      </c>
      <c r="E1130" s="3">
        <f t="shared" si="54"/>
        <v>310.53499999999985</v>
      </c>
      <c r="F1130" s="4">
        <f t="shared" si="52"/>
        <v>4.8550000000000182</v>
      </c>
      <c r="G1130" s="4">
        <f t="shared" si="53"/>
        <v>-4.8550000000000182</v>
      </c>
    </row>
    <row r="1131" spans="1:7" x14ac:dyDescent="0.3">
      <c r="A1131" s="2">
        <v>42524</v>
      </c>
      <c r="B1131" s="1">
        <v>24.48</v>
      </c>
      <c r="C1131" s="1">
        <v>725.54</v>
      </c>
      <c r="D1131" s="1">
        <v>118.47</v>
      </c>
      <c r="E1131" s="3">
        <f t="shared" si="54"/>
        <v>305.67999999999984</v>
      </c>
      <c r="F1131" s="4">
        <f t="shared" si="52"/>
        <v>6.3000000000001819</v>
      </c>
      <c r="G1131" s="4">
        <f t="shared" si="53"/>
        <v>-6.3000000000001819</v>
      </c>
    </row>
    <row r="1132" spans="1:7" x14ac:dyDescent="0.3">
      <c r="A1132" s="2">
        <v>42523</v>
      </c>
      <c r="B1132" s="1">
        <v>24.43</v>
      </c>
      <c r="C1132" s="1">
        <v>728.24</v>
      </c>
      <c r="D1132" s="1">
        <v>118.93</v>
      </c>
      <c r="E1132" s="3">
        <f t="shared" si="54"/>
        <v>299.37999999999965</v>
      </c>
      <c r="F1132" s="4">
        <f t="shared" si="52"/>
        <v>5.3501999999998588</v>
      </c>
      <c r="G1132" s="4">
        <f t="shared" si="53"/>
        <v>-5.3501999999998588</v>
      </c>
    </row>
    <row r="1133" spans="1:7" x14ac:dyDescent="0.3">
      <c r="A1133" s="2">
        <v>42522</v>
      </c>
      <c r="B1133" s="1">
        <v>24.614999999999998</v>
      </c>
      <c r="C1133" s="1">
        <v>719.43989999999997</v>
      </c>
      <c r="D1133" s="1">
        <v>118.78</v>
      </c>
      <c r="E1133" s="3">
        <f t="shared" si="54"/>
        <v>294.0297999999998</v>
      </c>
      <c r="F1133" s="4">
        <f t="shared" si="52"/>
        <v>-23.600200000000314</v>
      </c>
      <c r="G1133" s="4">
        <f t="shared" si="53"/>
        <v>23.600200000000314</v>
      </c>
    </row>
    <row r="1134" spans="1:7" x14ac:dyDescent="0.3">
      <c r="A1134" s="2">
        <v>42521</v>
      </c>
      <c r="B1134" s="1">
        <v>24.965</v>
      </c>
      <c r="C1134" s="1">
        <v>722.79</v>
      </c>
      <c r="D1134" s="1">
        <v>118.81</v>
      </c>
      <c r="E1134" s="3">
        <f t="shared" si="54"/>
        <v>317.63000000000011</v>
      </c>
      <c r="F1134" s="4">
        <f t="shared" si="52"/>
        <v>26.375</v>
      </c>
      <c r="G1134" s="4">
        <f t="shared" si="53"/>
        <v>-26.375</v>
      </c>
    </row>
    <row r="1135" spans="1:7" x14ac:dyDescent="0.3">
      <c r="A1135" s="2">
        <v>42520</v>
      </c>
      <c r="B1135" s="1">
        <v>25.087499999999999</v>
      </c>
      <c r="C1135" s="1">
        <v>712.24</v>
      </c>
      <c r="D1135" s="1">
        <v>119.38</v>
      </c>
      <c r="E1135" s="3">
        <f t="shared" si="54"/>
        <v>291.25500000000011</v>
      </c>
      <c r="F1135" s="4">
        <f t="shared" si="52"/>
        <v>0</v>
      </c>
      <c r="G1135" s="4">
        <f t="shared" si="53"/>
        <v>0</v>
      </c>
    </row>
    <row r="1136" spans="1:7" x14ac:dyDescent="0.3">
      <c r="A1136" s="2">
        <v>42517</v>
      </c>
      <c r="B1136" s="1">
        <v>25.087499999999999</v>
      </c>
      <c r="C1136" s="1">
        <v>712.24</v>
      </c>
      <c r="D1136" s="1">
        <v>119.38</v>
      </c>
      <c r="E1136" s="3">
        <f t="shared" si="54"/>
        <v>291.25500000000011</v>
      </c>
      <c r="F1136" s="4">
        <f t="shared" si="52"/>
        <v>-4.2898000000000138</v>
      </c>
      <c r="G1136" s="4">
        <f t="shared" si="53"/>
        <v>4.2898000000000138</v>
      </c>
    </row>
    <row r="1137" spans="1:7" x14ac:dyDescent="0.3">
      <c r="A1137" s="2">
        <v>42516</v>
      </c>
      <c r="B1137" s="1">
        <v>25.102499999999999</v>
      </c>
      <c r="C1137" s="1">
        <v>714.90989999999999</v>
      </c>
      <c r="D1137" s="1">
        <v>119.47</v>
      </c>
      <c r="E1137" s="3">
        <f t="shared" si="54"/>
        <v>295.54480000000012</v>
      </c>
      <c r="F1137" s="4">
        <f t="shared" si="52"/>
        <v>-8.6053999999999178</v>
      </c>
      <c r="G1137" s="4">
        <f t="shared" si="53"/>
        <v>8.6053999999999178</v>
      </c>
    </row>
    <row r="1138" spans="1:7" x14ac:dyDescent="0.3">
      <c r="A1138" s="2">
        <v>42515</v>
      </c>
      <c r="B1138" s="1">
        <v>24.905000000000001</v>
      </c>
      <c r="C1138" s="1">
        <v>708.3501</v>
      </c>
      <c r="D1138" s="1">
        <v>117.89</v>
      </c>
      <c r="E1138" s="3">
        <f t="shared" si="54"/>
        <v>304.15020000000004</v>
      </c>
      <c r="F1138" s="4">
        <f t="shared" si="52"/>
        <v>26.00019999999995</v>
      </c>
      <c r="G1138" s="4">
        <f t="shared" si="53"/>
        <v>-26.00019999999995</v>
      </c>
    </row>
    <row r="1139" spans="1:7" x14ac:dyDescent="0.3">
      <c r="A1139" s="2">
        <v>42514</v>
      </c>
      <c r="B1139" s="1">
        <v>24.475000000000001</v>
      </c>
      <c r="C1139" s="1">
        <v>704.2</v>
      </c>
      <c r="D1139" s="1">
        <v>117.7</v>
      </c>
      <c r="E1139" s="3">
        <f t="shared" si="54"/>
        <v>278.15000000000009</v>
      </c>
      <c r="F1139" s="4">
        <f t="shared" si="52"/>
        <v>-1.3249999999998181</v>
      </c>
      <c r="G1139" s="4">
        <f t="shared" si="53"/>
        <v>1.3249999999998181</v>
      </c>
    </row>
    <row r="1140" spans="1:7" x14ac:dyDescent="0.3">
      <c r="A1140" s="2">
        <v>42513</v>
      </c>
      <c r="B1140" s="1">
        <v>24.107500000000002</v>
      </c>
      <c r="C1140" s="1">
        <v>696.75</v>
      </c>
      <c r="D1140" s="1">
        <v>115.97</v>
      </c>
      <c r="E1140" s="3">
        <f t="shared" si="54"/>
        <v>279.47499999999991</v>
      </c>
      <c r="F1140" s="4">
        <f t="shared" si="52"/>
        <v>30.625</v>
      </c>
      <c r="G1140" s="4">
        <f t="shared" si="53"/>
        <v>-30.625</v>
      </c>
    </row>
    <row r="1141" spans="1:7" x14ac:dyDescent="0.3">
      <c r="A1141" s="2">
        <v>42510</v>
      </c>
      <c r="B1141" s="1">
        <v>23.805</v>
      </c>
      <c r="C1141" s="1">
        <v>702.8</v>
      </c>
      <c r="D1141" s="1">
        <v>117.35</v>
      </c>
      <c r="E1141" s="3">
        <f t="shared" si="54"/>
        <v>248.84999999999991</v>
      </c>
      <c r="F1141" s="4">
        <f t="shared" si="52"/>
        <v>10.509999999999764</v>
      </c>
      <c r="G1141" s="4">
        <f t="shared" si="53"/>
        <v>-10.509999999999764</v>
      </c>
    </row>
    <row r="1142" spans="1:7" x14ac:dyDescent="0.3">
      <c r="A1142" s="2">
        <v>42509</v>
      </c>
      <c r="B1142" s="1">
        <v>23.55</v>
      </c>
      <c r="C1142" s="1">
        <v>698.52</v>
      </c>
      <c r="D1142" s="1">
        <v>116.81</v>
      </c>
      <c r="E1142" s="3">
        <f t="shared" si="54"/>
        <v>238.34000000000015</v>
      </c>
      <c r="F1142" s="4">
        <f t="shared" si="52"/>
        <v>14.440000000000055</v>
      </c>
      <c r="G1142" s="4">
        <f t="shared" si="53"/>
        <v>-14.440000000000055</v>
      </c>
    </row>
    <row r="1143" spans="1:7" x14ac:dyDescent="0.3">
      <c r="A1143" s="2">
        <v>42508</v>
      </c>
      <c r="B1143" s="1">
        <v>23.64</v>
      </c>
      <c r="C1143" s="1">
        <v>697.45</v>
      </c>
      <c r="D1143" s="1">
        <v>117.65</v>
      </c>
      <c r="E1143" s="3">
        <f t="shared" si="54"/>
        <v>223.90000000000009</v>
      </c>
      <c r="F1143" s="4">
        <f t="shared" si="52"/>
        <v>11.735000000000127</v>
      </c>
      <c r="G1143" s="4">
        <f t="shared" si="53"/>
        <v>-11.735000000000127</v>
      </c>
    </row>
    <row r="1144" spans="1:7" x14ac:dyDescent="0.3">
      <c r="A1144" s="2">
        <v>42507</v>
      </c>
      <c r="B1144" s="1">
        <v>23.372499999999999</v>
      </c>
      <c r="C1144" s="1">
        <v>695.27</v>
      </c>
      <c r="D1144" s="1">
        <v>117.35</v>
      </c>
      <c r="E1144" s="3">
        <f t="shared" si="54"/>
        <v>212.16499999999996</v>
      </c>
      <c r="F1144" s="4">
        <f t="shared" si="52"/>
        <v>-9.2548000000001593</v>
      </c>
      <c r="G1144" s="4">
        <f t="shared" si="53"/>
        <v>9.2548000000001593</v>
      </c>
    </row>
    <row r="1145" spans="1:7" x14ac:dyDescent="0.3">
      <c r="A1145" s="2">
        <v>42506</v>
      </c>
      <c r="B1145" s="1">
        <v>23.47</v>
      </c>
      <c r="C1145" s="1">
        <v>710.65989999999999</v>
      </c>
      <c r="D1145" s="1">
        <v>118.67</v>
      </c>
      <c r="E1145" s="3">
        <f t="shared" si="54"/>
        <v>221.41980000000012</v>
      </c>
      <c r="F1145" s="4">
        <f t="shared" si="52"/>
        <v>66.2800000000002</v>
      </c>
      <c r="G1145" s="4">
        <f t="shared" si="53"/>
        <v>-66.2800000000002</v>
      </c>
    </row>
    <row r="1146" spans="1:7" x14ac:dyDescent="0.3">
      <c r="A1146" s="2">
        <v>42503</v>
      </c>
      <c r="B1146" s="1">
        <v>22.63</v>
      </c>
      <c r="C1146" s="1">
        <v>709.91989999999998</v>
      </c>
      <c r="D1146" s="1">
        <v>119.81</v>
      </c>
      <c r="E1146" s="3">
        <f t="shared" si="54"/>
        <v>155.13979999999992</v>
      </c>
      <c r="F1146" s="4">
        <f t="shared" si="52"/>
        <v>-4.3700000000003456</v>
      </c>
      <c r="G1146" s="4">
        <f t="shared" si="53"/>
        <v>4.3700000000003456</v>
      </c>
    </row>
    <row r="1147" spans="1:7" x14ac:dyDescent="0.3">
      <c r="A1147" s="2">
        <v>42502</v>
      </c>
      <c r="B1147" s="1">
        <v>22.585000000000001</v>
      </c>
      <c r="C1147" s="1">
        <v>717.92989999999998</v>
      </c>
      <c r="D1147" s="1">
        <v>120.28</v>
      </c>
      <c r="E1147" s="3">
        <f t="shared" si="54"/>
        <v>159.50980000000027</v>
      </c>
      <c r="F1147" s="4">
        <f t="shared" si="52"/>
        <v>-32.925199999999677</v>
      </c>
      <c r="G1147" s="4">
        <f t="shared" si="53"/>
        <v>32.925199999999677</v>
      </c>
    </row>
    <row r="1148" spans="1:7" x14ac:dyDescent="0.3">
      <c r="A1148" s="2">
        <v>42501</v>
      </c>
      <c r="B1148" s="1">
        <v>23.127500000000001</v>
      </c>
      <c r="C1148" s="1">
        <v>713.23</v>
      </c>
      <c r="D1148" s="1">
        <v>119.52</v>
      </c>
      <c r="E1148" s="3">
        <f t="shared" si="54"/>
        <v>192.43499999999995</v>
      </c>
      <c r="F1148" s="4">
        <f t="shared" si="52"/>
        <v>28.544800000000123</v>
      </c>
      <c r="G1148" s="4">
        <f t="shared" si="53"/>
        <v>-28.544800000000123</v>
      </c>
    </row>
    <row r="1149" spans="1:7" x14ac:dyDescent="0.3">
      <c r="A1149" s="2">
        <v>42500</v>
      </c>
      <c r="B1149" s="1">
        <v>23.355</v>
      </c>
      <c r="C1149" s="1">
        <v>703.07010000000002</v>
      </c>
      <c r="D1149" s="1">
        <v>120.5</v>
      </c>
      <c r="E1149" s="3">
        <f t="shared" si="54"/>
        <v>163.89019999999982</v>
      </c>
      <c r="F1149" s="4">
        <f t="shared" si="52"/>
        <v>29.31519999999955</v>
      </c>
      <c r="G1149" s="4">
        <f t="shared" si="53"/>
        <v>-29.31519999999955</v>
      </c>
    </row>
    <row r="1150" spans="1:7" x14ac:dyDescent="0.3">
      <c r="A1150" s="2">
        <v>42499</v>
      </c>
      <c r="B1150" s="1">
        <v>23.197500000000002</v>
      </c>
      <c r="C1150" s="1">
        <v>679.75</v>
      </c>
      <c r="D1150" s="1">
        <v>119.24</v>
      </c>
      <c r="E1150" s="3">
        <f t="shared" si="54"/>
        <v>134.57500000000027</v>
      </c>
      <c r="F1150" s="4">
        <f t="shared" si="52"/>
        <v>17.474999999999909</v>
      </c>
      <c r="G1150" s="4">
        <f t="shared" si="53"/>
        <v>-17.474999999999909</v>
      </c>
    </row>
    <row r="1151" spans="1:7" x14ac:dyDescent="0.3">
      <c r="A1151" s="2">
        <v>42496</v>
      </c>
      <c r="B1151" s="1">
        <v>23.18</v>
      </c>
      <c r="C1151" s="1">
        <v>673.95</v>
      </c>
      <c r="D1151" s="1">
        <v>119.49</v>
      </c>
      <c r="E1151" s="3">
        <f t="shared" si="54"/>
        <v>117.10000000000036</v>
      </c>
      <c r="F1151" s="4">
        <f t="shared" si="52"/>
        <v>-10.380199999999604</v>
      </c>
      <c r="G1151" s="4">
        <f t="shared" si="53"/>
        <v>10.380199999999604</v>
      </c>
    </row>
    <row r="1152" spans="1:7" x14ac:dyDescent="0.3">
      <c r="A1152" s="2">
        <v>42495</v>
      </c>
      <c r="B1152" s="1">
        <v>23.31</v>
      </c>
      <c r="C1152" s="1">
        <v>659.09010000000001</v>
      </c>
      <c r="D1152" s="1">
        <v>117.81</v>
      </c>
      <c r="E1152" s="3">
        <f t="shared" si="54"/>
        <v>127.48019999999997</v>
      </c>
      <c r="F1152" s="4">
        <f t="shared" si="52"/>
        <v>-30.494599999999991</v>
      </c>
      <c r="G1152" s="4">
        <f t="shared" si="53"/>
        <v>30.494599999999991</v>
      </c>
    </row>
    <row r="1153" spans="1:7" x14ac:dyDescent="0.3">
      <c r="A1153" s="2">
        <v>42494</v>
      </c>
      <c r="B1153" s="1">
        <v>23.547499999999999</v>
      </c>
      <c r="C1153" s="1">
        <v>670.8999</v>
      </c>
      <c r="D1153" s="1">
        <v>118.06</v>
      </c>
      <c r="E1153" s="3">
        <f t="shared" si="54"/>
        <v>157.97479999999996</v>
      </c>
      <c r="F1153" s="4">
        <f t="shared" si="52"/>
        <v>-25.815399999999499</v>
      </c>
      <c r="G1153" s="4">
        <f t="shared" si="53"/>
        <v>25.815399999999499</v>
      </c>
    </row>
    <row r="1154" spans="1:7" x14ac:dyDescent="0.3">
      <c r="A1154" s="2">
        <v>42493</v>
      </c>
      <c r="B1154" s="1">
        <v>23.795000000000002</v>
      </c>
      <c r="C1154" s="1">
        <v>671.32010000000002</v>
      </c>
      <c r="D1154" s="1">
        <v>117.43</v>
      </c>
      <c r="E1154" s="3">
        <f t="shared" si="54"/>
        <v>183.79019999999946</v>
      </c>
      <c r="F1154" s="4">
        <f t="shared" si="52"/>
        <v>16.989999999998872</v>
      </c>
      <c r="G1154" s="4">
        <f t="shared" si="53"/>
        <v>-16.989999999998872</v>
      </c>
    </row>
    <row r="1155" spans="1:7" x14ac:dyDescent="0.3">
      <c r="A1155" s="2">
        <v>42492</v>
      </c>
      <c r="B1155" s="1">
        <v>23.41</v>
      </c>
      <c r="C1155" s="1">
        <v>683.8501</v>
      </c>
      <c r="D1155" s="1">
        <v>118.57</v>
      </c>
      <c r="E1155" s="3">
        <f t="shared" si="54"/>
        <v>166.80020000000059</v>
      </c>
      <c r="F1155" s="4">
        <f t="shared" si="52"/>
        <v>27.470000000000709</v>
      </c>
      <c r="G1155" s="4">
        <f t="shared" si="53"/>
        <v>-27.470000000000709</v>
      </c>
    </row>
    <row r="1156" spans="1:7" x14ac:dyDescent="0.3">
      <c r="A1156" s="2">
        <v>42489</v>
      </c>
      <c r="B1156" s="1">
        <v>23.434999999999999</v>
      </c>
      <c r="C1156" s="1">
        <v>659.59010000000001</v>
      </c>
      <c r="D1156" s="1">
        <v>117.58</v>
      </c>
      <c r="E1156" s="3">
        <f t="shared" si="54"/>
        <v>139.33019999999988</v>
      </c>
      <c r="F1156" s="4">
        <f t="shared" si="52"/>
        <v>84.555199999999786</v>
      </c>
      <c r="G1156" s="4">
        <f t="shared" si="53"/>
        <v>-84.555199999999786</v>
      </c>
    </row>
    <row r="1157" spans="1:7" x14ac:dyDescent="0.3">
      <c r="A1157" s="2">
        <v>42488</v>
      </c>
      <c r="B1157" s="1">
        <v>23.7075</v>
      </c>
      <c r="C1157" s="1">
        <v>602</v>
      </c>
      <c r="D1157" s="1">
        <v>116.73</v>
      </c>
      <c r="E1157" s="3">
        <f t="shared" si="54"/>
        <v>54.775000000000091</v>
      </c>
      <c r="F1157" s="4">
        <f t="shared" ref="F1157:F1220" si="55">E1157-E1158</f>
        <v>-203.31519999999955</v>
      </c>
      <c r="G1157" s="4">
        <f t="shared" ref="G1157:G1220" si="56">-F1157</f>
        <v>203.31519999999955</v>
      </c>
    </row>
    <row r="1158" spans="1:7" x14ac:dyDescent="0.3">
      <c r="A1158" s="2">
        <v>42487</v>
      </c>
      <c r="B1158" s="1">
        <v>24.454999999999998</v>
      </c>
      <c r="C1158" s="1">
        <v>606.57010000000002</v>
      </c>
      <c r="D1158" s="1">
        <v>108.89</v>
      </c>
      <c r="E1158" s="3">
        <f t="shared" ref="E1158:E1221" si="57">50*B1158+2*C1158-20*D1158</f>
        <v>258.09019999999964</v>
      </c>
      <c r="F1158" s="4">
        <f t="shared" si="55"/>
        <v>-104.8445999999999</v>
      </c>
      <c r="G1158" s="4">
        <f t="shared" si="56"/>
        <v>104.8445999999999</v>
      </c>
    </row>
    <row r="1159" spans="1:7" x14ac:dyDescent="0.3">
      <c r="A1159" s="2">
        <v>42486</v>
      </c>
      <c r="B1159" s="1">
        <v>26.087499999999999</v>
      </c>
      <c r="C1159" s="1">
        <v>616.87990000000002</v>
      </c>
      <c r="D1159" s="1">
        <v>108.76</v>
      </c>
      <c r="E1159" s="3">
        <f t="shared" si="57"/>
        <v>362.93479999999954</v>
      </c>
      <c r="F1159" s="4">
        <f t="shared" si="55"/>
        <v>-0.96520000000055006</v>
      </c>
      <c r="G1159" s="4">
        <f t="shared" si="56"/>
        <v>0.96520000000055006</v>
      </c>
    </row>
    <row r="1160" spans="1:7" x14ac:dyDescent="0.3">
      <c r="A1160" s="2">
        <v>42485</v>
      </c>
      <c r="B1160" s="1">
        <v>26.27</v>
      </c>
      <c r="C1160" s="1">
        <v>626.20000000000005</v>
      </c>
      <c r="D1160" s="1">
        <v>110.1</v>
      </c>
      <c r="E1160" s="3">
        <f t="shared" si="57"/>
        <v>363.90000000000009</v>
      </c>
      <c r="F1160" s="4">
        <f t="shared" si="55"/>
        <v>13.099999999999909</v>
      </c>
      <c r="G1160" s="4">
        <f t="shared" si="56"/>
        <v>-13.099999999999909</v>
      </c>
    </row>
    <row r="1161" spans="1:7" x14ac:dyDescent="0.3">
      <c r="A1161" s="2">
        <v>42482</v>
      </c>
      <c r="B1161" s="1">
        <v>26.42</v>
      </c>
      <c r="C1161" s="1">
        <v>620.5</v>
      </c>
      <c r="D1161" s="1">
        <v>110.56</v>
      </c>
      <c r="E1161" s="3">
        <f t="shared" si="57"/>
        <v>350.80000000000018</v>
      </c>
      <c r="F1161" s="4">
        <f t="shared" si="55"/>
        <v>32.975000000000364</v>
      </c>
      <c r="G1161" s="4">
        <f t="shared" si="56"/>
        <v>-32.975000000000364</v>
      </c>
    </row>
    <row r="1162" spans="1:7" x14ac:dyDescent="0.3">
      <c r="A1162" s="2">
        <v>42481</v>
      </c>
      <c r="B1162" s="1">
        <v>26.4925</v>
      </c>
      <c r="C1162" s="1">
        <v>631</v>
      </c>
      <c r="D1162" s="1">
        <v>113.44</v>
      </c>
      <c r="E1162" s="3">
        <f t="shared" si="57"/>
        <v>317.82499999999982</v>
      </c>
      <c r="F1162" s="4">
        <f t="shared" si="55"/>
        <v>-38.880000000000109</v>
      </c>
      <c r="G1162" s="4">
        <f t="shared" si="56"/>
        <v>38.880000000000109</v>
      </c>
    </row>
    <row r="1163" spans="1:7" x14ac:dyDescent="0.3">
      <c r="A1163" s="2">
        <v>42480</v>
      </c>
      <c r="B1163" s="1">
        <v>26.782499999999999</v>
      </c>
      <c r="C1163" s="1">
        <v>632.99</v>
      </c>
      <c r="D1163" s="1">
        <v>112.42</v>
      </c>
      <c r="E1163" s="3">
        <f t="shared" si="57"/>
        <v>356.70499999999993</v>
      </c>
      <c r="F1163" s="4">
        <f t="shared" si="55"/>
        <v>10.330200000000332</v>
      </c>
      <c r="G1163" s="4">
        <f t="shared" si="56"/>
        <v>-10.330200000000332</v>
      </c>
    </row>
    <row r="1164" spans="1:7" x14ac:dyDescent="0.3">
      <c r="A1164" s="2">
        <v>42479</v>
      </c>
      <c r="B1164" s="1">
        <v>26.727499999999999</v>
      </c>
      <c r="C1164" s="1">
        <v>627.8999</v>
      </c>
      <c r="D1164" s="1">
        <v>112.29</v>
      </c>
      <c r="E1164" s="3">
        <f t="shared" si="57"/>
        <v>346.3747999999996</v>
      </c>
      <c r="F1164" s="4">
        <f t="shared" si="55"/>
        <v>-58.825400000000627</v>
      </c>
      <c r="G1164" s="4">
        <f t="shared" si="56"/>
        <v>58.825400000000627</v>
      </c>
    </row>
    <row r="1165" spans="1:7" x14ac:dyDescent="0.3">
      <c r="A1165" s="2">
        <v>42478</v>
      </c>
      <c r="B1165" s="1">
        <v>26.87</v>
      </c>
      <c r="C1165" s="1">
        <v>635.3501</v>
      </c>
      <c r="D1165" s="1">
        <v>110.45</v>
      </c>
      <c r="E1165" s="3">
        <f t="shared" si="57"/>
        <v>405.20020000000022</v>
      </c>
      <c r="F1165" s="4">
        <f t="shared" si="55"/>
        <v>-26.904599999999846</v>
      </c>
      <c r="G1165" s="4">
        <f t="shared" si="56"/>
        <v>26.904599999999846</v>
      </c>
    </row>
    <row r="1166" spans="1:7" x14ac:dyDescent="0.3">
      <c r="A1166" s="2">
        <v>42475</v>
      </c>
      <c r="B1166" s="1">
        <v>27.462499999999999</v>
      </c>
      <c r="C1166" s="1">
        <v>625.88990000000001</v>
      </c>
      <c r="D1166" s="1">
        <v>109.64</v>
      </c>
      <c r="E1166" s="3">
        <f t="shared" si="57"/>
        <v>432.10480000000007</v>
      </c>
      <c r="F1166" s="4">
        <f t="shared" si="55"/>
        <v>6.1548000000002503</v>
      </c>
      <c r="G1166" s="4">
        <f t="shared" si="56"/>
        <v>-6.1548000000002503</v>
      </c>
    </row>
    <row r="1167" spans="1:7" x14ac:dyDescent="0.3">
      <c r="A1167" s="2">
        <v>42474</v>
      </c>
      <c r="B1167" s="1">
        <v>28.024999999999999</v>
      </c>
      <c r="C1167" s="1">
        <v>620.75</v>
      </c>
      <c r="D1167" s="1">
        <v>110.84</v>
      </c>
      <c r="E1167" s="3">
        <f t="shared" si="57"/>
        <v>425.94999999999982</v>
      </c>
      <c r="F1167" s="4">
        <f t="shared" si="55"/>
        <v>6.0098000000002685</v>
      </c>
      <c r="G1167" s="4">
        <f t="shared" si="56"/>
        <v>-6.0098000000002685</v>
      </c>
    </row>
    <row r="1168" spans="1:7" x14ac:dyDescent="0.3">
      <c r="A1168" s="2">
        <v>42473</v>
      </c>
      <c r="B1168" s="1">
        <v>28.01</v>
      </c>
      <c r="C1168" s="1">
        <v>614.82010000000002</v>
      </c>
      <c r="D1168" s="1">
        <v>110.51</v>
      </c>
      <c r="E1168" s="3">
        <f t="shared" si="57"/>
        <v>419.94019999999955</v>
      </c>
      <c r="F1168" s="4">
        <f t="shared" si="55"/>
        <v>45.300399999999627</v>
      </c>
      <c r="G1168" s="4">
        <f t="shared" si="56"/>
        <v>-45.300399999999627</v>
      </c>
    </row>
    <row r="1169" spans="1:7" x14ac:dyDescent="0.3">
      <c r="A1169" s="2">
        <v>42472</v>
      </c>
      <c r="B1169" s="1">
        <v>27.61</v>
      </c>
      <c r="C1169" s="1">
        <v>603.16989999999998</v>
      </c>
      <c r="D1169" s="1">
        <v>110.61</v>
      </c>
      <c r="E1169" s="3">
        <f t="shared" si="57"/>
        <v>374.63979999999992</v>
      </c>
      <c r="F1169" s="4">
        <f t="shared" si="55"/>
        <v>-0.17000000000052751</v>
      </c>
      <c r="G1169" s="4">
        <f t="shared" si="56"/>
        <v>0.17000000000052751</v>
      </c>
    </row>
    <row r="1170" spans="1:7" x14ac:dyDescent="0.3">
      <c r="A1170" s="2">
        <v>42471</v>
      </c>
      <c r="B1170" s="1">
        <v>27.254999999999999</v>
      </c>
      <c r="C1170" s="1">
        <v>595.92989999999998</v>
      </c>
      <c r="D1170" s="1">
        <v>108.99</v>
      </c>
      <c r="E1170" s="3">
        <f t="shared" si="57"/>
        <v>374.80980000000045</v>
      </c>
      <c r="F1170" s="4">
        <f t="shared" si="55"/>
        <v>39.959600000000137</v>
      </c>
      <c r="G1170" s="4">
        <f t="shared" si="56"/>
        <v>-39.959600000000137</v>
      </c>
    </row>
    <row r="1171" spans="1:7" x14ac:dyDescent="0.3">
      <c r="A1171" s="2">
        <v>42468</v>
      </c>
      <c r="B1171" s="1">
        <v>27.164999999999999</v>
      </c>
      <c r="C1171" s="1">
        <v>594.6001</v>
      </c>
      <c r="D1171" s="1">
        <v>110.63</v>
      </c>
      <c r="E1171" s="3">
        <f t="shared" si="57"/>
        <v>334.85020000000031</v>
      </c>
      <c r="F1171" s="4">
        <f t="shared" si="55"/>
        <v>68.040400000000318</v>
      </c>
      <c r="G1171" s="4">
        <f t="shared" si="56"/>
        <v>-68.040400000000318</v>
      </c>
    </row>
    <row r="1172" spans="1:7" x14ac:dyDescent="0.3">
      <c r="A1172" s="2">
        <v>42467</v>
      </c>
      <c r="B1172" s="1">
        <v>27.135000000000002</v>
      </c>
      <c r="C1172" s="1">
        <v>591.42989999999998</v>
      </c>
      <c r="D1172" s="1">
        <v>113.64</v>
      </c>
      <c r="E1172" s="3">
        <f t="shared" si="57"/>
        <v>266.8098</v>
      </c>
      <c r="F1172" s="4">
        <f t="shared" si="55"/>
        <v>-50.150400000000445</v>
      </c>
      <c r="G1172" s="4">
        <f t="shared" si="56"/>
        <v>50.150400000000445</v>
      </c>
    </row>
    <row r="1173" spans="1:7" x14ac:dyDescent="0.3">
      <c r="A1173" s="2">
        <v>42466</v>
      </c>
      <c r="B1173" s="1">
        <v>27.74</v>
      </c>
      <c r="C1173" s="1">
        <v>602.08010000000002</v>
      </c>
      <c r="D1173" s="1">
        <v>113.71</v>
      </c>
      <c r="E1173" s="3">
        <f t="shared" si="57"/>
        <v>316.96020000000044</v>
      </c>
      <c r="F1173" s="4">
        <f t="shared" si="55"/>
        <v>16.455400000000282</v>
      </c>
      <c r="G1173" s="4">
        <f t="shared" si="56"/>
        <v>-16.455400000000282</v>
      </c>
    </row>
    <row r="1174" spans="1:7" x14ac:dyDescent="0.3">
      <c r="A1174" s="2">
        <v>42465</v>
      </c>
      <c r="B1174" s="1">
        <v>27.452500000000001</v>
      </c>
      <c r="C1174" s="1">
        <v>586.13990000000001</v>
      </c>
      <c r="D1174" s="1">
        <v>112.22</v>
      </c>
      <c r="E1174" s="3">
        <f t="shared" si="57"/>
        <v>300.50480000000016</v>
      </c>
      <c r="F1174" s="4">
        <f t="shared" si="55"/>
        <v>-23.874999999999545</v>
      </c>
      <c r="G1174" s="4">
        <f t="shared" si="56"/>
        <v>23.874999999999545</v>
      </c>
    </row>
    <row r="1175" spans="1:7" x14ac:dyDescent="0.3">
      <c r="A1175" s="2">
        <v>42464</v>
      </c>
      <c r="B1175" s="1">
        <v>27.78</v>
      </c>
      <c r="C1175" s="1">
        <v>593.18989999999997</v>
      </c>
      <c r="D1175" s="1">
        <v>112.55</v>
      </c>
      <c r="E1175" s="3">
        <f t="shared" si="57"/>
        <v>324.3797999999997</v>
      </c>
      <c r="F1175" s="4">
        <f t="shared" si="55"/>
        <v>73.704799999999523</v>
      </c>
      <c r="G1175" s="4">
        <f t="shared" si="56"/>
        <v>-73.704799999999523</v>
      </c>
    </row>
    <row r="1176" spans="1:7" x14ac:dyDescent="0.3">
      <c r="A1176" s="2">
        <v>42461</v>
      </c>
      <c r="B1176" s="1">
        <v>27.497499999999999</v>
      </c>
      <c r="C1176" s="1">
        <v>598.5</v>
      </c>
      <c r="D1176" s="1">
        <v>116.06</v>
      </c>
      <c r="E1176" s="3">
        <f t="shared" si="57"/>
        <v>250.67500000000018</v>
      </c>
      <c r="F1176" s="4">
        <f t="shared" si="55"/>
        <v>-16.979800000000068</v>
      </c>
      <c r="G1176" s="4">
        <f t="shared" si="56"/>
        <v>16.979800000000068</v>
      </c>
    </row>
    <row r="1177" spans="1:7" x14ac:dyDescent="0.3">
      <c r="A1177" s="2">
        <v>42460</v>
      </c>
      <c r="B1177" s="1">
        <v>27.247499999999999</v>
      </c>
      <c r="C1177" s="1">
        <v>593.63990000000001</v>
      </c>
      <c r="D1177" s="1">
        <v>114.1</v>
      </c>
      <c r="E1177" s="3">
        <f t="shared" si="57"/>
        <v>267.65480000000025</v>
      </c>
      <c r="F1177" s="4">
        <f t="shared" si="55"/>
        <v>-5.2249999999994543</v>
      </c>
      <c r="G1177" s="4">
        <f t="shared" si="56"/>
        <v>5.2249999999994543</v>
      </c>
    </row>
    <row r="1178" spans="1:7" x14ac:dyDescent="0.3">
      <c r="A1178" s="2">
        <v>42459</v>
      </c>
      <c r="B1178" s="1">
        <v>27.39</v>
      </c>
      <c r="C1178" s="1">
        <v>598.68989999999997</v>
      </c>
      <c r="D1178" s="1">
        <v>114.7</v>
      </c>
      <c r="E1178" s="3">
        <f t="shared" si="57"/>
        <v>272.8797999999997</v>
      </c>
      <c r="F1178" s="4">
        <f t="shared" si="55"/>
        <v>61.959600000000137</v>
      </c>
      <c r="G1178" s="4">
        <f t="shared" si="56"/>
        <v>-61.959600000000137</v>
      </c>
    </row>
    <row r="1179" spans="1:7" x14ac:dyDescent="0.3">
      <c r="A1179" s="2">
        <v>42458</v>
      </c>
      <c r="B1179" s="1">
        <v>26.92</v>
      </c>
      <c r="C1179" s="1">
        <v>593.86009999999999</v>
      </c>
      <c r="D1179" s="1">
        <v>116.14</v>
      </c>
      <c r="E1179" s="3">
        <f t="shared" si="57"/>
        <v>210.92019999999957</v>
      </c>
      <c r="F1179" s="4">
        <f t="shared" si="55"/>
        <v>10.104999999999563</v>
      </c>
      <c r="G1179" s="4">
        <f t="shared" si="56"/>
        <v>-10.104999999999563</v>
      </c>
    </row>
    <row r="1180" spans="1:7" x14ac:dyDescent="0.3">
      <c r="A1180" s="2">
        <v>42457</v>
      </c>
      <c r="B1180" s="1">
        <v>26.297499999999999</v>
      </c>
      <c r="C1180" s="1">
        <v>579.87009999999998</v>
      </c>
      <c r="D1180" s="1">
        <v>113.69</v>
      </c>
      <c r="E1180" s="3">
        <f t="shared" si="57"/>
        <v>200.8152</v>
      </c>
      <c r="F1180" s="4">
        <f t="shared" si="55"/>
        <v>-24.959800000000087</v>
      </c>
      <c r="G1180" s="4">
        <f t="shared" si="56"/>
        <v>24.959800000000087</v>
      </c>
    </row>
    <row r="1181" spans="1:7" x14ac:dyDescent="0.3">
      <c r="A1181" s="2">
        <v>42454</v>
      </c>
      <c r="B1181" s="1">
        <v>26.4175</v>
      </c>
      <c r="C1181" s="1">
        <v>582.95000000000005</v>
      </c>
      <c r="D1181" s="1">
        <v>113.05</v>
      </c>
      <c r="E1181" s="3">
        <f t="shared" si="57"/>
        <v>225.77500000000009</v>
      </c>
      <c r="F1181" s="4">
        <f t="shared" si="55"/>
        <v>0</v>
      </c>
      <c r="G1181" s="4">
        <f t="shared" si="56"/>
        <v>0</v>
      </c>
    </row>
    <row r="1182" spans="1:7" x14ac:dyDescent="0.3">
      <c r="A1182" s="2">
        <v>42453</v>
      </c>
      <c r="B1182" s="1">
        <v>26.4175</v>
      </c>
      <c r="C1182" s="1">
        <v>582.95000000000005</v>
      </c>
      <c r="D1182" s="1">
        <v>113.05</v>
      </c>
      <c r="E1182" s="3">
        <f t="shared" si="57"/>
        <v>225.77500000000009</v>
      </c>
      <c r="F1182" s="4">
        <f t="shared" si="55"/>
        <v>10.690200000000459</v>
      </c>
      <c r="G1182" s="4">
        <f t="shared" si="56"/>
        <v>-10.690200000000459</v>
      </c>
    </row>
    <row r="1183" spans="1:7" x14ac:dyDescent="0.3">
      <c r="A1183" s="2">
        <v>42452</v>
      </c>
      <c r="B1183" s="1">
        <v>26.532499999999999</v>
      </c>
      <c r="C1183" s="1">
        <v>569.62990000000002</v>
      </c>
      <c r="D1183" s="1">
        <v>112.54</v>
      </c>
      <c r="E1183" s="3">
        <f t="shared" si="57"/>
        <v>215.08479999999963</v>
      </c>
      <c r="F1183" s="4">
        <f t="shared" si="55"/>
        <v>5.1247999999995955</v>
      </c>
      <c r="G1183" s="4">
        <f t="shared" si="56"/>
        <v>-5.1247999999995955</v>
      </c>
    </row>
    <row r="1184" spans="1:7" x14ac:dyDescent="0.3">
      <c r="A1184" s="2">
        <v>42451</v>
      </c>
      <c r="B1184" s="1">
        <v>26.68</v>
      </c>
      <c r="C1184" s="1">
        <v>560.48</v>
      </c>
      <c r="D1184" s="1">
        <v>112.25</v>
      </c>
      <c r="E1184" s="3">
        <f t="shared" si="57"/>
        <v>209.96000000000004</v>
      </c>
      <c r="F1184" s="4">
        <f t="shared" si="55"/>
        <v>15.125</v>
      </c>
      <c r="G1184" s="4">
        <f t="shared" si="56"/>
        <v>-15.125</v>
      </c>
    </row>
    <row r="1185" spans="1:7" x14ac:dyDescent="0.3">
      <c r="A1185" s="2">
        <v>42450</v>
      </c>
      <c r="B1185" s="1">
        <v>26.477499999999999</v>
      </c>
      <c r="C1185" s="1">
        <v>553.98</v>
      </c>
      <c r="D1185" s="1">
        <v>111.85</v>
      </c>
      <c r="E1185" s="3">
        <f t="shared" si="57"/>
        <v>194.83500000000004</v>
      </c>
      <c r="F1185" s="4">
        <f t="shared" si="55"/>
        <v>-4.3252000000002226</v>
      </c>
      <c r="G1185" s="4">
        <f t="shared" si="56"/>
        <v>4.3252000000002226</v>
      </c>
    </row>
    <row r="1186" spans="1:7" x14ac:dyDescent="0.3">
      <c r="A1186" s="2">
        <v>42447</v>
      </c>
      <c r="B1186" s="1">
        <v>26.48</v>
      </c>
      <c r="C1186" s="1">
        <v>552.08010000000002</v>
      </c>
      <c r="D1186" s="1">
        <v>111.45</v>
      </c>
      <c r="E1186" s="3">
        <f t="shared" si="57"/>
        <v>199.16020000000026</v>
      </c>
      <c r="F1186" s="4">
        <f t="shared" si="55"/>
        <v>-21.819599999999355</v>
      </c>
      <c r="G1186" s="4">
        <f t="shared" si="56"/>
        <v>21.819599999999355</v>
      </c>
    </row>
    <row r="1187" spans="1:7" x14ac:dyDescent="0.3">
      <c r="A1187" s="2">
        <v>42446</v>
      </c>
      <c r="B1187" s="1">
        <v>26.45</v>
      </c>
      <c r="C1187" s="1">
        <v>559.43989999999997</v>
      </c>
      <c r="D1187" s="1">
        <v>111.02</v>
      </c>
      <c r="E1187" s="3">
        <f t="shared" si="57"/>
        <v>220.97979999999961</v>
      </c>
      <c r="F1187" s="4">
        <f t="shared" si="55"/>
        <v>-8.5851999999999862</v>
      </c>
      <c r="G1187" s="4">
        <f t="shared" si="56"/>
        <v>8.5851999999999862</v>
      </c>
    </row>
    <row r="1188" spans="1:7" x14ac:dyDescent="0.3">
      <c r="A1188" s="2">
        <v>42445</v>
      </c>
      <c r="B1188" s="1">
        <v>26.4925</v>
      </c>
      <c r="C1188" s="1">
        <v>574.27</v>
      </c>
      <c r="D1188" s="1">
        <v>112.18</v>
      </c>
      <c r="E1188" s="3">
        <f t="shared" si="57"/>
        <v>229.5649999999996</v>
      </c>
      <c r="F1188" s="4">
        <f t="shared" si="55"/>
        <v>-18.325000000000273</v>
      </c>
      <c r="G1188" s="4">
        <f t="shared" si="56"/>
        <v>18.325000000000273</v>
      </c>
    </row>
    <row r="1189" spans="1:7" x14ac:dyDescent="0.3">
      <c r="A1189" s="2">
        <v>42444</v>
      </c>
      <c r="B1189" s="1">
        <v>26.145</v>
      </c>
      <c r="C1189" s="1">
        <v>577.02</v>
      </c>
      <c r="D1189" s="1">
        <v>110.67</v>
      </c>
      <c r="E1189" s="3">
        <f t="shared" si="57"/>
        <v>247.88999999999987</v>
      </c>
      <c r="F1189" s="4">
        <f t="shared" si="55"/>
        <v>17.449799999999868</v>
      </c>
      <c r="G1189" s="4">
        <f t="shared" si="56"/>
        <v>-17.449799999999868</v>
      </c>
    </row>
    <row r="1190" spans="1:7" x14ac:dyDescent="0.3">
      <c r="A1190" s="2">
        <v>42443</v>
      </c>
      <c r="B1190" s="1">
        <v>25.63</v>
      </c>
      <c r="C1190" s="1">
        <v>573.37009999999998</v>
      </c>
      <c r="D1190" s="1">
        <v>109.89</v>
      </c>
      <c r="E1190" s="3">
        <f t="shared" si="57"/>
        <v>230.4402</v>
      </c>
      <c r="F1190" s="4">
        <f t="shared" si="55"/>
        <v>1.1700000000000728</v>
      </c>
      <c r="G1190" s="4">
        <f t="shared" si="56"/>
        <v>-1.1700000000000728</v>
      </c>
    </row>
    <row r="1191" spans="1:7" x14ac:dyDescent="0.3">
      <c r="A1191" s="2">
        <v>42440</v>
      </c>
      <c r="B1191" s="1">
        <v>25.565000000000001</v>
      </c>
      <c r="C1191" s="1">
        <v>569.61009999999999</v>
      </c>
      <c r="D1191" s="1">
        <v>109.41</v>
      </c>
      <c r="E1191" s="3">
        <f t="shared" si="57"/>
        <v>229.27019999999993</v>
      </c>
      <c r="F1191" s="4">
        <f t="shared" si="55"/>
        <v>-6.8146000000006097</v>
      </c>
      <c r="G1191" s="4">
        <f t="shared" si="56"/>
        <v>6.8146000000006097</v>
      </c>
    </row>
    <row r="1192" spans="1:7" x14ac:dyDescent="0.3">
      <c r="A1192" s="2">
        <v>42439</v>
      </c>
      <c r="B1192" s="1">
        <v>25.2925</v>
      </c>
      <c r="C1192" s="1">
        <v>558.92989999999998</v>
      </c>
      <c r="D1192" s="1">
        <v>107.32</v>
      </c>
      <c r="E1192" s="3">
        <f t="shared" si="57"/>
        <v>236.08480000000054</v>
      </c>
      <c r="F1192" s="4">
        <f t="shared" si="55"/>
        <v>3.3448000000007596</v>
      </c>
      <c r="G1192" s="4">
        <f t="shared" si="56"/>
        <v>-3.3448000000007596</v>
      </c>
    </row>
    <row r="1193" spans="1:7" x14ac:dyDescent="0.3">
      <c r="A1193" s="2">
        <v>42438</v>
      </c>
      <c r="B1193" s="1">
        <v>25.28</v>
      </c>
      <c r="C1193" s="1">
        <v>559.47</v>
      </c>
      <c r="D1193" s="1">
        <v>107.51</v>
      </c>
      <c r="E1193" s="3">
        <f t="shared" si="57"/>
        <v>232.73999999999978</v>
      </c>
      <c r="F1193" s="4">
        <f t="shared" si="55"/>
        <v>-32.054999999999836</v>
      </c>
      <c r="G1193" s="4">
        <f t="shared" si="56"/>
        <v>32.054999999999836</v>
      </c>
    </row>
    <row r="1194" spans="1:7" x14ac:dyDescent="0.3">
      <c r="A1194" s="2">
        <v>42437</v>
      </c>
      <c r="B1194" s="1">
        <v>25.2575</v>
      </c>
      <c r="C1194" s="1">
        <v>560.26</v>
      </c>
      <c r="D1194" s="1">
        <v>105.93</v>
      </c>
      <c r="E1194" s="3">
        <f t="shared" si="57"/>
        <v>264.79499999999962</v>
      </c>
      <c r="F1194" s="4">
        <f t="shared" si="55"/>
        <v>-19.580000000000382</v>
      </c>
      <c r="G1194" s="4">
        <f t="shared" si="56"/>
        <v>19.580000000000382</v>
      </c>
    </row>
    <row r="1195" spans="1:7" x14ac:dyDescent="0.3">
      <c r="A1195" s="2">
        <v>42436</v>
      </c>
      <c r="B1195" s="1">
        <v>25.467500000000001</v>
      </c>
      <c r="C1195" s="1">
        <v>562.79999999999995</v>
      </c>
      <c r="D1195" s="1">
        <v>105.73</v>
      </c>
      <c r="E1195" s="3">
        <f t="shared" si="57"/>
        <v>284.375</v>
      </c>
      <c r="F1195" s="4">
        <f t="shared" si="55"/>
        <v>14.270199999999932</v>
      </c>
      <c r="G1195" s="4">
        <f t="shared" si="56"/>
        <v>-14.270199999999932</v>
      </c>
    </row>
    <row r="1196" spans="1:7" x14ac:dyDescent="0.3">
      <c r="A1196" s="2">
        <v>42433</v>
      </c>
      <c r="B1196" s="1">
        <v>25.752500000000001</v>
      </c>
      <c r="C1196" s="1">
        <v>575.13990000000001</v>
      </c>
      <c r="D1196" s="1">
        <v>108.39</v>
      </c>
      <c r="E1196" s="3">
        <f t="shared" si="57"/>
        <v>270.10480000000007</v>
      </c>
      <c r="F1196" s="4">
        <f t="shared" si="55"/>
        <v>37.974799999999959</v>
      </c>
      <c r="G1196" s="4">
        <f t="shared" si="56"/>
        <v>-37.974799999999959</v>
      </c>
    </row>
    <row r="1197" spans="1:7" x14ac:dyDescent="0.3">
      <c r="A1197" s="2">
        <v>42432</v>
      </c>
      <c r="B1197" s="1">
        <v>25.375</v>
      </c>
      <c r="C1197" s="1">
        <v>577.49</v>
      </c>
      <c r="D1197" s="1">
        <v>109.58</v>
      </c>
      <c r="E1197" s="3">
        <f t="shared" si="57"/>
        <v>232.13000000000011</v>
      </c>
      <c r="F1197" s="4">
        <f t="shared" si="55"/>
        <v>11.335000000000036</v>
      </c>
      <c r="G1197" s="4">
        <f t="shared" si="56"/>
        <v>-11.335000000000036</v>
      </c>
    </row>
    <row r="1198" spans="1:7" x14ac:dyDescent="0.3">
      <c r="A1198" s="2">
        <v>42431</v>
      </c>
      <c r="B1198" s="1">
        <v>25.1875</v>
      </c>
      <c r="C1198" s="1">
        <v>580.21</v>
      </c>
      <c r="D1198" s="1">
        <v>109.95</v>
      </c>
      <c r="E1198" s="3">
        <f t="shared" si="57"/>
        <v>220.79500000000007</v>
      </c>
      <c r="F1198" s="4">
        <f t="shared" si="55"/>
        <v>2.4899999999997817</v>
      </c>
      <c r="G1198" s="4">
        <f t="shared" si="56"/>
        <v>-2.4899999999997817</v>
      </c>
    </row>
    <row r="1199" spans="1:7" x14ac:dyDescent="0.3">
      <c r="A1199" s="2">
        <v>42430</v>
      </c>
      <c r="B1199" s="1">
        <v>25.1325</v>
      </c>
      <c r="C1199" s="1">
        <v>579.04</v>
      </c>
      <c r="D1199" s="1">
        <v>109.82</v>
      </c>
      <c r="E1199" s="3">
        <f t="shared" si="57"/>
        <v>218.30500000000029</v>
      </c>
      <c r="F1199" s="4">
        <f t="shared" si="55"/>
        <v>43.040000000000418</v>
      </c>
      <c r="G1199" s="4">
        <f t="shared" si="56"/>
        <v>-43.040000000000418</v>
      </c>
    </row>
    <row r="1200" spans="1:7" x14ac:dyDescent="0.3">
      <c r="A1200" s="2">
        <v>42429</v>
      </c>
      <c r="B1200" s="1">
        <v>24.172499999999999</v>
      </c>
      <c r="C1200" s="1">
        <v>552.52</v>
      </c>
      <c r="D1200" s="1">
        <v>106.92</v>
      </c>
      <c r="E1200" s="3">
        <f t="shared" si="57"/>
        <v>175.26499999999987</v>
      </c>
      <c r="F1200" s="4">
        <f t="shared" si="55"/>
        <v>11.829999999999927</v>
      </c>
      <c r="G1200" s="4">
        <f t="shared" si="56"/>
        <v>-11.829999999999927</v>
      </c>
    </row>
    <row r="1201" spans="1:7" x14ac:dyDescent="0.3">
      <c r="A1201" s="2">
        <v>42426</v>
      </c>
      <c r="B1201" s="1">
        <v>24.227499999999999</v>
      </c>
      <c r="C1201" s="1">
        <v>555.23</v>
      </c>
      <c r="D1201" s="1">
        <v>107.92</v>
      </c>
      <c r="E1201" s="3">
        <f t="shared" si="57"/>
        <v>163.43499999999995</v>
      </c>
      <c r="F1201" s="4">
        <f t="shared" si="55"/>
        <v>5.0351999999998043</v>
      </c>
      <c r="G1201" s="4">
        <f t="shared" si="56"/>
        <v>-5.0351999999998043</v>
      </c>
    </row>
    <row r="1202" spans="1:7" x14ac:dyDescent="0.3">
      <c r="A1202" s="2">
        <v>42425</v>
      </c>
      <c r="B1202" s="1">
        <v>24.19</v>
      </c>
      <c r="C1202" s="1">
        <v>555.1499</v>
      </c>
      <c r="D1202" s="1">
        <v>108.07</v>
      </c>
      <c r="E1202" s="3">
        <f t="shared" si="57"/>
        <v>158.39980000000014</v>
      </c>
      <c r="F1202" s="4">
        <f t="shared" si="55"/>
        <v>-13.330199999999877</v>
      </c>
      <c r="G1202" s="4">
        <f t="shared" si="56"/>
        <v>13.330199999999877</v>
      </c>
    </row>
    <row r="1203" spans="1:7" x14ac:dyDescent="0.3">
      <c r="A1203" s="2">
        <v>42424</v>
      </c>
      <c r="B1203" s="1">
        <v>24.024999999999999</v>
      </c>
      <c r="C1203" s="1">
        <v>554.04</v>
      </c>
      <c r="D1203" s="1">
        <v>106.88</v>
      </c>
      <c r="E1203" s="3">
        <f t="shared" si="57"/>
        <v>171.73000000000002</v>
      </c>
      <c r="F1203" s="4">
        <f t="shared" si="55"/>
        <v>-8.5747999999998683</v>
      </c>
      <c r="G1203" s="4">
        <f t="shared" si="56"/>
        <v>8.5747999999998683</v>
      </c>
    </row>
    <row r="1204" spans="1:7" x14ac:dyDescent="0.3">
      <c r="A1204" s="2">
        <v>42423</v>
      </c>
      <c r="B1204" s="1">
        <v>23.672499999999999</v>
      </c>
      <c r="C1204" s="1">
        <v>552.93989999999997</v>
      </c>
      <c r="D1204" s="1">
        <v>105.46</v>
      </c>
      <c r="E1204" s="3">
        <f t="shared" si="57"/>
        <v>180.30479999999989</v>
      </c>
      <c r="F1204" s="4">
        <f t="shared" si="55"/>
        <v>-6.4952000000002954</v>
      </c>
      <c r="G1204" s="4">
        <f t="shared" si="56"/>
        <v>6.4952000000002954</v>
      </c>
    </row>
    <row r="1205" spans="1:7" x14ac:dyDescent="0.3">
      <c r="A1205" s="2">
        <v>42422</v>
      </c>
      <c r="B1205" s="1">
        <v>24.22</v>
      </c>
      <c r="C1205" s="1">
        <v>559.5</v>
      </c>
      <c r="D1205" s="1">
        <v>107.16</v>
      </c>
      <c r="E1205" s="3">
        <f t="shared" si="57"/>
        <v>186.80000000000018</v>
      </c>
      <c r="F1205" s="4">
        <f t="shared" si="55"/>
        <v>7.9002000000000407</v>
      </c>
      <c r="G1205" s="4">
        <f t="shared" si="56"/>
        <v>-7.9002000000000407</v>
      </c>
    </row>
    <row r="1206" spans="1:7" x14ac:dyDescent="0.3">
      <c r="A1206" s="2">
        <v>42419</v>
      </c>
      <c r="B1206" s="1">
        <v>24.01</v>
      </c>
      <c r="C1206" s="1">
        <v>534.8999</v>
      </c>
      <c r="D1206" s="1">
        <v>104.57</v>
      </c>
      <c r="E1206" s="3">
        <f t="shared" si="57"/>
        <v>178.89980000000014</v>
      </c>
      <c r="F1206" s="4">
        <f t="shared" si="55"/>
        <v>-4.9501999999997679</v>
      </c>
      <c r="G1206" s="4">
        <f t="shared" si="56"/>
        <v>4.9501999999997679</v>
      </c>
    </row>
    <row r="1207" spans="1:7" x14ac:dyDescent="0.3">
      <c r="A1207" s="2">
        <v>42418</v>
      </c>
      <c r="B1207" s="1">
        <v>24.065000000000001</v>
      </c>
      <c r="C1207" s="1">
        <v>525</v>
      </c>
      <c r="D1207" s="1">
        <v>103.47</v>
      </c>
      <c r="E1207" s="3">
        <f t="shared" si="57"/>
        <v>183.84999999999991</v>
      </c>
      <c r="F1207" s="4">
        <f t="shared" si="55"/>
        <v>-6.8502000000003136</v>
      </c>
      <c r="G1207" s="4">
        <f t="shared" si="56"/>
        <v>6.8502000000003136</v>
      </c>
    </row>
    <row r="1208" spans="1:7" x14ac:dyDescent="0.3">
      <c r="A1208" s="2">
        <v>42417</v>
      </c>
      <c r="B1208" s="1">
        <v>24.53</v>
      </c>
      <c r="C1208" s="1">
        <v>534.1001</v>
      </c>
      <c r="D1208" s="1">
        <v>105.2</v>
      </c>
      <c r="E1208" s="3">
        <f t="shared" si="57"/>
        <v>190.70020000000022</v>
      </c>
      <c r="F1208" s="4">
        <f t="shared" si="55"/>
        <v>-27.299999999999955</v>
      </c>
      <c r="G1208" s="4">
        <f t="shared" si="56"/>
        <v>27.299999999999955</v>
      </c>
    </row>
    <row r="1209" spans="1:7" x14ac:dyDescent="0.3">
      <c r="A1209" s="2">
        <v>42416</v>
      </c>
      <c r="B1209" s="1">
        <v>24.16</v>
      </c>
      <c r="C1209" s="1">
        <v>521.1001</v>
      </c>
      <c r="D1209" s="1">
        <v>101.61</v>
      </c>
      <c r="E1209" s="3">
        <f t="shared" si="57"/>
        <v>218.00020000000018</v>
      </c>
      <c r="F1209" s="4">
        <f t="shared" si="55"/>
        <v>69.164999999999964</v>
      </c>
      <c r="G1209" s="4">
        <f t="shared" si="56"/>
        <v>-69.164999999999964</v>
      </c>
    </row>
    <row r="1210" spans="1:7" x14ac:dyDescent="0.3">
      <c r="A1210" s="2">
        <v>42415</v>
      </c>
      <c r="B1210" s="1">
        <v>23.497499999999999</v>
      </c>
      <c r="C1210" s="1">
        <v>507.08010000000002</v>
      </c>
      <c r="D1210" s="1">
        <v>102.01</v>
      </c>
      <c r="E1210" s="3">
        <f t="shared" si="57"/>
        <v>148.83520000000021</v>
      </c>
      <c r="F1210" s="4">
        <f t="shared" si="55"/>
        <v>0</v>
      </c>
      <c r="G1210" s="4">
        <f t="shared" si="56"/>
        <v>0</v>
      </c>
    </row>
    <row r="1211" spans="1:7" x14ac:dyDescent="0.3">
      <c r="A1211" s="2">
        <v>42412</v>
      </c>
      <c r="B1211" s="1">
        <v>23.497499999999999</v>
      </c>
      <c r="C1211" s="1">
        <v>507.08010000000002</v>
      </c>
      <c r="D1211" s="1">
        <v>102.01</v>
      </c>
      <c r="E1211" s="3">
        <f t="shared" si="57"/>
        <v>148.83520000000021</v>
      </c>
      <c r="F1211" s="4">
        <f t="shared" si="55"/>
        <v>8.1450000000002092</v>
      </c>
      <c r="G1211" s="4">
        <f t="shared" si="56"/>
        <v>-8.1450000000002092</v>
      </c>
    </row>
    <row r="1212" spans="1:7" x14ac:dyDescent="0.3">
      <c r="A1212" s="2">
        <v>42411</v>
      </c>
      <c r="B1212" s="1">
        <v>23.425000000000001</v>
      </c>
      <c r="C1212" s="1">
        <v>503.82010000000002</v>
      </c>
      <c r="D1212" s="1">
        <v>101.91</v>
      </c>
      <c r="E1212" s="3">
        <f t="shared" si="57"/>
        <v>140.6902</v>
      </c>
      <c r="F1212" s="4">
        <f t="shared" si="55"/>
        <v>1.355199999999968</v>
      </c>
      <c r="G1212" s="4">
        <f t="shared" si="56"/>
        <v>-1.355199999999968</v>
      </c>
    </row>
    <row r="1213" spans="1:7" x14ac:dyDescent="0.3">
      <c r="A1213" s="2">
        <v>42410</v>
      </c>
      <c r="B1213" s="1">
        <v>23.567499999999999</v>
      </c>
      <c r="C1213" s="1">
        <v>490.48</v>
      </c>
      <c r="D1213" s="1">
        <v>101</v>
      </c>
      <c r="E1213" s="3">
        <f t="shared" si="57"/>
        <v>139.33500000000004</v>
      </c>
      <c r="F1213" s="4">
        <f t="shared" si="55"/>
        <v>-21.380199999999604</v>
      </c>
      <c r="G1213" s="4">
        <f t="shared" si="56"/>
        <v>21.380199999999604</v>
      </c>
    </row>
    <row r="1214" spans="1:7" x14ac:dyDescent="0.3">
      <c r="A1214" s="2">
        <v>42409</v>
      </c>
      <c r="B1214" s="1">
        <v>23.747499999999999</v>
      </c>
      <c r="C1214" s="1">
        <v>482.07010000000002</v>
      </c>
      <c r="D1214" s="1">
        <v>99.54</v>
      </c>
      <c r="E1214" s="3">
        <f t="shared" si="57"/>
        <v>160.71519999999964</v>
      </c>
      <c r="F1214" s="4">
        <f t="shared" si="55"/>
        <v>-8.1100000000005821</v>
      </c>
      <c r="G1214" s="4">
        <f t="shared" si="56"/>
        <v>8.1100000000005821</v>
      </c>
    </row>
    <row r="1215" spans="1:7" x14ac:dyDescent="0.3">
      <c r="A1215" s="2">
        <v>42408</v>
      </c>
      <c r="B1215" s="1">
        <v>23.752500000000001</v>
      </c>
      <c r="C1215" s="1">
        <v>488.1001</v>
      </c>
      <c r="D1215" s="1">
        <v>99.75</v>
      </c>
      <c r="E1215" s="3">
        <f t="shared" si="57"/>
        <v>168.82520000000022</v>
      </c>
      <c r="F1215" s="4">
        <f t="shared" si="55"/>
        <v>70.715400000000045</v>
      </c>
      <c r="G1215" s="4">
        <f t="shared" si="56"/>
        <v>-70.715400000000045</v>
      </c>
    </row>
    <row r="1216" spans="1:7" x14ac:dyDescent="0.3">
      <c r="A1216" s="2">
        <v>42405</v>
      </c>
      <c r="B1216" s="1">
        <v>23.504999999999999</v>
      </c>
      <c r="C1216" s="1">
        <v>502.12990000000002</v>
      </c>
      <c r="D1216" s="1">
        <v>104.07</v>
      </c>
      <c r="E1216" s="3">
        <f t="shared" si="57"/>
        <v>98.109800000000178</v>
      </c>
      <c r="F1216" s="4">
        <f t="shared" si="55"/>
        <v>27.889799999999923</v>
      </c>
      <c r="G1216" s="4">
        <f t="shared" si="56"/>
        <v>-27.889799999999923</v>
      </c>
    </row>
    <row r="1217" spans="1:7" x14ac:dyDescent="0.3">
      <c r="A1217" s="2">
        <v>42404</v>
      </c>
      <c r="B1217" s="1">
        <v>24.15</v>
      </c>
      <c r="C1217" s="1">
        <v>536.26</v>
      </c>
      <c r="D1217" s="1">
        <v>110.49</v>
      </c>
      <c r="E1217" s="3">
        <f t="shared" si="57"/>
        <v>70.220000000000255</v>
      </c>
      <c r="F1217" s="4">
        <f t="shared" si="55"/>
        <v>57.504800000000614</v>
      </c>
      <c r="G1217" s="4">
        <f t="shared" si="56"/>
        <v>-57.504800000000614</v>
      </c>
    </row>
    <row r="1218" spans="1:7" x14ac:dyDescent="0.3">
      <c r="A1218" s="2">
        <v>42403</v>
      </c>
      <c r="B1218" s="1">
        <v>24.087499999999999</v>
      </c>
      <c r="C1218" s="1">
        <v>531.07010000000002</v>
      </c>
      <c r="D1218" s="1">
        <v>112.69</v>
      </c>
      <c r="E1218" s="3">
        <f t="shared" si="57"/>
        <v>12.715199999999641</v>
      </c>
      <c r="F1218" s="4">
        <f t="shared" si="55"/>
        <v>19.714999999999236</v>
      </c>
      <c r="G1218" s="4">
        <f t="shared" si="56"/>
        <v>-19.714999999999236</v>
      </c>
    </row>
    <row r="1219" spans="1:7" x14ac:dyDescent="0.3">
      <c r="A1219" s="2">
        <v>42402</v>
      </c>
      <c r="B1219" s="1">
        <v>23.62</v>
      </c>
      <c r="C1219" s="1">
        <v>552.1001</v>
      </c>
      <c r="D1219" s="1">
        <v>114.61</v>
      </c>
      <c r="E1219" s="3">
        <f t="shared" si="57"/>
        <v>-6.9997999999995955</v>
      </c>
      <c r="F1219" s="4">
        <f t="shared" si="55"/>
        <v>-60.194999999999709</v>
      </c>
      <c r="G1219" s="4">
        <f t="shared" si="56"/>
        <v>60.194999999999709</v>
      </c>
    </row>
    <row r="1220" spans="1:7" x14ac:dyDescent="0.3">
      <c r="A1220" s="2">
        <v>42401</v>
      </c>
      <c r="B1220" s="1">
        <v>24.107500000000002</v>
      </c>
      <c r="C1220" s="1">
        <v>574.81010000000003</v>
      </c>
      <c r="D1220" s="1">
        <v>115.09</v>
      </c>
      <c r="E1220" s="3">
        <f t="shared" si="57"/>
        <v>53.195200000000114</v>
      </c>
      <c r="F1220" s="4">
        <f t="shared" si="55"/>
        <v>-93.354800000000068</v>
      </c>
      <c r="G1220" s="4">
        <f t="shared" si="56"/>
        <v>93.354800000000068</v>
      </c>
    </row>
    <row r="1221" spans="1:7" x14ac:dyDescent="0.3">
      <c r="A1221" s="2">
        <v>42398</v>
      </c>
      <c r="B1221" s="1">
        <v>24.335000000000001</v>
      </c>
      <c r="C1221" s="1">
        <v>587</v>
      </c>
      <c r="D1221" s="1">
        <v>112.21</v>
      </c>
      <c r="E1221" s="3">
        <f t="shared" si="57"/>
        <v>146.55000000000018</v>
      </c>
      <c r="F1221" s="4">
        <f t="shared" ref="F1221:F1284" si="58">E1221-E1222</f>
        <v>-118.07520000000022</v>
      </c>
      <c r="G1221" s="4">
        <f t="shared" ref="G1221:G1284" si="59">-F1221</f>
        <v>118.07520000000022</v>
      </c>
    </row>
    <row r="1222" spans="1:7" x14ac:dyDescent="0.3">
      <c r="A1222" s="2">
        <v>42397</v>
      </c>
      <c r="B1222" s="1">
        <v>23.522500000000001</v>
      </c>
      <c r="C1222" s="1">
        <v>635.3501</v>
      </c>
      <c r="D1222" s="1">
        <v>109.11</v>
      </c>
      <c r="E1222" s="3">
        <f t="shared" ref="E1222:E1285" si="60">50*B1222+2*C1222-20*D1222</f>
        <v>264.6252000000004</v>
      </c>
      <c r="F1222" s="4">
        <f t="shared" si="58"/>
        <v>-180.82499999999982</v>
      </c>
      <c r="G1222" s="4">
        <f t="shared" si="59"/>
        <v>180.82499999999982</v>
      </c>
    </row>
    <row r="1223" spans="1:7" x14ac:dyDescent="0.3">
      <c r="A1223" s="2">
        <v>42396</v>
      </c>
      <c r="B1223" s="1">
        <v>23.355</v>
      </c>
      <c r="C1223" s="1">
        <v>583.3501</v>
      </c>
      <c r="D1223" s="1">
        <v>94.45</v>
      </c>
      <c r="E1223" s="3">
        <f t="shared" si="60"/>
        <v>445.45020000000022</v>
      </c>
      <c r="F1223" s="4">
        <f t="shared" si="58"/>
        <v>-60.124799999999595</v>
      </c>
      <c r="G1223" s="4">
        <f t="shared" si="59"/>
        <v>60.124799999999595</v>
      </c>
    </row>
    <row r="1224" spans="1:7" x14ac:dyDescent="0.3">
      <c r="A1224" s="2">
        <v>42395</v>
      </c>
      <c r="B1224" s="1">
        <v>24.997499999999999</v>
      </c>
      <c r="C1224" s="1">
        <v>601.25</v>
      </c>
      <c r="D1224" s="1">
        <v>97.34</v>
      </c>
      <c r="E1224" s="3">
        <f t="shared" si="60"/>
        <v>505.57499999999982</v>
      </c>
      <c r="F1224" s="4">
        <f t="shared" si="58"/>
        <v>9.7149999999999181</v>
      </c>
      <c r="G1224" s="4">
        <f t="shared" si="59"/>
        <v>-9.7149999999999181</v>
      </c>
    </row>
    <row r="1225" spans="1:7" x14ac:dyDescent="0.3">
      <c r="A1225" s="2">
        <v>42394</v>
      </c>
      <c r="B1225" s="1">
        <v>24.86</v>
      </c>
      <c r="C1225" s="1">
        <v>596.53</v>
      </c>
      <c r="D1225" s="1">
        <v>97.01</v>
      </c>
      <c r="E1225" s="3">
        <f t="shared" si="60"/>
        <v>495.8599999999999</v>
      </c>
      <c r="F1225" s="4">
        <f t="shared" si="58"/>
        <v>-5.8497999999999593</v>
      </c>
      <c r="G1225" s="4">
        <f t="shared" si="59"/>
        <v>5.8497999999999593</v>
      </c>
    </row>
    <row r="1226" spans="1:7" x14ac:dyDescent="0.3">
      <c r="A1226" s="2">
        <v>42391</v>
      </c>
      <c r="B1226" s="1">
        <v>25.355</v>
      </c>
      <c r="C1226" s="1">
        <v>596.37990000000002</v>
      </c>
      <c r="D1226" s="1">
        <v>97.94</v>
      </c>
      <c r="E1226" s="3">
        <f t="shared" si="60"/>
        <v>501.70979999999986</v>
      </c>
      <c r="F1226" s="4">
        <f t="shared" si="58"/>
        <v>31.119799999999714</v>
      </c>
      <c r="G1226" s="4">
        <f t="shared" si="59"/>
        <v>-31.119799999999714</v>
      </c>
    </row>
    <row r="1227" spans="1:7" x14ac:dyDescent="0.3">
      <c r="A1227" s="2">
        <v>42390</v>
      </c>
      <c r="B1227" s="1">
        <v>24.074999999999999</v>
      </c>
      <c r="C1227" s="1">
        <v>575.02</v>
      </c>
      <c r="D1227" s="1">
        <v>94.16</v>
      </c>
      <c r="E1227" s="3">
        <f t="shared" si="60"/>
        <v>470.59000000000015</v>
      </c>
      <c r="F1227" s="4">
        <f t="shared" si="58"/>
        <v>4.1750000000001819</v>
      </c>
      <c r="G1227" s="4">
        <f t="shared" si="59"/>
        <v>-4.1750000000001819</v>
      </c>
    </row>
    <row r="1228" spans="1:7" x14ac:dyDescent="0.3">
      <c r="A1228" s="2">
        <v>42389</v>
      </c>
      <c r="B1228" s="1">
        <v>24.197500000000002</v>
      </c>
      <c r="C1228" s="1">
        <v>571.77</v>
      </c>
      <c r="D1228" s="1">
        <v>94.35</v>
      </c>
      <c r="E1228" s="3">
        <f t="shared" si="60"/>
        <v>466.41499999999996</v>
      </c>
      <c r="F1228" s="4">
        <f t="shared" si="58"/>
        <v>14.404999999999973</v>
      </c>
      <c r="G1228" s="4">
        <f t="shared" si="59"/>
        <v>-14.404999999999973</v>
      </c>
    </row>
    <row r="1229" spans="1:7" x14ac:dyDescent="0.3">
      <c r="A1229" s="2">
        <v>42388</v>
      </c>
      <c r="B1229" s="1">
        <v>24.164999999999999</v>
      </c>
      <c r="C1229" s="1">
        <v>574.48</v>
      </c>
      <c r="D1229" s="1">
        <v>95.26</v>
      </c>
      <c r="E1229" s="3">
        <f t="shared" si="60"/>
        <v>452.01</v>
      </c>
      <c r="F1229" s="4">
        <f t="shared" si="58"/>
        <v>-3.0748000000000957</v>
      </c>
      <c r="G1229" s="4">
        <f t="shared" si="59"/>
        <v>3.0748000000000957</v>
      </c>
    </row>
    <row r="1230" spans="1:7" x14ac:dyDescent="0.3">
      <c r="A1230" s="2">
        <v>42387</v>
      </c>
      <c r="B1230" s="1">
        <v>24.282499999999999</v>
      </c>
      <c r="C1230" s="1">
        <v>570.17989999999998</v>
      </c>
      <c r="D1230" s="1">
        <v>94.97</v>
      </c>
      <c r="E1230" s="3">
        <f t="shared" si="60"/>
        <v>455.08480000000009</v>
      </c>
      <c r="F1230" s="4">
        <f t="shared" si="58"/>
        <v>0</v>
      </c>
      <c r="G1230" s="4">
        <f t="shared" si="59"/>
        <v>0</v>
      </c>
    </row>
    <row r="1231" spans="1:7" x14ac:dyDescent="0.3">
      <c r="A1231" s="2">
        <v>42384</v>
      </c>
      <c r="B1231" s="1">
        <v>24.282499999999999</v>
      </c>
      <c r="C1231" s="1">
        <v>570.17989999999998</v>
      </c>
      <c r="D1231" s="1">
        <v>94.97</v>
      </c>
      <c r="E1231" s="3">
        <f t="shared" si="60"/>
        <v>455.08480000000009</v>
      </c>
      <c r="F1231" s="4">
        <f t="shared" si="58"/>
        <v>-7.5151999999998225</v>
      </c>
      <c r="G1231" s="4">
        <f t="shared" si="59"/>
        <v>7.5151999999998225</v>
      </c>
    </row>
    <row r="1232" spans="1:7" x14ac:dyDescent="0.3">
      <c r="A1232" s="2">
        <v>42383</v>
      </c>
      <c r="B1232" s="1">
        <v>24.88</v>
      </c>
      <c r="C1232" s="1">
        <v>593</v>
      </c>
      <c r="D1232" s="1">
        <v>98.37</v>
      </c>
      <c r="E1232" s="3">
        <f t="shared" si="60"/>
        <v>462.59999999999991</v>
      </c>
      <c r="F1232" s="4">
        <f t="shared" si="58"/>
        <v>-9.5952000000004318</v>
      </c>
      <c r="G1232" s="4">
        <f t="shared" si="59"/>
        <v>9.5952000000004318</v>
      </c>
    </row>
    <row r="1233" spans="1:7" x14ac:dyDescent="0.3">
      <c r="A1233" s="2">
        <v>42382</v>
      </c>
      <c r="B1233" s="1">
        <v>24.3475</v>
      </c>
      <c r="C1233" s="1">
        <v>581.81010000000003</v>
      </c>
      <c r="D1233" s="1">
        <v>95.44</v>
      </c>
      <c r="E1233" s="3">
        <f t="shared" si="60"/>
        <v>472.19520000000034</v>
      </c>
      <c r="F1233" s="4">
        <f t="shared" si="58"/>
        <v>-25.684599999999818</v>
      </c>
      <c r="G1233" s="4">
        <f t="shared" si="59"/>
        <v>25.684599999999818</v>
      </c>
    </row>
    <row r="1234" spans="1:7" x14ac:dyDescent="0.3">
      <c r="A1234" s="2">
        <v>42381</v>
      </c>
      <c r="B1234" s="1">
        <v>24.99</v>
      </c>
      <c r="C1234" s="1">
        <v>617.88990000000001</v>
      </c>
      <c r="D1234" s="1">
        <v>99.37</v>
      </c>
      <c r="E1234" s="3">
        <f t="shared" si="60"/>
        <v>497.87980000000016</v>
      </c>
      <c r="F1234" s="4">
        <f t="shared" si="58"/>
        <v>-19.025199999999813</v>
      </c>
      <c r="G1234" s="4">
        <f t="shared" si="59"/>
        <v>19.025199999999813</v>
      </c>
    </row>
    <row r="1235" spans="1:7" x14ac:dyDescent="0.3">
      <c r="A1235" s="2">
        <v>42380</v>
      </c>
      <c r="B1235" s="1">
        <v>24.6325</v>
      </c>
      <c r="C1235" s="1">
        <v>617.74</v>
      </c>
      <c r="D1235" s="1">
        <v>97.51</v>
      </c>
      <c r="E1235" s="3">
        <f t="shared" si="60"/>
        <v>516.90499999999997</v>
      </c>
      <c r="F1235" s="4">
        <f t="shared" si="58"/>
        <v>37.404999999999973</v>
      </c>
      <c r="G1235" s="4">
        <f t="shared" si="59"/>
        <v>-37.404999999999973</v>
      </c>
    </row>
    <row r="1236" spans="1:7" x14ac:dyDescent="0.3">
      <c r="A1236" s="2">
        <v>42377</v>
      </c>
      <c r="B1236" s="1">
        <v>24.24</v>
      </c>
      <c r="C1236" s="1">
        <v>607.04999999999995</v>
      </c>
      <c r="D1236" s="1">
        <v>97.33</v>
      </c>
      <c r="E1236" s="3">
        <f t="shared" si="60"/>
        <v>479.5</v>
      </c>
      <c r="F1236" s="4">
        <f t="shared" si="58"/>
        <v>16.395200000000386</v>
      </c>
      <c r="G1236" s="4">
        <f t="shared" si="59"/>
        <v>-16.395200000000386</v>
      </c>
    </row>
    <row r="1237" spans="1:7" x14ac:dyDescent="0.3">
      <c r="A1237" s="2">
        <v>42376</v>
      </c>
      <c r="B1237" s="1">
        <v>24.112500000000001</v>
      </c>
      <c r="C1237" s="1">
        <v>607.93989999999997</v>
      </c>
      <c r="D1237" s="1">
        <v>97.92</v>
      </c>
      <c r="E1237" s="3">
        <f t="shared" si="60"/>
        <v>463.10479999999961</v>
      </c>
      <c r="F1237" s="4">
        <f t="shared" si="58"/>
        <v>-1.5450000000000728</v>
      </c>
      <c r="G1237" s="4">
        <f t="shared" si="59"/>
        <v>1.5450000000000728</v>
      </c>
    </row>
    <row r="1238" spans="1:7" x14ac:dyDescent="0.3">
      <c r="A1238" s="2">
        <v>42375</v>
      </c>
      <c r="B1238" s="1">
        <v>25.175000000000001</v>
      </c>
      <c r="C1238" s="1">
        <v>632.6499</v>
      </c>
      <c r="D1238" s="1">
        <v>102.97</v>
      </c>
      <c r="E1238" s="3">
        <f t="shared" si="60"/>
        <v>464.64979999999969</v>
      </c>
      <c r="F1238" s="4">
        <f t="shared" si="58"/>
        <v>-32.205200000000332</v>
      </c>
      <c r="G1238" s="4">
        <f t="shared" si="59"/>
        <v>32.205200000000332</v>
      </c>
    </row>
    <row r="1239" spans="1:7" x14ac:dyDescent="0.3">
      <c r="A1239" s="2">
        <v>42374</v>
      </c>
      <c r="B1239" s="1">
        <v>25.677499999999998</v>
      </c>
      <c r="C1239" s="1">
        <v>633.79</v>
      </c>
      <c r="D1239" s="1">
        <v>102.73</v>
      </c>
      <c r="E1239" s="3">
        <f t="shared" si="60"/>
        <v>496.85500000000002</v>
      </c>
      <c r="F1239" s="4">
        <f t="shared" si="58"/>
        <v>-49.599999999999909</v>
      </c>
      <c r="G1239" s="4">
        <f t="shared" si="59"/>
        <v>49.599999999999909</v>
      </c>
    </row>
    <row r="1240" spans="1:7" x14ac:dyDescent="0.3">
      <c r="A1240" s="2">
        <v>42373</v>
      </c>
      <c r="B1240" s="1">
        <v>26.337499999999999</v>
      </c>
      <c r="C1240" s="1">
        <v>636.99</v>
      </c>
      <c r="D1240" s="1">
        <v>102.22</v>
      </c>
      <c r="E1240" s="3">
        <f t="shared" si="60"/>
        <v>546.45499999999993</v>
      </c>
      <c r="F1240" s="4">
        <f t="shared" si="58"/>
        <v>-27.874800000000505</v>
      </c>
      <c r="G1240" s="4">
        <f t="shared" si="59"/>
        <v>27.874800000000505</v>
      </c>
    </row>
    <row r="1241" spans="1:7" x14ac:dyDescent="0.3">
      <c r="A1241" s="2">
        <v>42370</v>
      </c>
      <c r="B1241" s="1">
        <v>26.315000000000001</v>
      </c>
      <c r="C1241" s="1">
        <v>675.88990000000001</v>
      </c>
      <c r="D1241" s="1">
        <v>104.66</v>
      </c>
      <c r="E1241" s="3">
        <f t="shared" si="60"/>
        <v>574.32980000000043</v>
      </c>
      <c r="F1241" s="4">
        <f t="shared" si="58"/>
        <v>0</v>
      </c>
      <c r="G1241" s="4">
        <f t="shared" si="59"/>
        <v>0</v>
      </c>
    </row>
    <row r="1242" spans="1:7" x14ac:dyDescent="0.3">
      <c r="A1242" s="2">
        <v>42369</v>
      </c>
      <c r="B1242" s="1">
        <v>26.315000000000001</v>
      </c>
      <c r="C1242" s="1">
        <v>675.88990000000001</v>
      </c>
      <c r="D1242" s="1">
        <v>104.66</v>
      </c>
      <c r="E1242" s="3">
        <f t="shared" si="60"/>
        <v>574.32980000000043</v>
      </c>
      <c r="F1242" s="4">
        <f t="shared" si="58"/>
        <v>-20.910399999999299</v>
      </c>
      <c r="G1242" s="4">
        <f t="shared" si="59"/>
        <v>20.910399999999299</v>
      </c>
    </row>
    <row r="1243" spans="1:7" x14ac:dyDescent="0.3">
      <c r="A1243" s="2">
        <v>42368</v>
      </c>
      <c r="B1243" s="1">
        <v>26.83</v>
      </c>
      <c r="C1243" s="1">
        <v>689.07010000000002</v>
      </c>
      <c r="D1243" s="1">
        <v>106.22</v>
      </c>
      <c r="E1243" s="3">
        <f t="shared" si="60"/>
        <v>595.24019999999973</v>
      </c>
      <c r="F1243" s="4">
        <f t="shared" si="58"/>
        <v>-6.7498000000000502</v>
      </c>
      <c r="G1243" s="4">
        <f t="shared" si="59"/>
        <v>6.7498000000000502</v>
      </c>
    </row>
    <row r="1244" spans="1:7" x14ac:dyDescent="0.3">
      <c r="A1244" s="2">
        <v>42367</v>
      </c>
      <c r="B1244" s="1">
        <v>27.184999999999999</v>
      </c>
      <c r="C1244" s="1">
        <v>693.97</v>
      </c>
      <c r="D1244" s="1">
        <v>107.26</v>
      </c>
      <c r="E1244" s="3">
        <f t="shared" si="60"/>
        <v>601.98999999999978</v>
      </c>
      <c r="F1244" s="4">
        <f t="shared" si="58"/>
        <v>34.940000000000055</v>
      </c>
      <c r="G1244" s="4">
        <f t="shared" si="59"/>
        <v>-34.940000000000055</v>
      </c>
    </row>
    <row r="1245" spans="1:7" x14ac:dyDescent="0.3">
      <c r="A1245" s="2">
        <v>42366</v>
      </c>
      <c r="B1245" s="1">
        <v>26.704999999999998</v>
      </c>
      <c r="C1245" s="1">
        <v>675.2</v>
      </c>
      <c r="D1245" s="1">
        <v>105.93</v>
      </c>
      <c r="E1245" s="3">
        <f t="shared" si="60"/>
        <v>567.04999999999973</v>
      </c>
      <c r="F1245" s="4">
        <f t="shared" si="58"/>
        <v>-8.5050000000001091</v>
      </c>
      <c r="G1245" s="4">
        <f t="shared" si="59"/>
        <v>8.5050000000001091</v>
      </c>
    </row>
    <row r="1246" spans="1:7" x14ac:dyDescent="0.3">
      <c r="A1246" s="2">
        <v>42363</v>
      </c>
      <c r="B1246" s="1">
        <v>27.0075</v>
      </c>
      <c r="C1246" s="1">
        <v>662.79</v>
      </c>
      <c r="D1246" s="1">
        <v>105.02</v>
      </c>
      <c r="E1246" s="3">
        <f t="shared" si="60"/>
        <v>575.55499999999984</v>
      </c>
      <c r="F1246" s="4">
        <f t="shared" si="58"/>
        <v>0</v>
      </c>
      <c r="G1246" s="4">
        <f t="shared" si="59"/>
        <v>0</v>
      </c>
    </row>
    <row r="1247" spans="1:7" x14ac:dyDescent="0.3">
      <c r="A1247" s="2">
        <v>42362</v>
      </c>
      <c r="B1247" s="1">
        <v>27.0075</v>
      </c>
      <c r="C1247" s="1">
        <v>662.79</v>
      </c>
      <c r="D1247" s="1">
        <v>105.02</v>
      </c>
      <c r="E1247" s="3">
        <f t="shared" si="60"/>
        <v>575.55499999999984</v>
      </c>
      <c r="F1247" s="4">
        <f t="shared" si="58"/>
        <v>-16.870000000000346</v>
      </c>
      <c r="G1247" s="4">
        <f t="shared" si="59"/>
        <v>16.870000000000346</v>
      </c>
    </row>
    <row r="1248" spans="1:7" x14ac:dyDescent="0.3">
      <c r="A1248" s="2">
        <v>42361</v>
      </c>
      <c r="B1248" s="1">
        <v>27.1525</v>
      </c>
      <c r="C1248" s="1">
        <v>663.7</v>
      </c>
      <c r="D1248" s="1">
        <v>104.63</v>
      </c>
      <c r="E1248" s="3">
        <f t="shared" si="60"/>
        <v>592.42500000000018</v>
      </c>
      <c r="F1248" s="4">
        <f t="shared" si="58"/>
        <v>35.950200000000677</v>
      </c>
      <c r="G1248" s="4">
        <f t="shared" si="59"/>
        <v>-35.950200000000677</v>
      </c>
    </row>
    <row r="1249" spans="1:7" x14ac:dyDescent="0.3">
      <c r="A1249" s="2">
        <v>42360</v>
      </c>
      <c r="B1249" s="1">
        <v>26.807500000000001</v>
      </c>
      <c r="C1249" s="1">
        <v>663.1499</v>
      </c>
      <c r="D1249" s="1">
        <v>105.51</v>
      </c>
      <c r="E1249" s="3">
        <f t="shared" si="60"/>
        <v>556.4747999999995</v>
      </c>
      <c r="F1249" s="4">
        <f t="shared" si="58"/>
        <v>-18.770200000000386</v>
      </c>
      <c r="G1249" s="4">
        <f t="shared" si="59"/>
        <v>18.770200000000386</v>
      </c>
    </row>
    <row r="1250" spans="1:7" x14ac:dyDescent="0.3">
      <c r="A1250" s="2">
        <v>42359</v>
      </c>
      <c r="B1250" s="1">
        <v>26.8325</v>
      </c>
      <c r="C1250" s="1">
        <v>664.51</v>
      </c>
      <c r="D1250" s="1">
        <v>104.77</v>
      </c>
      <c r="E1250" s="3">
        <f t="shared" si="60"/>
        <v>575.24499999999989</v>
      </c>
      <c r="F1250" s="4">
        <f t="shared" si="58"/>
        <v>2.3901999999998225</v>
      </c>
      <c r="G1250" s="4">
        <f t="shared" si="59"/>
        <v>-2.3901999999998225</v>
      </c>
    </row>
    <row r="1251" spans="1:7" x14ac:dyDescent="0.3">
      <c r="A1251" s="2">
        <v>42356</v>
      </c>
      <c r="B1251" s="1">
        <v>26.5075</v>
      </c>
      <c r="C1251" s="1">
        <v>664.13990000000001</v>
      </c>
      <c r="D1251" s="1">
        <v>104.04</v>
      </c>
      <c r="E1251" s="3">
        <f t="shared" si="60"/>
        <v>572.85480000000007</v>
      </c>
      <c r="F1251" s="4">
        <f t="shared" si="58"/>
        <v>-6.294999999999618</v>
      </c>
      <c r="G1251" s="4">
        <f t="shared" si="59"/>
        <v>6.294999999999618</v>
      </c>
    </row>
    <row r="1252" spans="1:7" x14ac:dyDescent="0.3">
      <c r="A1252" s="2">
        <v>42355</v>
      </c>
      <c r="B1252" s="1">
        <v>27.245000000000001</v>
      </c>
      <c r="C1252" s="1">
        <v>670.6499</v>
      </c>
      <c r="D1252" s="1">
        <v>106.22</v>
      </c>
      <c r="E1252" s="3">
        <f t="shared" si="60"/>
        <v>579.14979999999969</v>
      </c>
      <c r="F1252" s="4">
        <f t="shared" si="58"/>
        <v>-28.340200000000095</v>
      </c>
      <c r="G1252" s="4">
        <f t="shared" si="59"/>
        <v>28.340200000000095</v>
      </c>
    </row>
    <row r="1253" spans="1:7" x14ac:dyDescent="0.3">
      <c r="A1253" s="2">
        <v>42354</v>
      </c>
      <c r="B1253" s="1">
        <v>27.835000000000001</v>
      </c>
      <c r="C1253" s="1">
        <v>675.77</v>
      </c>
      <c r="D1253" s="1">
        <v>106.79</v>
      </c>
      <c r="E1253" s="3">
        <f t="shared" si="60"/>
        <v>607.48999999999978</v>
      </c>
      <c r="F1253" s="4">
        <f t="shared" si="58"/>
        <v>8.5199999999531428E-2</v>
      </c>
      <c r="G1253" s="4">
        <f t="shared" si="59"/>
        <v>-8.5199999999531428E-2</v>
      </c>
    </row>
    <row r="1254" spans="1:7" x14ac:dyDescent="0.3">
      <c r="A1254" s="2">
        <v>42353</v>
      </c>
      <c r="B1254" s="1">
        <v>27.622499999999999</v>
      </c>
      <c r="C1254" s="1">
        <v>658.63990000000001</v>
      </c>
      <c r="D1254" s="1">
        <v>104.55</v>
      </c>
      <c r="E1254" s="3">
        <f t="shared" si="60"/>
        <v>607.40480000000025</v>
      </c>
      <c r="F1254" s="4">
        <f t="shared" si="58"/>
        <v>-21.215000000000146</v>
      </c>
      <c r="G1254" s="4">
        <f t="shared" si="59"/>
        <v>21.215000000000146</v>
      </c>
    </row>
    <row r="1255" spans="1:7" x14ac:dyDescent="0.3">
      <c r="A1255" s="2">
        <v>42352</v>
      </c>
      <c r="B1255" s="1">
        <v>28.12</v>
      </c>
      <c r="C1255" s="1">
        <v>657.90989999999999</v>
      </c>
      <c r="D1255" s="1">
        <v>104.66</v>
      </c>
      <c r="E1255" s="3">
        <f t="shared" si="60"/>
        <v>628.6198000000004</v>
      </c>
      <c r="F1255" s="4">
        <f t="shared" si="58"/>
        <v>-24.029999999999291</v>
      </c>
      <c r="G1255" s="4">
        <f t="shared" si="59"/>
        <v>24.029999999999291</v>
      </c>
    </row>
    <row r="1256" spans="1:7" x14ac:dyDescent="0.3">
      <c r="A1256" s="2">
        <v>42349</v>
      </c>
      <c r="B1256" s="1">
        <v>28.295000000000002</v>
      </c>
      <c r="C1256" s="1">
        <v>640.1499</v>
      </c>
      <c r="D1256" s="1">
        <v>102.12</v>
      </c>
      <c r="E1256" s="3">
        <f t="shared" si="60"/>
        <v>652.64979999999969</v>
      </c>
      <c r="F1256" s="4">
        <f t="shared" si="58"/>
        <v>-15.715400000000045</v>
      </c>
      <c r="G1256" s="4">
        <f t="shared" si="59"/>
        <v>15.715400000000045</v>
      </c>
    </row>
    <row r="1257" spans="1:7" x14ac:dyDescent="0.3">
      <c r="A1257" s="2">
        <v>42348</v>
      </c>
      <c r="B1257" s="1">
        <v>29.0425</v>
      </c>
      <c r="C1257" s="1">
        <v>662.32010000000002</v>
      </c>
      <c r="D1257" s="1">
        <v>105.42</v>
      </c>
      <c r="E1257" s="3">
        <f t="shared" si="60"/>
        <v>668.36519999999973</v>
      </c>
      <c r="F1257" s="4">
        <f t="shared" si="58"/>
        <v>-14.464800000000196</v>
      </c>
      <c r="G1257" s="4">
        <f t="shared" si="59"/>
        <v>14.464800000000196</v>
      </c>
    </row>
    <row r="1258" spans="1:7" x14ac:dyDescent="0.3">
      <c r="A1258" s="2">
        <v>42347</v>
      </c>
      <c r="B1258" s="1">
        <v>28.905000000000001</v>
      </c>
      <c r="C1258" s="1">
        <v>664.79</v>
      </c>
      <c r="D1258" s="1">
        <v>104.6</v>
      </c>
      <c r="E1258" s="3">
        <f t="shared" si="60"/>
        <v>682.82999999999993</v>
      </c>
      <c r="F1258" s="4">
        <f t="shared" si="58"/>
        <v>-19.905200000000605</v>
      </c>
      <c r="G1258" s="4">
        <f t="shared" si="59"/>
        <v>19.905200000000605</v>
      </c>
    </row>
    <row r="1259" spans="1:7" x14ac:dyDescent="0.3">
      <c r="A1259" s="2">
        <v>42346</v>
      </c>
      <c r="B1259" s="1">
        <v>29.557500000000001</v>
      </c>
      <c r="C1259" s="1">
        <v>677.33010000000002</v>
      </c>
      <c r="D1259" s="1">
        <v>106.49</v>
      </c>
      <c r="E1259" s="3">
        <f t="shared" si="60"/>
        <v>702.73520000000053</v>
      </c>
      <c r="F1259" s="4">
        <f t="shared" si="58"/>
        <v>-3.2249999999999091</v>
      </c>
      <c r="G1259" s="4">
        <f t="shared" si="59"/>
        <v>3.2249999999999091</v>
      </c>
    </row>
    <row r="1260" spans="1:7" x14ac:dyDescent="0.3">
      <c r="A1260" s="2">
        <v>42345</v>
      </c>
      <c r="B1260" s="1">
        <v>29.57</v>
      </c>
      <c r="C1260" s="1">
        <v>669.83010000000002</v>
      </c>
      <c r="D1260" s="1">
        <v>105.61</v>
      </c>
      <c r="E1260" s="3">
        <f t="shared" si="60"/>
        <v>705.96020000000044</v>
      </c>
      <c r="F1260" s="4">
        <f t="shared" si="58"/>
        <v>-3.5945999999994456</v>
      </c>
      <c r="G1260" s="4">
        <f t="shared" si="59"/>
        <v>3.5945999999994456</v>
      </c>
    </row>
    <row r="1261" spans="1:7" x14ac:dyDescent="0.3">
      <c r="A1261" s="2">
        <v>42342</v>
      </c>
      <c r="B1261" s="1">
        <v>29.7575</v>
      </c>
      <c r="C1261" s="1">
        <v>672.63990000000001</v>
      </c>
      <c r="D1261" s="1">
        <v>106.18</v>
      </c>
      <c r="E1261" s="3">
        <f t="shared" si="60"/>
        <v>709.55479999999989</v>
      </c>
      <c r="F1261" s="4">
        <f t="shared" si="58"/>
        <v>24.654799999999796</v>
      </c>
      <c r="G1261" s="4">
        <f t="shared" si="59"/>
        <v>-24.654799999999796</v>
      </c>
    </row>
    <row r="1262" spans="1:7" x14ac:dyDescent="0.3">
      <c r="A1262" s="2">
        <v>42341</v>
      </c>
      <c r="B1262" s="1">
        <v>28.8</v>
      </c>
      <c r="C1262" s="1">
        <v>666.25</v>
      </c>
      <c r="D1262" s="1">
        <v>104.38</v>
      </c>
      <c r="E1262" s="3">
        <f t="shared" si="60"/>
        <v>684.90000000000009</v>
      </c>
      <c r="F1262" s="4">
        <f t="shared" si="58"/>
        <v>0.77999999999974534</v>
      </c>
      <c r="G1262" s="4">
        <f t="shared" si="59"/>
        <v>-0.77999999999974534</v>
      </c>
    </row>
    <row r="1263" spans="1:7" x14ac:dyDescent="0.3">
      <c r="A1263" s="2">
        <v>42340</v>
      </c>
      <c r="B1263" s="1">
        <v>29.07</v>
      </c>
      <c r="C1263" s="1">
        <v>676.01</v>
      </c>
      <c r="D1263" s="1">
        <v>106.07</v>
      </c>
      <c r="E1263" s="3">
        <f t="shared" si="60"/>
        <v>684.12000000000035</v>
      </c>
      <c r="F1263" s="4">
        <f t="shared" si="58"/>
        <v>1.6498000000001412</v>
      </c>
      <c r="G1263" s="4">
        <f t="shared" si="59"/>
        <v>-1.6498000000001412</v>
      </c>
    </row>
    <row r="1264" spans="1:7" x14ac:dyDescent="0.3">
      <c r="A1264" s="2">
        <v>42339</v>
      </c>
      <c r="B1264" s="1">
        <v>29.335000000000001</v>
      </c>
      <c r="C1264" s="1">
        <v>679.06010000000003</v>
      </c>
      <c r="D1264" s="1">
        <v>107.12</v>
      </c>
      <c r="E1264" s="3">
        <f t="shared" si="60"/>
        <v>682.4702000000002</v>
      </c>
      <c r="F1264" s="4">
        <f t="shared" si="58"/>
        <v>-41.079799999999977</v>
      </c>
      <c r="G1264" s="4">
        <f t="shared" si="59"/>
        <v>41.079799999999977</v>
      </c>
    </row>
    <row r="1265" spans="1:7" x14ac:dyDescent="0.3">
      <c r="A1265" s="2">
        <v>42338</v>
      </c>
      <c r="B1265" s="1">
        <v>29.574999999999999</v>
      </c>
      <c r="C1265" s="1">
        <v>664.8</v>
      </c>
      <c r="D1265" s="1">
        <v>104.24</v>
      </c>
      <c r="E1265" s="3">
        <f t="shared" si="60"/>
        <v>723.55000000000018</v>
      </c>
      <c r="F1265" s="4">
        <f t="shared" si="58"/>
        <v>13.4050000000002</v>
      </c>
      <c r="G1265" s="4">
        <f t="shared" si="59"/>
        <v>-13.4050000000002</v>
      </c>
    </row>
    <row r="1266" spans="1:7" x14ac:dyDescent="0.3">
      <c r="A1266" s="2">
        <v>42335</v>
      </c>
      <c r="B1266" s="1">
        <v>29.452500000000001</v>
      </c>
      <c r="C1266" s="1">
        <v>673.26</v>
      </c>
      <c r="D1266" s="1">
        <v>105.45</v>
      </c>
      <c r="E1266" s="3">
        <f t="shared" si="60"/>
        <v>710.14499999999998</v>
      </c>
      <c r="F1266" s="4">
        <f t="shared" si="58"/>
        <v>-7.7101999999999862</v>
      </c>
      <c r="G1266" s="4">
        <f t="shared" si="59"/>
        <v>7.7101999999999862</v>
      </c>
    </row>
    <row r="1267" spans="1:7" x14ac:dyDescent="0.3">
      <c r="A1267" s="2">
        <v>42334</v>
      </c>
      <c r="B1267" s="1">
        <v>29.5075</v>
      </c>
      <c r="C1267" s="1">
        <v>675.34010000000001</v>
      </c>
      <c r="D1267" s="1">
        <v>105.41</v>
      </c>
      <c r="E1267" s="3">
        <f t="shared" si="60"/>
        <v>717.85519999999997</v>
      </c>
      <c r="F1267" s="4">
        <f t="shared" si="58"/>
        <v>0</v>
      </c>
      <c r="G1267" s="4">
        <f t="shared" si="59"/>
        <v>0</v>
      </c>
    </row>
    <row r="1268" spans="1:7" x14ac:dyDescent="0.3">
      <c r="A1268" s="2">
        <v>42333</v>
      </c>
      <c r="B1268" s="1">
        <v>29.5075</v>
      </c>
      <c r="C1268" s="1">
        <v>675.34010000000001</v>
      </c>
      <c r="D1268" s="1">
        <v>105.41</v>
      </c>
      <c r="E1268" s="3">
        <f t="shared" si="60"/>
        <v>717.85519999999997</v>
      </c>
      <c r="F1268" s="4">
        <f t="shared" si="58"/>
        <v>4.3553999999999178</v>
      </c>
      <c r="G1268" s="4">
        <f t="shared" si="59"/>
        <v>-4.3553999999999178</v>
      </c>
    </row>
    <row r="1269" spans="1:7" x14ac:dyDescent="0.3">
      <c r="A1269" s="2">
        <v>42332</v>
      </c>
      <c r="B1269" s="1">
        <v>29.72</v>
      </c>
      <c r="C1269" s="1">
        <v>671.1499</v>
      </c>
      <c r="D1269" s="1">
        <v>105.74</v>
      </c>
      <c r="E1269" s="3">
        <f t="shared" si="60"/>
        <v>713.49980000000005</v>
      </c>
      <c r="F1269" s="4">
        <f t="shared" si="58"/>
        <v>22.644800000000032</v>
      </c>
      <c r="G1269" s="4">
        <f t="shared" si="59"/>
        <v>-22.644800000000032</v>
      </c>
    </row>
    <row r="1270" spans="1:7" x14ac:dyDescent="0.3">
      <c r="A1270" s="2">
        <v>42331</v>
      </c>
      <c r="B1270" s="1">
        <v>29.4375</v>
      </c>
      <c r="C1270" s="1">
        <v>678.99</v>
      </c>
      <c r="D1270" s="1">
        <v>106.95</v>
      </c>
      <c r="E1270" s="3">
        <f t="shared" si="60"/>
        <v>690.85500000000002</v>
      </c>
      <c r="F1270" s="4">
        <f t="shared" si="58"/>
        <v>9.1049999999995634</v>
      </c>
      <c r="G1270" s="4">
        <f t="shared" si="59"/>
        <v>-9.1049999999995634</v>
      </c>
    </row>
    <row r="1271" spans="1:7" x14ac:dyDescent="0.3">
      <c r="A1271" s="2">
        <v>42328</v>
      </c>
      <c r="B1271" s="1">
        <v>29.824999999999999</v>
      </c>
      <c r="C1271" s="1">
        <v>668.45</v>
      </c>
      <c r="D1271" s="1">
        <v>107.32</v>
      </c>
      <c r="E1271" s="3">
        <f t="shared" si="60"/>
        <v>681.75000000000045</v>
      </c>
      <c r="F1271" s="4">
        <f t="shared" si="58"/>
        <v>-0.33999999999923602</v>
      </c>
      <c r="G1271" s="4">
        <f t="shared" si="59"/>
        <v>0.33999999999923602</v>
      </c>
    </row>
    <row r="1272" spans="1:7" x14ac:dyDescent="0.3">
      <c r="A1272" s="2">
        <v>42327</v>
      </c>
      <c r="B1272" s="1">
        <v>29.695</v>
      </c>
      <c r="C1272" s="1">
        <v>661.27</v>
      </c>
      <c r="D1272" s="1">
        <v>106.26</v>
      </c>
      <c r="E1272" s="3">
        <f t="shared" si="60"/>
        <v>682.08999999999969</v>
      </c>
      <c r="F1272" s="4">
        <f t="shared" si="58"/>
        <v>44.284999999999854</v>
      </c>
      <c r="G1272" s="4">
        <f t="shared" si="59"/>
        <v>-44.284999999999854</v>
      </c>
    </row>
    <row r="1273" spans="1:7" x14ac:dyDescent="0.3">
      <c r="A1273" s="2">
        <v>42326</v>
      </c>
      <c r="B1273" s="1">
        <v>29.322500000000002</v>
      </c>
      <c r="C1273" s="1">
        <v>663.54</v>
      </c>
      <c r="D1273" s="1">
        <v>107.77</v>
      </c>
      <c r="E1273" s="3">
        <f t="shared" si="60"/>
        <v>637.80499999999984</v>
      </c>
      <c r="F1273" s="4">
        <f t="shared" si="58"/>
        <v>32.679999999999836</v>
      </c>
      <c r="G1273" s="4">
        <f t="shared" si="59"/>
        <v>-32.679999999999836</v>
      </c>
    </row>
    <row r="1274" spans="1:7" x14ac:dyDescent="0.3">
      <c r="A1274" s="2">
        <v>42325</v>
      </c>
      <c r="B1274" s="1">
        <v>28.422499999999999</v>
      </c>
      <c r="C1274" s="1">
        <v>643.29999999999995</v>
      </c>
      <c r="D1274" s="1">
        <v>105.13</v>
      </c>
      <c r="E1274" s="3">
        <f t="shared" si="60"/>
        <v>605.125</v>
      </c>
      <c r="F1274" s="4">
        <f t="shared" si="58"/>
        <v>-36.880199999999604</v>
      </c>
      <c r="G1274" s="4">
        <f t="shared" si="59"/>
        <v>36.880199999999604</v>
      </c>
    </row>
    <row r="1275" spans="1:7" x14ac:dyDescent="0.3">
      <c r="A1275" s="2">
        <v>42324</v>
      </c>
      <c r="B1275" s="1">
        <v>28.543700000000001</v>
      </c>
      <c r="C1275" s="1">
        <v>647.81010000000003</v>
      </c>
      <c r="D1275" s="1">
        <v>104.04</v>
      </c>
      <c r="E1275" s="3">
        <f t="shared" si="60"/>
        <v>642.0051999999996</v>
      </c>
      <c r="F1275" s="4">
        <f t="shared" si="58"/>
        <v>32.054999999999382</v>
      </c>
      <c r="G1275" s="4">
        <f t="shared" si="59"/>
        <v>-32.054999999999382</v>
      </c>
    </row>
    <row r="1276" spans="1:7" x14ac:dyDescent="0.3">
      <c r="A1276" s="2">
        <v>42321</v>
      </c>
      <c r="B1276" s="1">
        <v>28.085000000000001</v>
      </c>
      <c r="C1276" s="1">
        <v>642.3501</v>
      </c>
      <c r="D1276" s="1">
        <v>103.95</v>
      </c>
      <c r="E1276" s="3">
        <f t="shared" si="60"/>
        <v>609.95020000000022</v>
      </c>
      <c r="F1276" s="4">
        <f t="shared" si="58"/>
        <v>-7.3499999999999091</v>
      </c>
      <c r="G1276" s="4">
        <f t="shared" si="59"/>
        <v>7.3499999999999091</v>
      </c>
    </row>
    <row r="1277" spans="1:7" x14ac:dyDescent="0.3">
      <c r="A1277" s="2">
        <v>42320</v>
      </c>
      <c r="B1277" s="1">
        <v>28.93</v>
      </c>
      <c r="C1277" s="1">
        <v>665.6001</v>
      </c>
      <c r="D1277" s="1">
        <v>108.02</v>
      </c>
      <c r="E1277" s="3">
        <f t="shared" si="60"/>
        <v>617.30020000000013</v>
      </c>
      <c r="F1277" s="4">
        <f t="shared" si="58"/>
        <v>-0.37479999999959546</v>
      </c>
      <c r="G1277" s="4">
        <f t="shared" si="59"/>
        <v>0.37479999999959546</v>
      </c>
    </row>
    <row r="1278" spans="1:7" x14ac:dyDescent="0.3">
      <c r="A1278" s="2">
        <v>42319</v>
      </c>
      <c r="B1278" s="1">
        <v>29.0275</v>
      </c>
      <c r="C1278" s="1">
        <v>673.25</v>
      </c>
      <c r="D1278" s="1">
        <v>109.01</v>
      </c>
      <c r="E1278" s="3">
        <f t="shared" si="60"/>
        <v>617.67499999999973</v>
      </c>
      <c r="F1278" s="4">
        <f t="shared" si="58"/>
        <v>-3.1098000000006323</v>
      </c>
      <c r="G1278" s="4">
        <f t="shared" si="59"/>
        <v>3.1098000000006323</v>
      </c>
    </row>
    <row r="1279" spans="1:7" x14ac:dyDescent="0.3">
      <c r="A1279" s="2">
        <v>42318</v>
      </c>
      <c r="B1279" s="1">
        <v>29.192499999999999</v>
      </c>
      <c r="C1279" s="1">
        <v>659.67989999999998</v>
      </c>
      <c r="D1279" s="1">
        <v>107.91</v>
      </c>
      <c r="E1279" s="3">
        <f t="shared" si="60"/>
        <v>620.78480000000036</v>
      </c>
      <c r="F1279" s="4">
        <f t="shared" si="58"/>
        <v>-67.520199999999932</v>
      </c>
      <c r="G1279" s="4">
        <f t="shared" si="59"/>
        <v>67.520199999999932</v>
      </c>
    </row>
    <row r="1280" spans="1:7" x14ac:dyDescent="0.3">
      <c r="A1280" s="2">
        <v>42317</v>
      </c>
      <c r="B1280" s="1">
        <v>30.142499999999998</v>
      </c>
      <c r="C1280" s="1">
        <v>655.49</v>
      </c>
      <c r="D1280" s="1">
        <v>106.49</v>
      </c>
      <c r="E1280" s="3">
        <f t="shared" si="60"/>
        <v>688.30500000000029</v>
      </c>
      <c r="F1280" s="4">
        <f t="shared" si="58"/>
        <v>-1.7851999999998043</v>
      </c>
      <c r="G1280" s="4">
        <f t="shared" si="59"/>
        <v>1.7851999999998043</v>
      </c>
    </row>
    <row r="1281" spans="1:7" x14ac:dyDescent="0.3">
      <c r="A1281" s="2">
        <v>42314</v>
      </c>
      <c r="B1281" s="1">
        <v>30.265000000000001</v>
      </c>
      <c r="C1281" s="1">
        <v>659.37009999999998</v>
      </c>
      <c r="D1281" s="1">
        <v>107.095</v>
      </c>
      <c r="E1281" s="3">
        <f t="shared" si="60"/>
        <v>690.0902000000001</v>
      </c>
      <c r="F1281" s="4">
        <f t="shared" si="58"/>
        <v>42.490400000000591</v>
      </c>
      <c r="G1281" s="4">
        <f t="shared" si="59"/>
        <v>-42.490400000000591</v>
      </c>
    </row>
    <row r="1282" spans="1:7" x14ac:dyDescent="0.3">
      <c r="A1282" s="2">
        <v>42313</v>
      </c>
      <c r="B1282" s="1">
        <v>30.23</v>
      </c>
      <c r="C1282" s="1">
        <v>655.6499</v>
      </c>
      <c r="D1282" s="1">
        <v>108.76</v>
      </c>
      <c r="E1282" s="3">
        <f t="shared" si="60"/>
        <v>647.5997999999995</v>
      </c>
      <c r="F1282" s="4">
        <f t="shared" si="58"/>
        <v>-80.500200000000405</v>
      </c>
      <c r="G1282" s="4">
        <f t="shared" si="59"/>
        <v>80.500200000000405</v>
      </c>
    </row>
    <row r="1283" spans="1:7" x14ac:dyDescent="0.3">
      <c r="A1283" s="2">
        <v>42312</v>
      </c>
      <c r="B1283" s="1">
        <v>30.5</v>
      </c>
      <c r="C1283" s="1">
        <v>640.95000000000005</v>
      </c>
      <c r="D1283" s="1">
        <v>103.94</v>
      </c>
      <c r="E1283" s="3">
        <f t="shared" si="60"/>
        <v>728.09999999999991</v>
      </c>
      <c r="F1283" s="4">
        <f t="shared" si="58"/>
        <v>-3.0452000000004773</v>
      </c>
      <c r="G1283" s="4">
        <f t="shared" si="59"/>
        <v>3.0452000000004773</v>
      </c>
    </row>
    <row r="1284" spans="1:7" x14ac:dyDescent="0.3">
      <c r="A1284" s="2">
        <v>42311</v>
      </c>
      <c r="B1284" s="1">
        <v>30.642499999999998</v>
      </c>
      <c r="C1284" s="1">
        <v>625.31010000000003</v>
      </c>
      <c r="D1284" s="1">
        <v>102.58</v>
      </c>
      <c r="E1284" s="3">
        <f t="shared" si="60"/>
        <v>731.14520000000039</v>
      </c>
      <c r="F1284" s="4">
        <f t="shared" si="58"/>
        <v>25.894999999999982</v>
      </c>
      <c r="G1284" s="4">
        <f t="shared" si="59"/>
        <v>-25.894999999999982</v>
      </c>
    </row>
    <row r="1285" spans="1:7" x14ac:dyDescent="0.3">
      <c r="A1285" s="2">
        <v>42310</v>
      </c>
      <c r="B1285" s="1">
        <v>30.295000000000002</v>
      </c>
      <c r="C1285" s="1">
        <v>628.3501</v>
      </c>
      <c r="D1285" s="1">
        <v>103.31</v>
      </c>
      <c r="E1285" s="3">
        <f t="shared" si="60"/>
        <v>705.2502000000004</v>
      </c>
      <c r="F1285" s="4">
        <f t="shared" ref="F1285:F1304" si="61">E1285-E1286</f>
        <v>-0.89959999999928186</v>
      </c>
      <c r="G1285" s="4">
        <f t="shared" ref="G1285:G1304" si="62">-F1285</f>
        <v>0.89959999999928186</v>
      </c>
    </row>
    <row r="1286" spans="1:7" x14ac:dyDescent="0.3">
      <c r="A1286" s="2">
        <v>42307</v>
      </c>
      <c r="B1286" s="1">
        <v>29.875</v>
      </c>
      <c r="C1286" s="1">
        <v>625.8999</v>
      </c>
      <c r="D1286" s="1">
        <v>101.97</v>
      </c>
      <c r="E1286" s="3">
        <f t="shared" ref="E1286:E1304" si="63">50*B1286+2*C1286-20*D1286</f>
        <v>706.14979999999969</v>
      </c>
      <c r="F1286" s="4">
        <f t="shared" si="61"/>
        <v>44.024799999999686</v>
      </c>
      <c r="G1286" s="4">
        <f t="shared" si="62"/>
        <v>-44.024799999999686</v>
      </c>
    </row>
    <row r="1287" spans="1:7" x14ac:dyDescent="0.3">
      <c r="A1287" s="2">
        <v>42306</v>
      </c>
      <c r="B1287" s="1">
        <v>30.1325</v>
      </c>
      <c r="C1287" s="1">
        <v>626.54999999999995</v>
      </c>
      <c r="D1287" s="1">
        <v>104.88</v>
      </c>
      <c r="E1287" s="3">
        <f t="shared" si="63"/>
        <v>662.125</v>
      </c>
      <c r="F1287" s="4">
        <f t="shared" si="61"/>
        <v>21.049799999999777</v>
      </c>
      <c r="G1287" s="4">
        <f t="shared" si="62"/>
        <v>-21.049799999999777</v>
      </c>
    </row>
    <row r="1288" spans="1:7" x14ac:dyDescent="0.3">
      <c r="A1288" s="2">
        <v>42305</v>
      </c>
      <c r="B1288" s="1">
        <v>29.817499999999999</v>
      </c>
      <c r="C1288" s="1">
        <v>617.1001</v>
      </c>
      <c r="D1288" s="1">
        <v>104.2</v>
      </c>
      <c r="E1288" s="3">
        <f t="shared" si="63"/>
        <v>641.07520000000022</v>
      </c>
      <c r="F1288" s="4">
        <f t="shared" si="61"/>
        <v>61.180200000000241</v>
      </c>
      <c r="G1288" s="4">
        <f t="shared" si="62"/>
        <v>-61.180200000000241</v>
      </c>
    </row>
    <row r="1289" spans="1:7" x14ac:dyDescent="0.3">
      <c r="A1289" s="2">
        <v>42304</v>
      </c>
      <c r="B1289" s="1">
        <v>28.637499999999999</v>
      </c>
      <c r="C1289" s="1">
        <v>611.01</v>
      </c>
      <c r="D1289" s="1">
        <v>103.7</v>
      </c>
      <c r="E1289" s="3">
        <f t="shared" si="63"/>
        <v>579.89499999999998</v>
      </c>
      <c r="F1289" s="4">
        <f t="shared" si="61"/>
        <v>-2.9251999999996769</v>
      </c>
      <c r="G1289" s="4">
        <f t="shared" si="62"/>
        <v>2.9251999999996769</v>
      </c>
    </row>
    <row r="1290" spans="1:7" x14ac:dyDescent="0.3">
      <c r="A1290" s="2">
        <v>42303</v>
      </c>
      <c r="B1290" s="1">
        <v>28.82</v>
      </c>
      <c r="C1290" s="1">
        <v>608.61009999999999</v>
      </c>
      <c r="D1290" s="1">
        <v>103.77</v>
      </c>
      <c r="E1290" s="3">
        <f t="shared" si="63"/>
        <v>582.82019999999966</v>
      </c>
      <c r="F1290" s="4">
        <f t="shared" si="61"/>
        <v>-59.939800000000332</v>
      </c>
      <c r="G1290" s="4">
        <f t="shared" si="62"/>
        <v>59.939800000000332</v>
      </c>
    </row>
    <row r="1291" spans="1:7" x14ac:dyDescent="0.3">
      <c r="A1291" s="2">
        <v>42300</v>
      </c>
      <c r="B1291" s="1">
        <v>29.77</v>
      </c>
      <c r="C1291" s="1">
        <v>599.03</v>
      </c>
      <c r="D1291" s="1">
        <v>102.19</v>
      </c>
      <c r="E1291" s="3">
        <f t="shared" si="63"/>
        <v>642.76</v>
      </c>
      <c r="F1291" s="4">
        <f t="shared" si="61"/>
        <v>64.590199999999868</v>
      </c>
      <c r="G1291" s="4">
        <f t="shared" si="62"/>
        <v>-64.590199999999868</v>
      </c>
    </row>
    <row r="1292" spans="1:7" x14ac:dyDescent="0.3">
      <c r="A1292" s="2">
        <v>42299</v>
      </c>
      <c r="B1292" s="1">
        <v>28.875</v>
      </c>
      <c r="C1292" s="1">
        <v>563.90989999999999</v>
      </c>
      <c r="D1292" s="1">
        <v>99.67</v>
      </c>
      <c r="E1292" s="3">
        <f t="shared" si="63"/>
        <v>578.16980000000012</v>
      </c>
      <c r="F1292" s="4">
        <f t="shared" si="61"/>
        <v>-13.170199999999795</v>
      </c>
      <c r="G1292" s="4">
        <f t="shared" si="62"/>
        <v>13.170199999999795</v>
      </c>
    </row>
    <row r="1293" spans="1:7" x14ac:dyDescent="0.3">
      <c r="A1293" s="2">
        <v>42298</v>
      </c>
      <c r="B1293" s="1">
        <v>28.44</v>
      </c>
      <c r="C1293" s="1">
        <v>555.77</v>
      </c>
      <c r="D1293" s="1">
        <v>97.11</v>
      </c>
      <c r="E1293" s="3">
        <f t="shared" si="63"/>
        <v>591.33999999999992</v>
      </c>
      <c r="F1293" s="4">
        <f t="shared" si="61"/>
        <v>-12.544799999999896</v>
      </c>
      <c r="G1293" s="4">
        <f t="shared" si="62"/>
        <v>12.544799999999896</v>
      </c>
    </row>
    <row r="1294" spans="1:7" x14ac:dyDescent="0.3">
      <c r="A1294" s="2">
        <v>42297</v>
      </c>
      <c r="B1294" s="1">
        <v>28.442499999999999</v>
      </c>
      <c r="C1294" s="1">
        <v>560.87990000000002</v>
      </c>
      <c r="D1294" s="1">
        <v>97</v>
      </c>
      <c r="E1294" s="3">
        <f t="shared" si="63"/>
        <v>603.88479999999981</v>
      </c>
      <c r="F1294" s="4">
        <f t="shared" si="61"/>
        <v>30.360000000000127</v>
      </c>
      <c r="G1294" s="4">
        <f t="shared" si="62"/>
        <v>-30.360000000000127</v>
      </c>
    </row>
    <row r="1295" spans="1:7" x14ac:dyDescent="0.3">
      <c r="A1295" s="2">
        <v>42296</v>
      </c>
      <c r="B1295" s="1">
        <v>27.932500000000001</v>
      </c>
      <c r="C1295" s="1">
        <v>573.1499</v>
      </c>
      <c r="D1295" s="1">
        <v>98.47</v>
      </c>
      <c r="E1295" s="3">
        <f t="shared" si="63"/>
        <v>573.52479999999969</v>
      </c>
      <c r="F1295" s="4">
        <f t="shared" si="61"/>
        <v>-5.1952000000001135</v>
      </c>
      <c r="G1295" s="4">
        <f t="shared" si="62"/>
        <v>5.1952000000001135</v>
      </c>
    </row>
    <row r="1296" spans="1:7" x14ac:dyDescent="0.3">
      <c r="A1296" s="2">
        <v>42293</v>
      </c>
      <c r="B1296" s="1">
        <v>27.76</v>
      </c>
      <c r="C1296" s="1">
        <v>570.76</v>
      </c>
      <c r="D1296" s="1">
        <v>97.54</v>
      </c>
      <c r="E1296" s="3">
        <f t="shared" si="63"/>
        <v>578.7199999999998</v>
      </c>
      <c r="F1296" s="4">
        <f t="shared" si="61"/>
        <v>-25.209800000000087</v>
      </c>
      <c r="G1296" s="4">
        <f t="shared" si="62"/>
        <v>25.209800000000087</v>
      </c>
    </row>
    <row r="1297" spans="1:7" x14ac:dyDescent="0.3">
      <c r="A1297" s="2">
        <v>42292</v>
      </c>
      <c r="B1297" s="1">
        <v>27.965</v>
      </c>
      <c r="C1297" s="1">
        <v>562.43989999999997</v>
      </c>
      <c r="D1297" s="1">
        <v>95.96</v>
      </c>
      <c r="E1297" s="3">
        <f t="shared" si="63"/>
        <v>603.92979999999989</v>
      </c>
      <c r="F1297" s="4">
        <f t="shared" si="61"/>
        <v>18.044599999999491</v>
      </c>
      <c r="G1297" s="4">
        <f t="shared" si="62"/>
        <v>-18.044599999999491</v>
      </c>
    </row>
    <row r="1298" spans="1:7" x14ac:dyDescent="0.3">
      <c r="A1298" s="2">
        <v>42291</v>
      </c>
      <c r="B1298" s="1">
        <v>27.552499999999998</v>
      </c>
      <c r="C1298" s="1">
        <v>544.83010000000002</v>
      </c>
      <c r="D1298" s="1">
        <v>94.07</v>
      </c>
      <c r="E1298" s="3">
        <f t="shared" si="63"/>
        <v>585.8852000000004</v>
      </c>
      <c r="F1298" s="4">
        <f t="shared" si="61"/>
        <v>-26.889599999999291</v>
      </c>
      <c r="G1298" s="4">
        <f t="shared" si="62"/>
        <v>26.889599999999291</v>
      </c>
    </row>
    <row r="1299" spans="1:7" x14ac:dyDescent="0.3">
      <c r="A1299" s="2">
        <v>42290</v>
      </c>
      <c r="B1299" s="1">
        <v>27.947500000000002</v>
      </c>
      <c r="C1299" s="1">
        <v>548.8999</v>
      </c>
      <c r="D1299" s="1">
        <v>94.12</v>
      </c>
      <c r="E1299" s="3">
        <f t="shared" si="63"/>
        <v>612.77479999999969</v>
      </c>
      <c r="F1299" s="4">
        <f t="shared" si="61"/>
        <v>2.5950000000000273</v>
      </c>
      <c r="G1299" s="4">
        <f t="shared" si="62"/>
        <v>-2.5950000000000273</v>
      </c>
    </row>
    <row r="1300" spans="1:7" x14ac:dyDescent="0.3">
      <c r="A1300" s="2">
        <v>42289</v>
      </c>
      <c r="B1300" s="1">
        <v>27.9</v>
      </c>
      <c r="C1300" s="1">
        <v>550.18989999999997</v>
      </c>
      <c r="D1300" s="1">
        <v>94.26</v>
      </c>
      <c r="E1300" s="3">
        <f t="shared" si="63"/>
        <v>610.17979999999966</v>
      </c>
      <c r="F1300" s="4">
        <f t="shared" si="61"/>
        <v>-6.1202000000002954</v>
      </c>
      <c r="G1300" s="4">
        <f t="shared" si="62"/>
        <v>6.1202000000002954</v>
      </c>
    </row>
    <row r="1301" spans="1:7" x14ac:dyDescent="0.3">
      <c r="A1301" s="2">
        <v>42286</v>
      </c>
      <c r="B1301" s="1">
        <v>28.03</v>
      </c>
      <c r="C1301" s="1">
        <v>539.79999999999995</v>
      </c>
      <c r="D1301" s="1">
        <v>93.24</v>
      </c>
      <c r="E1301" s="3">
        <f t="shared" si="63"/>
        <v>616.29999999999995</v>
      </c>
      <c r="F1301" s="4">
        <f t="shared" si="61"/>
        <v>30.630199999999832</v>
      </c>
      <c r="G1301" s="4">
        <f t="shared" si="62"/>
        <v>-30.630199999999832</v>
      </c>
    </row>
    <row r="1302" spans="1:7" x14ac:dyDescent="0.3">
      <c r="A1302" s="2">
        <v>42285</v>
      </c>
      <c r="B1302" s="1">
        <v>27.375</v>
      </c>
      <c r="C1302" s="1">
        <v>533.15989999999999</v>
      </c>
      <c r="D1302" s="1">
        <v>92.47</v>
      </c>
      <c r="E1302" s="3">
        <f t="shared" si="63"/>
        <v>585.66980000000012</v>
      </c>
      <c r="F1302" s="4">
        <f t="shared" si="61"/>
        <v>-34.959999999999582</v>
      </c>
      <c r="G1302" s="4">
        <f t="shared" si="62"/>
        <v>34.959999999999582</v>
      </c>
    </row>
    <row r="1303" spans="1:7" x14ac:dyDescent="0.3">
      <c r="A1303" s="2">
        <v>42284</v>
      </c>
      <c r="B1303" s="1">
        <v>27.695</v>
      </c>
      <c r="C1303" s="1">
        <v>541.93989999999997</v>
      </c>
      <c r="D1303" s="1">
        <v>92.4</v>
      </c>
      <c r="E1303" s="3">
        <f>50*B1303+2*C1303-20*D1303</f>
        <v>620.6297999999997</v>
      </c>
      <c r="F1303" s="4">
        <f t="shared" si="61"/>
        <v>10.294799999999668</v>
      </c>
      <c r="G1303" s="4">
        <f t="shared" si="62"/>
        <v>-10.294799999999668</v>
      </c>
    </row>
    <row r="1304" spans="1:7" x14ac:dyDescent="0.3">
      <c r="A1304" s="2"/>
      <c r="B1304" s="1">
        <v>27.827500000000001</v>
      </c>
      <c r="C1304" s="1">
        <v>537.48</v>
      </c>
      <c r="D1304" s="1">
        <v>92.8</v>
      </c>
      <c r="E1304" s="3">
        <f t="shared" si="63"/>
        <v>610.33500000000004</v>
      </c>
    </row>
    <row r="1305" spans="1:7" x14ac:dyDescent="0.3">
      <c r="E1305" s="3"/>
    </row>
    <row r="1306" spans="1:7" x14ac:dyDescent="0.3">
      <c r="E1306" s="3"/>
    </row>
    <row r="1307" spans="1:7" x14ac:dyDescent="0.3">
      <c r="E1307" s="3"/>
    </row>
    <row r="1308" spans="1:7" x14ac:dyDescent="0.3">
      <c r="E1308" s="3"/>
    </row>
    <row r="1309" spans="1:7" x14ac:dyDescent="0.3">
      <c r="E1309" s="3"/>
    </row>
    <row r="1310" spans="1:7" x14ac:dyDescent="0.3">
      <c r="E1310" s="3"/>
    </row>
    <row r="1311" spans="1:7" x14ac:dyDescent="0.3">
      <c r="E1311" s="3"/>
    </row>
    <row r="1312" spans="1:7" x14ac:dyDescent="0.3">
      <c r="E1312" s="3"/>
    </row>
    <row r="1313" spans="5:5" x14ac:dyDescent="0.3">
      <c r="E1313" s="3"/>
    </row>
    <row r="1314" spans="5:5" x14ac:dyDescent="0.3">
      <c r="E1314" s="3"/>
    </row>
    <row r="1315" spans="5:5" x14ac:dyDescent="0.3">
      <c r="E1315" s="3"/>
    </row>
    <row r="1316" spans="5:5" x14ac:dyDescent="0.3">
      <c r="E1316" s="3"/>
    </row>
    <row r="1317" spans="5:5" x14ac:dyDescent="0.3">
      <c r="E1317" s="3"/>
    </row>
    <row r="1318" spans="5:5" x14ac:dyDescent="0.3">
      <c r="E1318" s="3"/>
    </row>
    <row r="1319" spans="5:5" x14ac:dyDescent="0.3">
      <c r="E1319" s="3"/>
    </row>
    <row r="1320" spans="5:5" x14ac:dyDescent="0.3">
      <c r="E1320" s="3"/>
    </row>
    <row r="1321" spans="5:5" x14ac:dyDescent="0.3">
      <c r="E1321" s="3"/>
    </row>
    <row r="1322" spans="5:5" x14ac:dyDescent="0.3">
      <c r="E1322" s="3"/>
    </row>
    <row r="1323" spans="5:5" x14ac:dyDescent="0.3">
      <c r="E1323" s="3"/>
    </row>
    <row r="1324" spans="5:5" x14ac:dyDescent="0.3">
      <c r="E1324" s="3"/>
    </row>
    <row r="1325" spans="5:5" x14ac:dyDescent="0.3">
      <c r="E1325" s="3"/>
    </row>
    <row r="1326" spans="5:5" x14ac:dyDescent="0.3">
      <c r="E1326" s="3"/>
    </row>
    <row r="1327" spans="5:5" x14ac:dyDescent="0.3">
      <c r="E1327" s="3"/>
    </row>
    <row r="1328" spans="5:5" x14ac:dyDescent="0.3">
      <c r="E1328" s="3"/>
    </row>
    <row r="1329" spans="5:5" x14ac:dyDescent="0.3">
      <c r="E1329" s="3"/>
    </row>
    <row r="1330" spans="5:5" x14ac:dyDescent="0.3">
      <c r="E1330" s="3"/>
    </row>
    <row r="1331" spans="5:5" x14ac:dyDescent="0.3">
      <c r="E1331" s="3"/>
    </row>
    <row r="1332" spans="5:5" x14ac:dyDescent="0.3">
      <c r="E1332" s="3"/>
    </row>
    <row r="1333" spans="5:5" x14ac:dyDescent="0.3">
      <c r="E1333" s="3"/>
    </row>
    <row r="1334" spans="5:5" x14ac:dyDescent="0.3">
      <c r="E1334" s="3"/>
    </row>
    <row r="1335" spans="5:5" x14ac:dyDescent="0.3">
      <c r="E1335" s="3"/>
    </row>
    <row r="1336" spans="5:5" x14ac:dyDescent="0.3">
      <c r="E1336" s="3"/>
    </row>
    <row r="1337" spans="5:5" x14ac:dyDescent="0.3">
      <c r="E1337" s="3"/>
    </row>
    <row r="1338" spans="5:5" x14ac:dyDescent="0.3">
      <c r="E1338" s="3"/>
    </row>
    <row r="1339" spans="5:5" x14ac:dyDescent="0.3">
      <c r="E1339" s="3"/>
    </row>
    <row r="1340" spans="5:5" x14ac:dyDescent="0.3">
      <c r="E1340" s="3"/>
    </row>
    <row r="1341" spans="5:5" x14ac:dyDescent="0.3">
      <c r="E1341" s="3"/>
    </row>
    <row r="1342" spans="5:5" x14ac:dyDescent="0.3">
      <c r="E1342" s="3"/>
    </row>
    <row r="1343" spans="5:5" x14ac:dyDescent="0.3">
      <c r="E1343" s="3"/>
    </row>
    <row r="1344" spans="5:5" x14ac:dyDescent="0.3">
      <c r="E1344" s="3"/>
    </row>
    <row r="1345" spans="5:5" x14ac:dyDescent="0.3">
      <c r="E1345" s="3"/>
    </row>
    <row r="1346" spans="5:5" x14ac:dyDescent="0.3">
      <c r="E1346" s="3"/>
    </row>
    <row r="1347" spans="5:5" x14ac:dyDescent="0.3">
      <c r="E1347" s="3"/>
    </row>
    <row r="1348" spans="5:5" x14ac:dyDescent="0.3">
      <c r="E1348" s="3"/>
    </row>
    <row r="1349" spans="5:5" x14ac:dyDescent="0.3">
      <c r="E1349" s="3"/>
    </row>
    <row r="1350" spans="5:5" x14ac:dyDescent="0.3">
      <c r="E1350" s="3"/>
    </row>
    <row r="1351" spans="5:5" x14ac:dyDescent="0.3">
      <c r="E1351" s="3"/>
    </row>
    <row r="1352" spans="5:5" x14ac:dyDescent="0.3">
      <c r="E1352" s="3"/>
    </row>
  </sheetData>
  <mergeCells count="1">
    <mergeCell ref="I6:J6"/>
  </mergeCells>
  <dataValidations count="1">
    <dataValidation allowBlank="1" showErrorMessage="1" promptTitle="TRAFO" prompt="$A$1:$D$1310" sqref="A1" xr:uid="{7C2695FF-56A3-438F-85ED-912F0F3B4324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9711-D580-46F2-A097-74A8C3D5C663}">
  <dimension ref="A1:AQ1304"/>
  <sheetViews>
    <sheetView workbookViewId="0">
      <selection activeCell="P16" sqref="P16"/>
    </sheetView>
  </sheetViews>
  <sheetFormatPr defaultRowHeight="14.4" x14ac:dyDescent="0.3"/>
  <cols>
    <col min="1" max="1" width="11.44140625" style="20" bestFit="1" customWidth="1"/>
    <col min="7" max="7" width="11.109375" customWidth="1"/>
    <col min="10" max="10" width="11.88671875" style="20" customWidth="1"/>
    <col min="11" max="11" width="10.33203125" style="21" customWidth="1"/>
    <col min="12" max="12" width="11.6640625" style="20" customWidth="1"/>
    <col min="13" max="13" width="12" style="20" customWidth="1"/>
    <col min="14" max="14" width="11.44140625" style="22" bestFit="1" customWidth="1"/>
    <col min="15" max="15" width="10.6640625" customWidth="1"/>
    <col min="17" max="17" width="11.44140625" bestFit="1" customWidth="1"/>
    <col min="20" max="20" width="11.33203125" customWidth="1"/>
    <col min="24" max="24" width="11.44140625" bestFit="1" customWidth="1"/>
    <col min="27" max="27" width="11.5546875" customWidth="1"/>
    <col min="31" max="31" width="11.44140625" bestFit="1" customWidth="1"/>
    <col min="34" max="34" width="11.33203125" customWidth="1"/>
    <col min="39" max="39" width="14.33203125" customWidth="1"/>
    <col min="40" max="40" width="11.6640625" customWidth="1"/>
    <col min="41" max="41" width="11.33203125" customWidth="1"/>
    <col min="42" max="42" width="13.109375" customWidth="1"/>
    <col min="43" max="43" width="14.5546875" customWidth="1"/>
  </cols>
  <sheetData>
    <row r="1" spans="1:43" x14ac:dyDescent="0.3">
      <c r="C1" s="6" t="s">
        <v>4</v>
      </c>
      <c r="E1" s="6" t="s">
        <v>5</v>
      </c>
      <c r="G1" s="6" t="s">
        <v>13</v>
      </c>
      <c r="J1" s="84" t="s">
        <v>14</v>
      </c>
      <c r="K1" s="85"/>
      <c r="L1" s="85"/>
      <c r="M1" s="85"/>
      <c r="N1" s="86"/>
      <c r="Q1" s="84" t="s">
        <v>14</v>
      </c>
      <c r="R1" s="85"/>
      <c r="S1" s="85"/>
      <c r="T1" s="85"/>
      <c r="U1" s="86"/>
      <c r="X1" s="87" t="s">
        <v>15</v>
      </c>
      <c r="Y1" s="88"/>
      <c r="Z1" s="88"/>
      <c r="AA1" s="88"/>
      <c r="AB1" s="89"/>
      <c r="AE1" s="87" t="s">
        <v>15</v>
      </c>
      <c r="AF1" s="88"/>
      <c r="AG1" s="88"/>
      <c r="AH1" s="88"/>
      <c r="AI1" s="89"/>
    </row>
    <row r="2" spans="1:43" x14ac:dyDescent="0.3">
      <c r="C2" s="6" t="s">
        <v>16</v>
      </c>
      <c r="E2" s="6" t="s">
        <v>16</v>
      </c>
      <c r="G2" s="6" t="s">
        <v>16</v>
      </c>
      <c r="J2" s="38"/>
      <c r="K2" s="39"/>
      <c r="L2" s="40"/>
      <c r="M2" s="40"/>
      <c r="N2" s="41"/>
      <c r="Q2" s="38"/>
      <c r="R2" s="39"/>
      <c r="S2" s="40"/>
      <c r="T2" s="40"/>
      <c r="U2" s="41"/>
      <c r="X2" s="43"/>
      <c r="Y2" s="44"/>
      <c r="Z2" s="45"/>
      <c r="AA2" s="45"/>
      <c r="AB2" s="46"/>
      <c r="AE2" s="43"/>
      <c r="AF2" s="44"/>
      <c r="AG2" s="45"/>
      <c r="AH2" s="45"/>
      <c r="AI2" s="46"/>
    </row>
    <row r="3" spans="1:43" x14ac:dyDescent="0.3">
      <c r="J3" s="34" t="s">
        <v>17</v>
      </c>
      <c r="K3" s="37">
        <v>0.46058622966292501</v>
      </c>
      <c r="L3" s="25"/>
      <c r="M3" s="32" t="s">
        <v>18</v>
      </c>
      <c r="N3" s="33">
        <v>0.05</v>
      </c>
      <c r="Q3" s="34" t="s">
        <v>17</v>
      </c>
      <c r="R3" s="37">
        <v>0.63025052430768058</v>
      </c>
      <c r="S3" s="25"/>
      <c r="T3" s="42" t="s">
        <v>18</v>
      </c>
      <c r="U3" s="33">
        <v>0.01</v>
      </c>
      <c r="X3" s="34" t="s">
        <v>17</v>
      </c>
      <c r="Y3" s="37">
        <v>-4.6030638200129044</v>
      </c>
      <c r="Z3" s="49"/>
      <c r="AA3" s="42" t="s">
        <v>18</v>
      </c>
      <c r="AB3" s="33">
        <v>0.05</v>
      </c>
      <c r="AE3" s="34" t="s">
        <v>17</v>
      </c>
      <c r="AF3" s="37">
        <v>-2.9060611085313273</v>
      </c>
      <c r="AG3" s="49"/>
      <c r="AH3" s="42" t="s">
        <v>18</v>
      </c>
      <c r="AI3" s="33">
        <v>0.01</v>
      </c>
    </row>
    <row r="4" spans="1:43" x14ac:dyDescent="0.3">
      <c r="A4" s="20" cm="1">
        <f t="array" ref="A4:A1302">J6:J1304</f>
        <v>44110</v>
      </c>
      <c r="C4">
        <f>-(Historical_Simulation!B5-Historical_Simulation!B6)</f>
        <v>3.3400000000000034</v>
      </c>
      <c r="E4">
        <f>-(Historical_Simulation!C5-Historical_Simulation!C6)</f>
        <v>99.239999999999782</v>
      </c>
      <c r="G4">
        <f>-(Historical_Simulation!D5-Historical_Simulation!D6)</f>
        <v>5.9900000000000091</v>
      </c>
      <c r="J4" s="23"/>
      <c r="K4" s="26"/>
      <c r="L4" s="25"/>
      <c r="M4" s="25"/>
      <c r="N4" s="27"/>
      <c r="Q4" s="23"/>
      <c r="R4" s="26"/>
      <c r="S4" s="25"/>
      <c r="T4" s="25"/>
      <c r="U4" s="27"/>
      <c r="X4" s="47"/>
      <c r="Y4" s="50"/>
      <c r="Z4" s="49"/>
      <c r="AA4" s="49"/>
      <c r="AB4" s="51"/>
      <c r="AE4" s="47"/>
      <c r="AF4" s="50"/>
      <c r="AG4" s="49"/>
      <c r="AH4" s="49"/>
      <c r="AI4" s="51"/>
    </row>
    <row r="5" spans="1:43" x14ac:dyDescent="0.3">
      <c r="A5" s="20">
        <v>44109</v>
      </c>
      <c r="C5">
        <f>-(Historical_Simulation!B6-Historical_Simulation!B7)</f>
        <v>-3.480000000000004</v>
      </c>
      <c r="E5">
        <f>-(Historical_Simulation!C6-Historical_Simulation!C7)</f>
        <v>-74.199999999999818</v>
      </c>
      <c r="G5">
        <f>-(Historical_Simulation!D6-Historical_Simulation!D7)</f>
        <v>-4.7099999999999795</v>
      </c>
      <c r="J5" s="23"/>
      <c r="K5" s="26" t="s">
        <v>16</v>
      </c>
      <c r="L5" s="25"/>
      <c r="M5" s="25" t="s">
        <v>19</v>
      </c>
      <c r="N5" s="27">
        <f>AVERAGE(K6:K1304)</f>
        <v>-1.0943340821062784</v>
      </c>
      <c r="Q5" s="23"/>
      <c r="R5" s="26" t="s">
        <v>16</v>
      </c>
      <c r="S5" s="25"/>
      <c r="T5" s="25" t="s">
        <v>19</v>
      </c>
      <c r="U5" s="27">
        <f>AVERAGE(R6:R1304)</f>
        <v>-0.77079021504044687</v>
      </c>
      <c r="X5" s="47"/>
      <c r="Y5" s="50" t="s">
        <v>16</v>
      </c>
      <c r="Z5" s="49"/>
      <c r="AA5" s="49" t="s">
        <v>19</v>
      </c>
      <c r="AB5" s="51">
        <f>AVERAGE(Y6:Y1304)</f>
        <v>-0.41303515123918932</v>
      </c>
      <c r="AE5" s="47"/>
      <c r="AF5" s="50" t="s">
        <v>16</v>
      </c>
      <c r="AG5" s="49"/>
      <c r="AH5" s="49" t="s">
        <v>19</v>
      </c>
      <c r="AI5" s="51">
        <f>AVERAGE(AF6:AF1304)</f>
        <v>-0.30783483087848068</v>
      </c>
    </row>
    <row r="6" spans="1:43" x14ac:dyDescent="0.3">
      <c r="A6" s="20">
        <v>44106</v>
      </c>
      <c r="C6">
        <f>-(Historical_Simulation!B7-Historical_Simulation!B8)</f>
        <v>3.7700000000000102</v>
      </c>
      <c r="E6">
        <f>-(Historical_Simulation!C7-Historical_Simulation!C8)</f>
        <v>96.260000000000218</v>
      </c>
      <c r="G6">
        <f>-(Historical_Simulation!D7-Historical_Simulation!D8)</f>
        <v>6.6899999999999977</v>
      </c>
      <c r="J6" s="23" cm="1">
        <f t="array" ref="J6:J1304">Historical_Simulation!A5:A1303</f>
        <v>44110</v>
      </c>
      <c r="K6" s="24">
        <f>C4*$K$3+E4*(1-$K$3)</f>
        <v>55.069780575325375</v>
      </c>
      <c r="L6" s="25"/>
      <c r="M6" s="25"/>
      <c r="N6" s="27"/>
      <c r="O6" s="59"/>
      <c r="Q6" s="23" cm="1">
        <f t="array" ref="Q6:Q1304">Historical_Simulation!A5:A1303</f>
        <v>44110</v>
      </c>
      <c r="R6" s="24">
        <f>C4*$R$3+E4*(1-$R$3)</f>
        <v>38.798974718893355</v>
      </c>
      <c r="S6" s="25"/>
      <c r="T6" s="25"/>
      <c r="U6" s="27"/>
      <c r="X6" s="47" cm="1">
        <f t="array" ref="X6:X1304">Historical_Simulation!A5:A1303</f>
        <v>44110</v>
      </c>
      <c r="Y6" s="48">
        <f>C4*$Y$3+G4*(1-$Y$3)</f>
        <v>18.188119123034227</v>
      </c>
      <c r="Z6" s="49"/>
      <c r="AA6" s="49"/>
      <c r="AB6" s="51"/>
      <c r="AE6" s="47" cm="1">
        <f t="array" ref="AE6:AE1304">Historical_Simulation!A5:A1303</f>
        <v>44110</v>
      </c>
      <c r="AF6" s="48">
        <f>C4*$AF$3+G4*(1-$AF$3)</f>
        <v>13.69106193760804</v>
      </c>
      <c r="AG6" s="49"/>
      <c r="AH6" s="49"/>
      <c r="AI6" s="51"/>
      <c r="AM6" s="60" t="s">
        <v>20</v>
      </c>
      <c r="AN6" s="61" t="s">
        <v>21</v>
      </c>
      <c r="AO6" s="66" t="s">
        <v>22</v>
      </c>
      <c r="AP6" s="66" t="s">
        <v>23</v>
      </c>
      <c r="AQ6" s="67" t="s">
        <v>24</v>
      </c>
    </row>
    <row r="7" spans="1:43" x14ac:dyDescent="0.3">
      <c r="A7" s="20">
        <v>44105</v>
      </c>
      <c r="C7">
        <f>-(Historical_Simulation!B8-Historical_Simulation!B9)</f>
        <v>-0.98000000000000398</v>
      </c>
      <c r="E7">
        <f>-(Historical_Simulation!C8-Historical_Simulation!C9)</f>
        <v>-72.5300000000002</v>
      </c>
      <c r="G7">
        <f>-(Historical_Simulation!D8-Historical_Simulation!D9)</f>
        <v>-4.7300000000000182</v>
      </c>
      <c r="J7" s="23">
        <v>44109</v>
      </c>
      <c r="K7" s="24">
        <f t="shared" ref="K7:K69" si="0">C5*$K$3+E5*(1-$K$3)</f>
        <v>-41.62734183823784</v>
      </c>
      <c r="L7" s="25"/>
      <c r="M7" s="25" t="s">
        <v>25</v>
      </c>
      <c r="N7" s="27">
        <f>_xlfn.STDEV.S(K6:K1304)</f>
        <v>17.688217580871211</v>
      </c>
      <c r="Q7" s="23">
        <v>44109</v>
      </c>
      <c r="R7" s="24">
        <f t="shared" ref="R7:R70" si="1">C5*$R$3+E5*(1-$R$3)</f>
        <v>-29.628682920960763</v>
      </c>
      <c r="S7" s="25"/>
      <c r="T7" s="25" t="s">
        <v>25</v>
      </c>
      <c r="U7" s="27">
        <f>_xlfn.STDEV.S(R6:R1304)</f>
        <v>12.367363778859302</v>
      </c>
      <c r="X7" s="47">
        <v>44109</v>
      </c>
      <c r="Y7" s="48">
        <f t="shared" ref="Y7:Y70" si="2">C5*$Y$3+G5*(1-$Y$3)</f>
        <v>-10.37176849861574</v>
      </c>
      <c r="Z7" s="49"/>
      <c r="AA7" s="49" t="s">
        <v>25</v>
      </c>
      <c r="AB7" s="51">
        <f>_xlfn.STDEV.S(Y6:Y1304)</f>
        <v>17.273849803404993</v>
      </c>
      <c r="AE7" s="47">
        <v>44109</v>
      </c>
      <c r="AF7" s="48">
        <f t="shared" ref="AF7:AF70" si="3">C5*$AF$3+G5*(1-$AF$3)</f>
        <v>-8.2844551634934405</v>
      </c>
      <c r="AG7" s="49"/>
      <c r="AH7" s="49" t="s">
        <v>25</v>
      </c>
      <c r="AI7" s="51">
        <f>_xlfn.STDEV.S(AF6:AF1304)</f>
        <v>12.16835865781584</v>
      </c>
      <c r="AM7" s="62">
        <v>1</v>
      </c>
      <c r="AN7" s="73">
        <v>0.05</v>
      </c>
      <c r="AO7" s="24">
        <f>K3</f>
        <v>0.46058622966292501</v>
      </c>
      <c r="AP7" s="24">
        <f>1-AO7</f>
        <v>0.53941377033707494</v>
      </c>
      <c r="AQ7" s="56"/>
    </row>
    <row r="8" spans="1:43" x14ac:dyDescent="0.3">
      <c r="A8" s="20">
        <v>44104</v>
      </c>
      <c r="C8">
        <f>-(Historical_Simulation!B9-Historical_Simulation!B10)</f>
        <v>-1.7199999999999989</v>
      </c>
      <c r="E8">
        <f>-(Historical_Simulation!C9-Historical_Simulation!C10)</f>
        <v>-3.8499999999999091</v>
      </c>
      <c r="G8">
        <f>-(Historical_Simulation!D9-Historical_Simulation!D10)</f>
        <v>-0.1098999999999819</v>
      </c>
      <c r="J8" s="23">
        <v>44106</v>
      </c>
      <c r="K8" s="24">
        <f t="shared" si="0"/>
        <v>53.660379618476185</v>
      </c>
      <c r="L8" s="25"/>
      <c r="M8" s="25"/>
      <c r="N8" s="27"/>
      <c r="Q8" s="23">
        <v>44106</v>
      </c>
      <c r="R8" s="24">
        <f t="shared" si="1"/>
        <v>37.968129006782711</v>
      </c>
      <c r="S8" s="25"/>
      <c r="T8" s="25"/>
      <c r="U8" s="27"/>
      <c r="X8" s="47">
        <v>44106</v>
      </c>
      <c r="Y8" s="48">
        <f t="shared" si="2"/>
        <v>20.130946354437619</v>
      </c>
      <c r="Z8" s="49"/>
      <c r="AA8" s="49"/>
      <c r="AB8" s="51"/>
      <c r="AE8" s="47">
        <v>44106</v>
      </c>
      <c r="AF8" s="48">
        <f t="shared" si="3"/>
        <v>15.175698436911437</v>
      </c>
      <c r="AG8" s="49"/>
      <c r="AH8" s="49"/>
      <c r="AI8" s="51"/>
      <c r="AM8" s="64">
        <v>2</v>
      </c>
      <c r="AN8" s="74">
        <v>0.01</v>
      </c>
      <c r="AO8" s="68">
        <f>R3</f>
        <v>0.63025052430768058</v>
      </c>
      <c r="AP8" s="68">
        <f>1-AO8</f>
        <v>0.36974947569231942</v>
      </c>
      <c r="AQ8" s="69"/>
    </row>
    <row r="9" spans="1:43" x14ac:dyDescent="0.3">
      <c r="A9" s="20">
        <v>44103</v>
      </c>
      <c r="C9">
        <f>-(Historical_Simulation!B10-Historical_Simulation!B11)</f>
        <v>0.86999999999999034</v>
      </c>
      <c r="E9">
        <f>-(Historical_Simulation!C10-Historical_Simulation!C11)</f>
        <v>29.170000000000073</v>
      </c>
      <c r="G9">
        <f>-(Historical_Simulation!D10-Historical_Simulation!D11)</f>
        <v>-4.9698999999999955</v>
      </c>
      <c r="J9" s="23">
        <v>44105</v>
      </c>
      <c r="K9" s="24">
        <f t="shared" si="0"/>
        <v>-39.57505526761782</v>
      </c>
      <c r="L9" s="25"/>
      <c r="M9" s="35" t="s">
        <v>26</v>
      </c>
      <c r="N9" s="36">
        <f>N5+N7*NORMSINV(1-N3)</f>
        <v>28.000194760096516</v>
      </c>
      <c r="Q9" s="23">
        <v>44105</v>
      </c>
      <c r="R9" s="24">
        <f t="shared" si="1"/>
        <v>-27.435574985785529</v>
      </c>
      <c r="S9" s="25"/>
      <c r="T9" s="35" t="s">
        <v>26</v>
      </c>
      <c r="U9" s="36">
        <f>U5+U7*NORMSINV(1-U3)</f>
        <v>28.00000021939859</v>
      </c>
      <c r="X9" s="47">
        <v>44105</v>
      </c>
      <c r="Y9" s="48">
        <f t="shared" si="2"/>
        <v>-21.991489325048473</v>
      </c>
      <c r="Z9" s="49"/>
      <c r="AA9" s="35" t="s">
        <v>26</v>
      </c>
      <c r="AB9" s="36">
        <f>AB5+AB7*NORMSINV(1-AB3)</f>
        <v>27.999919349306477</v>
      </c>
      <c r="AE9" s="47">
        <v>44105</v>
      </c>
      <c r="AF9" s="48">
        <f t="shared" si="3"/>
        <v>-15.627729156992537</v>
      </c>
      <c r="AG9" s="49"/>
      <c r="AH9" s="35" t="s">
        <v>26</v>
      </c>
      <c r="AI9" s="36">
        <f>AI5+AI7*NORMSINV(1-AI3)</f>
        <v>28.000000463297859</v>
      </c>
      <c r="AM9" s="65">
        <v>3</v>
      </c>
      <c r="AN9" s="75">
        <v>0.05</v>
      </c>
      <c r="AO9" s="70">
        <f>Y3</f>
        <v>-4.6030638200129044</v>
      </c>
      <c r="AP9" s="71"/>
      <c r="AQ9" s="72">
        <f>1-AO9</f>
        <v>5.6030638200129044</v>
      </c>
    </row>
    <row r="10" spans="1:43" x14ac:dyDescent="0.3">
      <c r="A10" s="20">
        <v>44102</v>
      </c>
      <c r="C10">
        <f>-(Historical_Simulation!B11-Historical_Simulation!B12)</f>
        <v>-2.6799999999999926</v>
      </c>
      <c r="E10">
        <f>-(Historical_Simulation!C11-Historical_Simulation!C12)</f>
        <v>-78.920000000000073</v>
      </c>
      <c r="G10">
        <f>-(Historical_Simulation!D11-Historical_Simulation!D12)</f>
        <v>-2.0001000000000317</v>
      </c>
      <c r="J10" s="23">
        <v>44104</v>
      </c>
      <c r="K10" s="24">
        <f t="shared" si="0"/>
        <v>-2.8689513308179198</v>
      </c>
      <c r="L10" s="25"/>
      <c r="M10" s="25"/>
      <c r="N10" s="27"/>
      <c r="Q10" s="23">
        <v>44104</v>
      </c>
      <c r="R10" s="24">
        <f t="shared" si="1"/>
        <v>-2.507566383224606</v>
      </c>
      <c r="S10" s="25"/>
      <c r="T10" s="25"/>
      <c r="U10" s="27"/>
      <c r="X10" s="47">
        <v>44104</v>
      </c>
      <c r="Y10" s="48">
        <f t="shared" si="2"/>
        <v>7.3014930566028733</v>
      </c>
      <c r="Z10" s="49"/>
      <c r="AA10" s="49"/>
      <c r="AB10" s="51"/>
      <c r="AE10" s="47">
        <v>44104</v>
      </c>
      <c r="AF10" s="48">
        <f t="shared" si="3"/>
        <v>4.5691489908463572</v>
      </c>
      <c r="AG10" s="49"/>
      <c r="AH10" s="49"/>
      <c r="AI10" s="51"/>
      <c r="AM10" s="63">
        <v>4</v>
      </c>
      <c r="AN10" s="76">
        <v>0.01</v>
      </c>
      <c r="AO10" s="29">
        <f>AF3</f>
        <v>-2.9060611085313273</v>
      </c>
      <c r="AP10" s="57"/>
      <c r="AQ10" s="31">
        <f>1-AO10</f>
        <v>3.9060611085313273</v>
      </c>
    </row>
    <row r="11" spans="1:43" x14ac:dyDescent="0.3">
      <c r="A11" s="20">
        <v>44099</v>
      </c>
      <c r="C11">
        <f>-(Historical_Simulation!B12-Historical_Simulation!B13)</f>
        <v>-4.0600000000000023</v>
      </c>
      <c r="E11">
        <f>-(Historical_Simulation!C12-Historical_Simulation!C13)</f>
        <v>-75.340000000000146</v>
      </c>
      <c r="G11">
        <f>-(Historical_Simulation!D12-Historical_Simulation!D13)</f>
        <v>-5.289999999999992</v>
      </c>
      <c r="J11" s="23">
        <v>44103</v>
      </c>
      <c r="K11" s="24">
        <f t="shared" si="0"/>
        <v>16.135409700539256</v>
      </c>
      <c r="L11" s="25"/>
      <c r="M11" s="35" t="s">
        <v>27</v>
      </c>
      <c r="N11" s="58">
        <f>N5+N7/SQRT(2*PI())*EXP(-(NORMSINV(1-N3)^2)/2)/N3</f>
        <v>35.391378863934861</v>
      </c>
      <c r="Q11" s="23">
        <v>44103</v>
      </c>
      <c r="R11" s="24">
        <f t="shared" si="1"/>
        <v>11.333910162092661</v>
      </c>
      <c r="S11" s="25"/>
      <c r="T11" s="35" t="s">
        <v>27</v>
      </c>
      <c r="U11" s="58">
        <f>U5+U7/SQRT(2*PI())*EXP(-(NORMSINV(1-U3)^2)/2)/U3</f>
        <v>32.19088359656503</v>
      </c>
      <c r="X11" s="47">
        <v>44103</v>
      </c>
      <c r="Y11" s="48">
        <f t="shared" si="2"/>
        <v>-31.851332402493291</v>
      </c>
      <c r="Z11" s="49"/>
      <c r="AA11" s="35" t="s">
        <v>27</v>
      </c>
      <c r="AB11" s="58">
        <f>AB5+AB7/SQRT(2*PI())*EXP(-(NORMSINV(1-AB3)^2)/2)/AB3</f>
        <v>35.217956073203993</v>
      </c>
      <c r="AE11" s="47">
        <v>44103</v>
      </c>
      <c r="AF11" s="48">
        <f t="shared" si="3"/>
        <v>-21.941006267712055</v>
      </c>
      <c r="AG11" s="49"/>
      <c r="AH11" s="35" t="s">
        <v>27</v>
      </c>
      <c r="AI11" s="58">
        <f>AI5+AI7/SQRT(2*PI())*EXP(-(NORMSINV(1-AI3)^2)/2)/AI3</f>
        <v>32.123447702200323</v>
      </c>
    </row>
    <row r="12" spans="1:43" x14ac:dyDescent="0.3">
      <c r="A12" s="20">
        <v>44098</v>
      </c>
      <c r="C12">
        <f>-(Historical_Simulation!B13-Historical_Simulation!B14)</f>
        <v>-1.0999999999999943</v>
      </c>
      <c r="E12">
        <f>-(Historical_Simulation!C13-Historical_Simulation!C14)</f>
        <v>-19.929999999999836</v>
      </c>
      <c r="G12">
        <f>-(Historical_Simulation!D13-Historical_Simulation!D14)</f>
        <v>-0.50999999999999091</v>
      </c>
      <c r="J12" s="23">
        <v>44102</v>
      </c>
      <c r="K12" s="24">
        <f t="shared" si="0"/>
        <v>-43.804905850498628</v>
      </c>
      <c r="L12" s="25"/>
      <c r="M12" s="25"/>
      <c r="N12" s="27"/>
      <c r="Q12" s="23">
        <v>44102</v>
      </c>
      <c r="R12" s="24">
        <f t="shared" si="1"/>
        <v>-30.869700026782454</v>
      </c>
      <c r="S12" s="25"/>
      <c r="T12" s="25"/>
      <c r="U12" s="27"/>
      <c r="X12" s="47">
        <v>44102</v>
      </c>
      <c r="Y12" s="48">
        <f t="shared" si="2"/>
        <v>1.129523091226563</v>
      </c>
      <c r="Z12" s="49"/>
      <c r="AA12" s="49"/>
      <c r="AB12" s="51"/>
      <c r="AE12" s="47">
        <v>44102</v>
      </c>
      <c r="AF12" s="48">
        <f t="shared" si="3"/>
        <v>-2.426905230969556E-2</v>
      </c>
      <c r="AG12" s="49"/>
      <c r="AH12" s="49"/>
      <c r="AI12" s="51"/>
      <c r="AM12" s="60" t="s">
        <v>20</v>
      </c>
      <c r="AN12" s="77" t="s">
        <v>28</v>
      </c>
      <c r="AO12" s="77" t="s">
        <v>29</v>
      </c>
    </row>
    <row r="13" spans="1:43" x14ac:dyDescent="0.3">
      <c r="A13" s="20">
        <v>44097</v>
      </c>
      <c r="C13">
        <f>-(Historical_Simulation!B14-Historical_Simulation!B15)</f>
        <v>4.6899999999999977</v>
      </c>
      <c r="E13">
        <f>-(Historical_Simulation!C14-Historical_Simulation!C15)</f>
        <v>129.12999999999965</v>
      </c>
      <c r="G13">
        <f>-(Historical_Simulation!D14-Historical_Simulation!D15)</f>
        <v>5.7299999999999898</v>
      </c>
      <c r="J13" s="23">
        <v>44099</v>
      </c>
      <c r="K13" s="24">
        <f t="shared" si="0"/>
        <v>-42.509413549626778</v>
      </c>
      <c r="L13" s="25"/>
      <c r="M13" s="25"/>
      <c r="N13" s="27"/>
      <c r="Q13" s="23">
        <v>44099</v>
      </c>
      <c r="R13" s="24">
        <f t="shared" si="1"/>
        <v>-30.415742627348585</v>
      </c>
      <c r="S13" s="25"/>
      <c r="T13" s="25"/>
      <c r="U13" s="27"/>
      <c r="X13" s="47">
        <v>44099</v>
      </c>
      <c r="Y13" s="48">
        <f t="shared" si="2"/>
        <v>-10.951768498615817</v>
      </c>
      <c r="Z13" s="49"/>
      <c r="AA13" s="49"/>
      <c r="AB13" s="51"/>
      <c r="AE13" s="47">
        <v>44099</v>
      </c>
      <c r="AF13" s="48">
        <f t="shared" si="3"/>
        <v>-8.8644551634934956</v>
      </c>
      <c r="AG13" s="49"/>
      <c r="AH13" s="49"/>
      <c r="AI13" s="51"/>
      <c r="AM13" s="62">
        <v>1</v>
      </c>
      <c r="AN13" s="78">
        <f>N11</f>
        <v>35.391378863934861</v>
      </c>
      <c r="AO13" s="82">
        <f>N5+N7/SQRT(2*PI())*EXP(-(NORMSINV(1-0.01)^2)/2)/0.01</f>
        <v>46.048554947002394</v>
      </c>
    </row>
    <row r="14" spans="1:43" x14ac:dyDescent="0.3">
      <c r="A14" s="20">
        <v>44096</v>
      </c>
      <c r="C14">
        <f>-(Historical_Simulation!B15-Historical_Simulation!B16)</f>
        <v>-1.730000000000004</v>
      </c>
      <c r="E14">
        <f>-(Historical_Simulation!C15-Historical_Simulation!C16)</f>
        <v>-168.51999999999998</v>
      </c>
      <c r="G14">
        <f>-(Historical_Simulation!D15-Historical_Simulation!D16)</f>
        <v>-6.5999999999999943</v>
      </c>
      <c r="J14" s="23">
        <v>44098</v>
      </c>
      <c r="K14" s="24">
        <f t="shared" si="0"/>
        <v>-11.25716129544703</v>
      </c>
      <c r="L14" s="25"/>
      <c r="M14" s="25"/>
      <c r="N14" s="27"/>
      <c r="Q14" s="23">
        <v>44098</v>
      </c>
      <c r="R14" s="24">
        <f t="shared" si="1"/>
        <v>-8.0623826272863095</v>
      </c>
      <c r="S14" s="25"/>
      <c r="T14" s="25"/>
      <c r="U14" s="27"/>
      <c r="X14" s="47">
        <v>44098</v>
      </c>
      <c r="Y14" s="48">
        <f t="shared" si="2"/>
        <v>2.2058076538076388</v>
      </c>
      <c r="Z14" s="49"/>
      <c r="AA14" s="49"/>
      <c r="AB14" s="51"/>
      <c r="AE14" s="47">
        <v>44098</v>
      </c>
      <c r="AF14" s="48">
        <f t="shared" si="3"/>
        <v>1.2045760540335022</v>
      </c>
      <c r="AG14" s="49"/>
      <c r="AH14" s="49"/>
      <c r="AI14" s="51"/>
      <c r="AM14" s="64">
        <v>2</v>
      </c>
      <c r="AN14" s="79">
        <f>U5+U7/SQRT(2*PI())*EXP(-(NORMSINV(1-0.05)^2)/2)/0.05</f>
        <v>24.73952944671613</v>
      </c>
      <c r="AO14" s="81">
        <f>U11</f>
        <v>32.19088359656503</v>
      </c>
    </row>
    <row r="15" spans="1:43" ht="15" thickBot="1" x14ac:dyDescent="0.35">
      <c r="A15" s="20">
        <v>44095</v>
      </c>
      <c r="C15">
        <f>-(Historical_Simulation!B16-Historical_Simulation!B17)</f>
        <v>-3.2399999999999949</v>
      </c>
      <c r="E15">
        <f>-(Historical_Simulation!C16-Historical_Simulation!C17)</f>
        <v>-5.5599999999999454</v>
      </c>
      <c r="G15">
        <f>-(Historical_Simulation!D16-Historical_Simulation!D17)</f>
        <v>4.3799999999999955</v>
      </c>
      <c r="J15" s="23">
        <v>44097</v>
      </c>
      <c r="K15" s="24">
        <f t="shared" si="0"/>
        <v>71.81464958074541</v>
      </c>
      <c r="L15" s="25"/>
      <c r="M15" s="25"/>
      <c r="N15" s="27"/>
      <c r="Q15" s="23">
        <v>44097</v>
      </c>
      <c r="R15" s="24">
        <f t="shared" si="1"/>
        <v>50.701624755152096</v>
      </c>
      <c r="S15" s="25"/>
      <c r="T15" s="25"/>
      <c r="U15" s="27"/>
      <c r="X15" s="47">
        <v>44097</v>
      </c>
      <c r="Y15" s="48">
        <f t="shared" si="2"/>
        <v>10.51718637281337</v>
      </c>
      <c r="Z15" s="49"/>
      <c r="AA15" s="49"/>
      <c r="AB15" s="51"/>
      <c r="AE15" s="47">
        <v>44097</v>
      </c>
      <c r="AF15" s="48">
        <f t="shared" si="3"/>
        <v>8.7523035528725472</v>
      </c>
      <c r="AG15" s="49"/>
      <c r="AH15" s="49"/>
      <c r="AI15" s="51"/>
      <c r="AM15" s="64">
        <v>3</v>
      </c>
      <c r="AN15" s="80">
        <f>AB11</f>
        <v>35.217956073203993</v>
      </c>
      <c r="AO15" s="81">
        <f>AB5+AB7/SQRT(2*PI())*EXP(-(NORMSINV(1-0.01)^2)/2)/0.01</f>
        <v>45.625474984913431</v>
      </c>
    </row>
    <row r="16" spans="1:43" ht="15" thickBot="1" x14ac:dyDescent="0.35">
      <c r="A16" s="20">
        <v>44092</v>
      </c>
      <c r="C16">
        <f>-(Historical_Simulation!B17-Historical_Simulation!B18)</f>
        <v>3.5</v>
      </c>
      <c r="E16">
        <f>-(Historical_Simulation!C17-Historical_Simulation!C18)</f>
        <v>53.820000000000164</v>
      </c>
      <c r="G16">
        <f>-(Historical_Simulation!D17-Historical_Simulation!D18)</f>
        <v>2.289999999999992</v>
      </c>
      <c r="J16" s="23">
        <v>44096</v>
      </c>
      <c r="K16" s="24">
        <f t="shared" si="0"/>
        <v>-91.69882275452072</v>
      </c>
      <c r="L16" s="25"/>
      <c r="M16" s="25"/>
      <c r="N16" s="27"/>
      <c r="Q16" s="23">
        <v>44096</v>
      </c>
      <c r="R16" s="24">
        <f t="shared" si="1"/>
        <v>-63.400515050721957</v>
      </c>
      <c r="S16" s="25"/>
      <c r="T16" s="25"/>
      <c r="U16" s="27"/>
      <c r="X16" s="47">
        <v>44096</v>
      </c>
      <c r="Y16" s="48">
        <f t="shared" si="2"/>
        <v>-29.016920803462792</v>
      </c>
      <c r="Z16" s="49"/>
      <c r="AA16" s="49"/>
      <c r="AB16" s="51"/>
      <c r="AE16" s="47">
        <v>44096</v>
      </c>
      <c r="AF16" s="48">
        <f t="shared" si="3"/>
        <v>-20.752517598547527</v>
      </c>
      <c r="AG16" s="49"/>
      <c r="AH16" s="49"/>
      <c r="AI16" s="51"/>
      <c r="AM16" s="92">
        <v>4</v>
      </c>
      <c r="AN16" s="93">
        <f>AI5+AI7/SQRT(2*PI())*EXP(-(NORMSINV(1-0.05)^2)/2)/0.05</f>
        <v>24.791994418942181</v>
      </c>
      <c r="AO16" s="93">
        <f>AI11</f>
        <v>32.123447702200323</v>
      </c>
    </row>
    <row r="17" spans="1:41" x14ac:dyDescent="0.3">
      <c r="A17" s="20">
        <v>44091</v>
      </c>
      <c r="C17">
        <f>-(Historical_Simulation!B18-Historical_Simulation!B19)</f>
        <v>1.789999999999992</v>
      </c>
      <c r="E17">
        <f>-(Historical_Simulation!C18-Historical_Simulation!C19)</f>
        <v>69.369999999999891</v>
      </c>
      <c r="G17">
        <f>-(Historical_Simulation!D18-Historical_Simulation!D19)</f>
        <v>8.6999999999999886</v>
      </c>
      <c r="J17" s="23">
        <v>44095</v>
      </c>
      <c r="K17" s="24">
        <f t="shared" si="0"/>
        <v>-4.4914399471819815</v>
      </c>
      <c r="L17" s="25"/>
      <c r="M17" s="25"/>
      <c r="N17" s="27"/>
      <c r="Q17" s="23">
        <v>44095</v>
      </c>
      <c r="R17" s="24">
        <f t="shared" si="1"/>
        <v>-4.0978187836061579</v>
      </c>
      <c r="S17" s="25"/>
      <c r="T17" s="25"/>
      <c r="U17" s="27"/>
      <c r="X17" s="47">
        <v>44095</v>
      </c>
      <c r="Y17" s="48">
        <f t="shared" si="2"/>
        <v>39.455346308498278</v>
      </c>
      <c r="Z17" s="49"/>
      <c r="AA17" s="49"/>
      <c r="AB17" s="51"/>
      <c r="AE17" s="47">
        <v>44095</v>
      </c>
      <c r="AF17" s="48">
        <f t="shared" si="3"/>
        <v>26.524185647008682</v>
      </c>
      <c r="AG17" s="49"/>
      <c r="AH17" s="49"/>
      <c r="AI17" s="51"/>
      <c r="AM17" s="90"/>
      <c r="AN17" s="91"/>
      <c r="AO17" s="91"/>
    </row>
    <row r="18" spans="1:41" x14ac:dyDescent="0.3">
      <c r="A18" s="20">
        <v>44090</v>
      </c>
      <c r="C18">
        <f>-(Historical_Simulation!B19-Historical_Simulation!B20)</f>
        <v>3.4100000000000108</v>
      </c>
      <c r="E18">
        <f>-(Historical_Simulation!C19-Historical_Simulation!C20)</f>
        <v>78.0300000000002</v>
      </c>
      <c r="G18">
        <f>-(Historical_Simulation!D19-Historical_Simulation!D20)</f>
        <v>8.8999000000000024</v>
      </c>
      <c r="J18" s="23">
        <v>44092</v>
      </c>
      <c r="K18" s="24">
        <f t="shared" si="0"/>
        <v>30.643300923361696</v>
      </c>
      <c r="L18" s="25"/>
      <c r="M18" s="25"/>
      <c r="N18" s="27"/>
      <c r="Q18" s="23">
        <v>44092</v>
      </c>
      <c r="R18" s="24">
        <f t="shared" si="1"/>
        <v>22.105793616837573</v>
      </c>
      <c r="S18" s="25"/>
      <c r="T18" s="25"/>
      <c r="U18" s="27"/>
      <c r="X18" s="47">
        <v>44092</v>
      </c>
      <c r="Y18" s="48">
        <f t="shared" si="2"/>
        <v>-3.2797072222156576</v>
      </c>
      <c r="Z18" s="49"/>
      <c r="AA18" s="49"/>
      <c r="AB18" s="51"/>
      <c r="AE18" s="47">
        <v>44092</v>
      </c>
      <c r="AF18" s="48">
        <f t="shared" si="3"/>
        <v>-1.2263339413229382</v>
      </c>
      <c r="AG18" s="49"/>
      <c r="AH18" s="49"/>
      <c r="AI18" s="51"/>
      <c r="AM18" s="1"/>
    </row>
    <row r="19" spans="1:41" x14ac:dyDescent="0.3">
      <c r="A19" s="20">
        <v>44089</v>
      </c>
      <c r="C19">
        <f>-(Historical_Simulation!B20-Historical_Simulation!B21)</f>
        <v>-0.18500000000000227</v>
      </c>
      <c r="E19">
        <f>-(Historical_Simulation!C20-Historical_Simulation!C21)</f>
        <v>-53.160000000000309</v>
      </c>
      <c r="G19">
        <f>-(Historical_Simulation!D20-Historical_Simulation!D21)</f>
        <v>-6.2699999999999818</v>
      </c>
      <c r="J19" s="23">
        <v>44091</v>
      </c>
      <c r="K19" s="24">
        <f t="shared" si="0"/>
        <v>38.243582599379465</v>
      </c>
      <c r="L19" s="25"/>
      <c r="M19" s="25"/>
      <c r="N19" s="27"/>
      <c r="Q19" s="23">
        <v>44091</v>
      </c>
      <c r="R19" s="24">
        <f t="shared" si="1"/>
        <v>26.7776695672869</v>
      </c>
      <c r="S19" s="25"/>
      <c r="T19" s="25"/>
      <c r="U19" s="27"/>
      <c r="X19" s="47">
        <v>44091</v>
      </c>
      <c r="Y19" s="48">
        <f t="shared" si="2"/>
        <v>40.50717099628914</v>
      </c>
      <c r="Z19" s="49"/>
      <c r="AA19" s="49"/>
      <c r="AB19" s="51"/>
      <c r="AE19" s="47">
        <v>44091</v>
      </c>
      <c r="AF19" s="48">
        <f t="shared" si="3"/>
        <v>28.780882259951451</v>
      </c>
      <c r="AG19" s="49"/>
      <c r="AH19" s="49"/>
      <c r="AI19" s="51"/>
    </row>
    <row r="20" spans="1:41" x14ac:dyDescent="0.3">
      <c r="A20" s="20">
        <v>44088</v>
      </c>
      <c r="C20">
        <f>-(Historical_Simulation!B21-Historical_Simulation!B22)</f>
        <v>-3.355000000000004</v>
      </c>
      <c r="E20">
        <f>-(Historical_Simulation!C21-Historical_Simulation!C22)</f>
        <v>13.25</v>
      </c>
      <c r="G20">
        <f>-(Historical_Simulation!D21-Historical_Simulation!D22)</f>
        <v>0.46019999999998618</v>
      </c>
      <c r="J20" s="23">
        <v>44090</v>
      </c>
      <c r="K20" s="24">
        <f t="shared" si="0"/>
        <v>43.661055542552646</v>
      </c>
      <c r="L20" s="25"/>
      <c r="M20" s="25"/>
      <c r="N20" s="27"/>
      <c r="Q20" s="23">
        <v>44090</v>
      </c>
      <c r="R20" s="24">
        <f t="shared" si="1"/>
        <v>31.000705876160954</v>
      </c>
      <c r="S20" s="25"/>
      <c r="T20" s="25"/>
      <c r="U20" s="27"/>
      <c r="X20" s="47">
        <v>44090</v>
      </c>
      <c r="Y20" s="48">
        <f t="shared" si="2"/>
        <v>34.170260065488812</v>
      </c>
      <c r="Z20" s="49"/>
      <c r="AA20" s="49"/>
      <c r="AB20" s="51"/>
      <c r="AE20" s="47">
        <v>44090</v>
      </c>
      <c r="AF20" s="48">
        <f t="shared" si="3"/>
        <v>24.85388487972611</v>
      </c>
      <c r="AG20" s="49"/>
      <c r="AH20" s="49"/>
      <c r="AI20" s="51"/>
    </row>
    <row r="21" spans="1:41" x14ac:dyDescent="0.3">
      <c r="A21" s="20">
        <v>44085</v>
      </c>
      <c r="C21">
        <f>-(Historical_Simulation!B22-Historical_Simulation!B23)</f>
        <v>1.4899999999999949</v>
      </c>
      <c r="E21">
        <f>-(Historical_Simulation!C22-Historical_Simulation!C23)</f>
        <v>58.890000000000327</v>
      </c>
      <c r="G21">
        <f>-(Historical_Simulation!D22-Historical_Simulation!D23)</f>
        <v>1.4800000000000182</v>
      </c>
      <c r="J21" s="23">
        <v>44089</v>
      </c>
      <c r="K21" s="24">
        <f t="shared" si="0"/>
        <v>-28.760444483606712</v>
      </c>
      <c r="L21" s="25"/>
      <c r="M21" s="25"/>
      <c r="N21" s="27"/>
      <c r="Q21" s="23">
        <v>44089</v>
      </c>
      <c r="R21" s="24">
        <f t="shared" si="1"/>
        <v>-19.772478474800735</v>
      </c>
      <c r="S21" s="25"/>
      <c r="T21" s="25"/>
      <c r="U21" s="27"/>
      <c r="X21" s="47">
        <v>44089</v>
      </c>
      <c r="Y21" s="48">
        <f t="shared" si="2"/>
        <v>-34.279643344778407</v>
      </c>
      <c r="Z21" s="49"/>
      <c r="AA21" s="49"/>
      <c r="AB21" s="51"/>
      <c r="AE21" s="47">
        <v>44089</v>
      </c>
      <c r="AF21" s="48">
        <f t="shared" si="3"/>
        <v>-23.953381845413048</v>
      </c>
      <c r="AG21" s="49"/>
      <c r="AH21" s="49"/>
      <c r="AI21" s="51"/>
    </row>
    <row r="22" spans="1:41" x14ac:dyDescent="0.3">
      <c r="A22" s="20">
        <v>44084</v>
      </c>
      <c r="C22">
        <f>-(Historical_Simulation!B23-Historical_Simulation!B24)</f>
        <v>3.8299999999999983</v>
      </c>
      <c r="E22">
        <f>-(Historical_Simulation!C23-Historical_Simulation!C24)</f>
        <v>93.5</v>
      </c>
      <c r="G22">
        <f>-(Historical_Simulation!D23-Historical_Simulation!D24)</f>
        <v>5.6299000000000206</v>
      </c>
      <c r="J22" s="23">
        <v>44088</v>
      </c>
      <c r="K22" s="24">
        <f t="shared" si="0"/>
        <v>5.6019656564471276</v>
      </c>
      <c r="L22" s="25"/>
      <c r="M22" s="25"/>
      <c r="N22" s="27"/>
      <c r="Q22" s="23">
        <v>44088</v>
      </c>
      <c r="R22" s="24">
        <f t="shared" si="1"/>
        <v>2.784690043870961</v>
      </c>
      <c r="S22" s="25"/>
      <c r="T22" s="25"/>
      <c r="U22" s="27"/>
      <c r="X22" s="47">
        <v>44088</v>
      </c>
      <c r="Y22" s="48">
        <f t="shared" si="2"/>
        <v>18.021809086113173</v>
      </c>
      <c r="Z22" s="49"/>
      <c r="AA22" s="49"/>
      <c r="AB22" s="51"/>
      <c r="AE22" s="47">
        <v>44088</v>
      </c>
      <c r="AF22" s="48">
        <f t="shared" si="3"/>
        <v>11.547404341268678</v>
      </c>
      <c r="AG22" s="49"/>
      <c r="AH22" s="49"/>
      <c r="AI22" s="51"/>
    </row>
    <row r="23" spans="1:41" x14ac:dyDescent="0.3">
      <c r="A23" s="20">
        <v>44083</v>
      </c>
      <c r="C23">
        <f>-(Historical_Simulation!B24-Historical_Simulation!B25)</f>
        <v>-4.5</v>
      </c>
      <c r="E23">
        <f>-(Historical_Simulation!C24-Historical_Simulation!C25)</f>
        <v>-118.76999999999998</v>
      </c>
      <c r="G23">
        <f>-(Historical_Simulation!D24-Historical_Simulation!D25)</f>
        <v>-2.560100000000034</v>
      </c>
      <c r="J23" s="23">
        <v>44085</v>
      </c>
      <c r="K23" s="24">
        <f t="shared" si="0"/>
        <v>32.452350417348278</v>
      </c>
      <c r="L23" s="25"/>
      <c r="M23" s="25"/>
      <c r="N23" s="27"/>
      <c r="Q23" s="23">
        <v>44085</v>
      </c>
      <c r="R23" s="24">
        <f t="shared" si="1"/>
        <v>22.713619904739254</v>
      </c>
      <c r="S23" s="25"/>
      <c r="T23" s="25"/>
      <c r="U23" s="27"/>
      <c r="X23" s="47">
        <v>44085</v>
      </c>
      <c r="Y23" s="48">
        <f t="shared" si="2"/>
        <v>1.4339693617999965</v>
      </c>
      <c r="Z23" s="49"/>
      <c r="AA23" s="49"/>
      <c r="AB23" s="51"/>
      <c r="AE23" s="47">
        <v>44085</v>
      </c>
      <c r="AF23" s="48">
        <f t="shared" si="3"/>
        <v>1.4509393889147733</v>
      </c>
      <c r="AG23" s="49"/>
      <c r="AH23" s="49"/>
      <c r="AI23" s="51"/>
    </row>
    <row r="24" spans="1:41" x14ac:dyDescent="0.3">
      <c r="A24" s="20">
        <v>44082</v>
      </c>
      <c r="C24">
        <f>-(Historical_Simulation!B25-Historical_Simulation!B26)</f>
        <v>8.14</v>
      </c>
      <c r="E24">
        <f>-(Historical_Simulation!C25-Historical_Simulation!C26)</f>
        <v>144.77999999999975</v>
      </c>
      <c r="G24">
        <f>-(Historical_Simulation!D25-Historical_Simulation!D26)</f>
        <v>11.570100000000025</v>
      </c>
      <c r="J24" s="23">
        <v>44084</v>
      </c>
      <c r="K24" s="24">
        <f t="shared" si="0"/>
        <v>52.199232786125506</v>
      </c>
      <c r="L24" s="25"/>
      <c r="M24" s="25"/>
      <c r="N24" s="27"/>
      <c r="Q24" s="23">
        <v>44084</v>
      </c>
      <c r="R24" s="24">
        <f t="shared" si="1"/>
        <v>36.985435485330285</v>
      </c>
      <c r="S24" s="25"/>
      <c r="T24" s="25"/>
      <c r="U24" s="27"/>
      <c r="X24" s="47">
        <v>44084</v>
      </c>
      <c r="Y24" s="48">
        <f t="shared" si="2"/>
        <v>13.914954569641349</v>
      </c>
      <c r="Z24" s="49"/>
      <c r="AA24" s="49"/>
      <c r="AB24" s="51"/>
      <c r="AE24" s="47">
        <v>44084</v>
      </c>
      <c r="AF24" s="48">
        <f t="shared" si="3"/>
        <v>10.860519389245621</v>
      </c>
      <c r="AG24" s="49"/>
      <c r="AH24" s="49"/>
      <c r="AI24" s="51"/>
    </row>
    <row r="25" spans="1:41" x14ac:dyDescent="0.3">
      <c r="A25" s="20">
        <v>44078</v>
      </c>
      <c r="C25">
        <f>-(Historical_Simulation!B26-Historical_Simulation!B27)</f>
        <v>-7.9999999999998295E-2</v>
      </c>
      <c r="E25">
        <f>-(Historical_Simulation!C26-Historical_Simulation!C27)</f>
        <v>73.380000000000109</v>
      </c>
      <c r="G25">
        <f>-(Historical_Simulation!D26-Historical_Simulation!D27)</f>
        <v>8.3900999999999613</v>
      </c>
      <c r="J25" s="23">
        <v>44083</v>
      </c>
      <c r="K25" s="24">
        <f t="shared" si="0"/>
        <v>-66.138811536417535</v>
      </c>
      <c r="L25" s="25"/>
      <c r="M25" s="25"/>
      <c r="N25" s="27"/>
      <c r="Q25" s="23">
        <v>44083</v>
      </c>
      <c r="R25" s="24">
        <f t="shared" si="1"/>
        <v>-46.751272587361335</v>
      </c>
      <c r="S25" s="25"/>
      <c r="T25" s="25"/>
      <c r="U25" s="27"/>
      <c r="X25" s="47">
        <v>44083</v>
      </c>
      <c r="Y25" s="48">
        <f t="shared" si="2"/>
        <v>6.369383504442844</v>
      </c>
      <c r="Z25" s="49"/>
      <c r="AA25" s="49"/>
      <c r="AB25" s="51"/>
      <c r="AE25" s="47">
        <v>44083</v>
      </c>
      <c r="AF25" s="48">
        <f t="shared" si="3"/>
        <v>3.0773679444397875</v>
      </c>
      <c r="AG25" s="49"/>
      <c r="AH25" s="49"/>
      <c r="AI25" s="51"/>
    </row>
    <row r="26" spans="1:41" x14ac:dyDescent="0.3">
      <c r="A26" s="20">
        <v>44077</v>
      </c>
      <c r="C26">
        <f>-(Historical_Simulation!B27-Historical_Simulation!B28)</f>
        <v>10.52000000000001</v>
      </c>
      <c r="E26">
        <f>-(Historical_Simulation!C27-Historical_Simulation!C28)</f>
        <v>163.44999999999982</v>
      </c>
      <c r="G26">
        <f>-(Historical_Simulation!D27-Historical_Simulation!D28)</f>
        <v>11.379900000000021</v>
      </c>
      <c r="J26" s="23">
        <v>44082</v>
      </c>
      <c r="K26" s="24">
        <f t="shared" si="0"/>
        <v>81.845497578857774</v>
      </c>
      <c r="L26" s="25"/>
      <c r="M26" s="25"/>
      <c r="N26" s="27"/>
      <c r="Q26" s="23">
        <v>44082</v>
      </c>
      <c r="R26" s="24">
        <f t="shared" si="1"/>
        <v>58.662568358598428</v>
      </c>
      <c r="S26" s="25"/>
      <c r="T26" s="25"/>
      <c r="U26" s="27"/>
      <c r="X26" s="47">
        <v>44082</v>
      </c>
      <c r="Y26" s="48">
        <f t="shared" si="2"/>
        <v>27.359069209026401</v>
      </c>
      <c r="Z26" s="49"/>
      <c r="AA26" s="49"/>
      <c r="AB26" s="51"/>
      <c r="AE26" s="47">
        <v>44082</v>
      </c>
      <c r="AF26" s="48">
        <f t="shared" si="3"/>
        <v>21.538180208373404</v>
      </c>
      <c r="AG26" s="49"/>
      <c r="AH26" s="49"/>
      <c r="AI26" s="51"/>
    </row>
    <row r="27" spans="1:41" x14ac:dyDescent="0.3">
      <c r="A27" s="20">
        <v>44076</v>
      </c>
      <c r="C27">
        <f>-(Historical_Simulation!B28-Historical_Simulation!B29)</f>
        <v>2.7800000000000011</v>
      </c>
      <c r="E27">
        <f>-(Historical_Simulation!C28-Historical_Simulation!C29)</f>
        <v>-32.329999999999927</v>
      </c>
      <c r="G27">
        <f>-(Historical_Simulation!D28-Historical_Simulation!D29)</f>
        <v>-7.0600999999999772</v>
      </c>
      <c r="J27" s="23">
        <v>44078</v>
      </c>
      <c r="K27" s="24">
        <f t="shared" si="0"/>
        <v>39.545335568961583</v>
      </c>
      <c r="L27" s="25"/>
      <c r="M27" s="25"/>
      <c r="N27" s="27"/>
      <c r="Q27" s="23">
        <v>44078</v>
      </c>
      <c r="R27" s="24">
        <f t="shared" si="1"/>
        <v>27.081796484357827</v>
      </c>
      <c r="S27" s="25"/>
      <c r="T27" s="25"/>
      <c r="U27" s="27"/>
      <c r="X27" s="47">
        <v>44078</v>
      </c>
      <c r="Y27" s="48">
        <f t="shared" si="2"/>
        <v>47.37851086189108</v>
      </c>
      <c r="Z27" s="49"/>
      <c r="AA27" s="49"/>
      <c r="AB27" s="51"/>
      <c r="AE27" s="47">
        <v>44078</v>
      </c>
      <c r="AF27" s="48">
        <f t="shared" si="3"/>
        <v>33.004728195371037</v>
      </c>
      <c r="AG27" s="49"/>
      <c r="AH27" s="49"/>
      <c r="AI27" s="51"/>
    </row>
    <row r="28" spans="1:41" x14ac:dyDescent="0.3">
      <c r="A28" s="20">
        <v>44075</v>
      </c>
      <c r="C28">
        <f>-(Historical_Simulation!B29-Historical_Simulation!B30)</f>
        <v>-5.1400000000000148</v>
      </c>
      <c r="E28">
        <f>-(Historical_Simulation!C29-Historical_Simulation!C30)</f>
        <v>-48.159999999999854</v>
      </c>
      <c r="G28">
        <f>-(Historical_Simulation!D29-Historical_Simulation!D30)</f>
        <v>-2.2399000000000342</v>
      </c>
      <c r="J28" s="23">
        <v>44077</v>
      </c>
      <c r="K28" s="24">
        <f t="shared" si="0"/>
        <v>93.012547897648787</v>
      </c>
      <c r="L28" s="25"/>
      <c r="M28" s="25"/>
      <c r="N28" s="27"/>
      <c r="Q28" s="23">
        <v>44077</v>
      </c>
      <c r="R28" s="24">
        <f t="shared" si="1"/>
        <v>67.065787317626345</v>
      </c>
      <c r="S28" s="25"/>
      <c r="T28" s="25"/>
      <c r="U28" s="27"/>
      <c r="X28" s="47">
        <v>44077</v>
      </c>
      <c r="Y28" s="48">
        <f t="shared" si="2"/>
        <v>15.338074578829165</v>
      </c>
      <c r="Z28" s="49"/>
      <c r="AA28" s="49"/>
      <c r="AB28" s="51"/>
      <c r="AE28" s="47">
        <v>44077</v>
      </c>
      <c r="AF28" s="48">
        <f t="shared" si="3"/>
        <v>13.87882194722614</v>
      </c>
      <c r="AG28" s="49"/>
      <c r="AH28" s="49"/>
      <c r="AI28" s="51"/>
    </row>
    <row r="29" spans="1:41" x14ac:dyDescent="0.3">
      <c r="A29" s="20">
        <v>44074</v>
      </c>
      <c r="C29">
        <f>-(Historical_Simulation!B30-Historical_Simulation!B31)</f>
        <v>-4.2324999999999875</v>
      </c>
      <c r="E29">
        <f>-(Historical_Simulation!C30-Historical_Simulation!C31)</f>
        <v>-49.159999999999854</v>
      </c>
      <c r="G29">
        <f>-(Historical_Simulation!D30-Historical_Simulation!D31)</f>
        <v>0.45990000000000464</v>
      </c>
      <c r="J29" s="23">
        <v>44076</v>
      </c>
      <c r="K29" s="24">
        <f t="shared" si="0"/>
        <v>-16.158817476534661</v>
      </c>
      <c r="L29" s="25"/>
      <c r="M29" s="25"/>
      <c r="N29" s="27"/>
      <c r="Q29" s="23">
        <v>44076</v>
      </c>
      <c r="R29" s="24">
        <f t="shared" si="1"/>
        <v>-10.201904091557306</v>
      </c>
      <c r="S29" s="25"/>
      <c r="T29" s="25"/>
      <c r="U29" s="27"/>
      <c r="X29" s="47">
        <v>44076</v>
      </c>
      <c r="Y29" s="48">
        <f t="shared" si="2"/>
        <v>-52.354708295308853</v>
      </c>
      <c r="Z29" s="49"/>
      <c r="AA29" s="49"/>
      <c r="AB29" s="51"/>
      <c r="AE29" s="47">
        <v>44076</v>
      </c>
      <c r="AF29" s="48">
        <f t="shared" si="3"/>
        <v>-35.656031914059028</v>
      </c>
      <c r="AG29" s="49"/>
      <c r="AH29" s="49"/>
      <c r="AI29" s="51"/>
    </row>
    <row r="30" spans="1:41" x14ac:dyDescent="0.3">
      <c r="A30" s="20">
        <v>44071</v>
      </c>
      <c r="C30">
        <f>-(Historical_Simulation!B31-Historical_Simulation!B32)</f>
        <v>0.20250000000000057</v>
      </c>
      <c r="E30">
        <f>-(Historical_Simulation!C31-Historical_Simulation!C32)</f>
        <v>-1.8000000000001819</v>
      </c>
      <c r="G30">
        <f>-(Historical_Simulation!D31-Historical_Simulation!D32)</f>
        <v>-0.43989999999996598</v>
      </c>
      <c r="J30" s="23">
        <v>44075</v>
      </c>
      <c r="K30" s="24">
        <f t="shared" si="0"/>
        <v>-28.345580399900893</v>
      </c>
      <c r="L30" s="25"/>
      <c r="M30" s="25"/>
      <c r="N30" s="27"/>
      <c r="Q30" s="23">
        <v>44075</v>
      </c>
      <c r="R30" s="24">
        <f t="shared" si="1"/>
        <v>-21.046622444283539</v>
      </c>
      <c r="S30" s="25"/>
      <c r="T30" s="25"/>
      <c r="U30" s="27"/>
      <c r="X30" s="47">
        <v>44075</v>
      </c>
      <c r="Y30" s="48">
        <f t="shared" si="2"/>
        <v>11.109445384419301</v>
      </c>
      <c r="Z30" s="49"/>
      <c r="AA30" s="49"/>
      <c r="AB30" s="51"/>
      <c r="AE30" s="47">
        <v>44075</v>
      </c>
      <c r="AF30" s="48">
        <f t="shared" si="3"/>
        <v>6.1879678208516111</v>
      </c>
      <c r="AG30" s="49"/>
      <c r="AH30" s="49"/>
      <c r="AI30" s="51"/>
    </row>
    <row r="31" spans="1:41" x14ac:dyDescent="0.3">
      <c r="A31" s="20">
        <v>44070</v>
      </c>
      <c r="C31">
        <f>-(Historical_Simulation!B32-Historical_Simulation!B33)</f>
        <v>1.5124999999999886</v>
      </c>
      <c r="E31">
        <f>-(Historical_Simulation!C32-Historical_Simulation!C33)</f>
        <v>41.849999999999909</v>
      </c>
      <c r="G31">
        <f>-(Historical_Simulation!D32-Historical_Simulation!D33)</f>
        <v>10.689899999999966</v>
      </c>
      <c r="J31" s="23">
        <v>44074</v>
      </c>
      <c r="K31" s="24">
        <f t="shared" si="0"/>
        <v>-28.467012166818851</v>
      </c>
      <c r="L31" s="25"/>
      <c r="M31" s="25"/>
      <c r="N31" s="27"/>
      <c r="Q31" s="23">
        <v>44074</v>
      </c>
      <c r="R31" s="24">
        <f t="shared" si="1"/>
        <v>-20.844419569166618</v>
      </c>
      <c r="S31" s="25"/>
      <c r="T31" s="25"/>
      <c r="U31" s="27"/>
      <c r="X31" s="47">
        <v>44074</v>
      </c>
      <c r="Y31" s="48">
        <f t="shared" si="2"/>
        <v>22.059316669028519</v>
      </c>
      <c r="Z31" s="49"/>
      <c r="AA31" s="49"/>
      <c r="AB31" s="51"/>
      <c r="AE31" s="47">
        <v>44074</v>
      </c>
      <c r="AF31" s="48">
        <f t="shared" si="3"/>
        <v>14.096301145672381</v>
      </c>
      <c r="AG31" s="49"/>
      <c r="AH31" s="49"/>
      <c r="AI31" s="51"/>
    </row>
    <row r="32" spans="1:41" x14ac:dyDescent="0.3">
      <c r="A32" s="20">
        <v>44069</v>
      </c>
      <c r="C32">
        <f>-(Historical_Simulation!B33-Historical_Simulation!B34)</f>
        <v>-1.6974999999999909</v>
      </c>
      <c r="E32">
        <f>-(Historical_Simulation!C33-Historical_Simulation!C34)</f>
        <v>-95.360000000000127</v>
      </c>
      <c r="G32">
        <f>-(Historical_Simulation!D33-Historical_Simulation!D34)</f>
        <v>-23.089799999999968</v>
      </c>
      <c r="J32" s="23">
        <v>44071</v>
      </c>
      <c r="K32" s="24">
        <f t="shared" si="0"/>
        <v>-0.87767607510009049</v>
      </c>
      <c r="L32" s="25"/>
      <c r="M32" s="25"/>
      <c r="N32" s="27"/>
      <c r="Q32" s="23">
        <v>44071</v>
      </c>
      <c r="R32" s="24">
        <f t="shared" si="1"/>
        <v>-0.53792332507393648</v>
      </c>
      <c r="S32" s="25"/>
      <c r="T32" s="25"/>
      <c r="U32" s="27"/>
      <c r="X32" s="47">
        <v>44071</v>
      </c>
      <c r="Y32" s="48">
        <f t="shared" si="2"/>
        <v>-3.396908197976102</v>
      </c>
      <c r="Z32" s="49"/>
      <c r="AA32" s="49"/>
      <c r="AB32" s="51"/>
      <c r="AE32" s="47">
        <v>44071</v>
      </c>
      <c r="AF32" s="48">
        <f t="shared" si="3"/>
        <v>-2.3067536561203936</v>
      </c>
      <c r="AG32" s="49"/>
      <c r="AH32" s="49"/>
      <c r="AI32" s="51"/>
    </row>
    <row r="33" spans="1:35" x14ac:dyDescent="0.3">
      <c r="A33" s="20">
        <v>44068</v>
      </c>
      <c r="C33">
        <f>-(Historical_Simulation!B34-Historical_Simulation!B35)</f>
        <v>1.0324999999999989</v>
      </c>
      <c r="E33">
        <f>-(Historical_Simulation!C34-Historical_Simulation!C35)</f>
        <v>-39.029999999999745</v>
      </c>
      <c r="G33">
        <f>-(Historical_Simulation!D34-Historical_Simulation!D35)</f>
        <v>-9.4302000000000135</v>
      </c>
      <c r="J33" s="23">
        <v>44070</v>
      </c>
      <c r="K33" s="24">
        <f t="shared" si="0"/>
        <v>23.271102960971707</v>
      </c>
      <c r="L33" s="25"/>
      <c r="M33" s="25"/>
      <c r="N33" s="27"/>
      <c r="Q33" s="23">
        <v>44070</v>
      </c>
      <c r="R33" s="24">
        <f t="shared" si="1"/>
        <v>16.427269475738893</v>
      </c>
      <c r="S33" s="25"/>
      <c r="T33" s="25"/>
      <c r="U33" s="27"/>
      <c r="X33" s="47">
        <v>44070</v>
      </c>
      <c r="Y33" s="48">
        <f t="shared" si="2"/>
        <v>52.934057901786289</v>
      </c>
      <c r="Z33" s="49"/>
      <c r="AA33" s="49"/>
      <c r="AB33" s="51"/>
      <c r="AE33" s="47">
        <v>44070</v>
      </c>
      <c r="AF33" s="48">
        <f t="shared" si="3"/>
        <v>37.359985217435302</v>
      </c>
      <c r="AG33" s="49"/>
      <c r="AH33" s="49"/>
      <c r="AI33" s="51"/>
    </row>
    <row r="34" spans="1:35" x14ac:dyDescent="0.3">
      <c r="A34" s="20">
        <v>44067</v>
      </c>
      <c r="C34">
        <f>-(Historical_Simulation!B35-Historical_Simulation!B36)</f>
        <v>-1.4874999999999972</v>
      </c>
      <c r="E34">
        <f>-(Historical_Simulation!C35-Historical_Simulation!C36)</f>
        <v>-22.740000000000236</v>
      </c>
      <c r="G34">
        <f>-(Historical_Simulation!D35-Historical_Simulation!D36)</f>
        <v>-4.3799000000000206</v>
      </c>
      <c r="J34" s="23">
        <v>44069</v>
      </c>
      <c r="K34" s="24">
        <f t="shared" si="0"/>
        <v>-52.22034226419634</v>
      </c>
      <c r="L34" s="25"/>
      <c r="M34" s="25"/>
      <c r="N34" s="27"/>
      <c r="Q34" s="23">
        <v>44069</v>
      </c>
      <c r="R34" s="24">
        <f t="shared" si="1"/>
        <v>-36.329160267031909</v>
      </c>
      <c r="S34" s="25"/>
      <c r="T34" s="25"/>
      <c r="U34" s="27"/>
      <c r="X34" s="47">
        <v>44069</v>
      </c>
      <c r="Y34" s="48">
        <f t="shared" si="2"/>
        <v>-121.55992215686192</v>
      </c>
      <c r="Z34" s="49"/>
      <c r="AA34" s="49"/>
      <c r="AB34" s="51"/>
      <c r="AE34" s="47">
        <v>44069</v>
      </c>
      <c r="AF34" s="48">
        <f t="shared" si="3"/>
        <v>-85.257131052034623</v>
      </c>
      <c r="AG34" s="49"/>
      <c r="AH34" s="49"/>
      <c r="AI34" s="51"/>
    </row>
    <row r="35" spans="1:35" x14ac:dyDescent="0.3">
      <c r="A35" s="20">
        <v>44064</v>
      </c>
      <c r="C35">
        <f>-(Historical_Simulation!B36-Historical_Simulation!B37)</f>
        <v>-6.0949999999999989</v>
      </c>
      <c r="E35">
        <f>-(Historical_Simulation!C36-Historical_Simulation!C37)</f>
        <v>12.650000000000091</v>
      </c>
      <c r="G35">
        <f>-(Historical_Simulation!D36-Historical_Simulation!D37)</f>
        <v>2</v>
      </c>
      <c r="J35" s="23">
        <v>44068</v>
      </c>
      <c r="K35" s="24">
        <f t="shared" si="0"/>
        <v>-20.57776417412893</v>
      </c>
      <c r="L35" s="25"/>
      <c r="M35" s="25"/>
      <c r="N35" s="27"/>
      <c r="Q35" s="23">
        <v>44068</v>
      </c>
      <c r="R35" s="24">
        <f t="shared" si="1"/>
        <v>-13.780588369923453</v>
      </c>
      <c r="S35" s="25"/>
      <c r="T35" s="25"/>
      <c r="U35" s="27"/>
      <c r="X35" s="47">
        <v>44068</v>
      </c>
      <c r="Y35" s="48">
        <f t="shared" si="2"/>
        <v>-57.590675829649086</v>
      </c>
      <c r="Z35" s="49"/>
      <c r="AA35" s="49"/>
      <c r="AB35" s="51"/>
      <c r="AE35" s="47">
        <v>44068</v>
      </c>
      <c r="AF35" s="48">
        <f t="shared" si="3"/>
        <v>-39.835445560230767</v>
      </c>
      <c r="AG35" s="49"/>
      <c r="AH35" s="49"/>
      <c r="AI35" s="51"/>
    </row>
    <row r="36" spans="1:35" x14ac:dyDescent="0.3">
      <c r="A36" s="20">
        <v>44063</v>
      </c>
      <c r="C36">
        <f>-(Historical_Simulation!B37-Historical_Simulation!B38)</f>
        <v>-2.5675000000000097</v>
      </c>
      <c r="E36">
        <f>-(Historical_Simulation!C37-Historical_Simulation!C38)</f>
        <v>-36.889999999999873</v>
      </c>
      <c r="G36">
        <f>-(Historical_Simulation!D37-Historical_Simulation!D38)</f>
        <v>-6.4198999999999842</v>
      </c>
      <c r="J36" s="23">
        <v>44067</v>
      </c>
      <c r="K36" s="24">
        <f t="shared" si="0"/>
        <v>-12.951391154088812</v>
      </c>
      <c r="L36" s="25"/>
      <c r="M36" s="25"/>
      <c r="N36" s="27"/>
      <c r="Q36" s="23">
        <v>44067</v>
      </c>
      <c r="R36" s="24">
        <f t="shared" si="1"/>
        <v>-9.3456007321511052</v>
      </c>
      <c r="S36" s="25"/>
      <c r="T36" s="25"/>
      <c r="U36" s="27"/>
      <c r="X36" s="47">
        <v>44067</v>
      </c>
      <c r="Y36" s="48">
        <f t="shared" si="2"/>
        <v>-17.693801793005452</v>
      </c>
      <c r="Z36" s="49"/>
      <c r="AA36" s="49"/>
      <c r="AB36" s="51"/>
      <c r="AE36" s="47">
        <v>44067</v>
      </c>
      <c r="AF36" s="48">
        <f t="shared" si="3"/>
        <v>-12.7853911503161</v>
      </c>
      <c r="AG36" s="49"/>
      <c r="AH36" s="49"/>
      <c r="AI36" s="51"/>
    </row>
    <row r="37" spans="1:35" x14ac:dyDescent="0.3">
      <c r="A37" s="20">
        <v>44062</v>
      </c>
      <c r="C37">
        <f>-(Historical_Simulation!B38-Historical_Simulation!B39)</f>
        <v>-0.14499999999999602</v>
      </c>
      <c r="E37">
        <f>-(Historical_Simulation!C38-Historical_Simulation!C39)</f>
        <v>52.009999999999764</v>
      </c>
      <c r="G37">
        <f>-(Historical_Simulation!D38-Historical_Simulation!D39)</f>
        <v>-0.25</v>
      </c>
      <c r="J37" s="23">
        <v>44064</v>
      </c>
      <c r="K37" s="24">
        <f t="shared" si="0"/>
        <v>4.0163111249685191</v>
      </c>
      <c r="L37" s="25"/>
      <c r="M37" s="25"/>
      <c r="N37" s="27"/>
      <c r="Q37" s="23">
        <v>44064</v>
      </c>
      <c r="R37" s="24">
        <f t="shared" si="1"/>
        <v>0.83595392185256134</v>
      </c>
      <c r="S37" s="25"/>
      <c r="T37" s="25"/>
      <c r="U37" s="27"/>
      <c r="X37" s="47">
        <v>44064</v>
      </c>
      <c r="Y37" s="48">
        <f t="shared" si="2"/>
        <v>39.261801623004459</v>
      </c>
      <c r="Z37" s="49"/>
      <c r="AA37" s="49"/>
      <c r="AB37" s="51"/>
      <c r="AE37" s="47">
        <v>44064</v>
      </c>
      <c r="AF37" s="48">
        <f t="shared" si="3"/>
        <v>25.524564673561091</v>
      </c>
      <c r="AG37" s="49"/>
      <c r="AH37" s="49"/>
      <c r="AI37" s="51"/>
    </row>
    <row r="38" spans="1:35" x14ac:dyDescent="0.3">
      <c r="A38" s="20">
        <v>44061</v>
      </c>
      <c r="C38">
        <f>-(Historical_Simulation!B39-Historical_Simulation!B40)</f>
        <v>-0.95499999999999829</v>
      </c>
      <c r="E38">
        <f>-(Historical_Simulation!C39-Historical_Simulation!C40)</f>
        <v>-130.07999999999993</v>
      </c>
      <c r="G38">
        <f>-(Historical_Simulation!D39-Historical_Simulation!D40)</f>
        <v>-1.1802000000000135</v>
      </c>
      <c r="J38" s="23">
        <v>44063</v>
      </c>
      <c r="K38" s="24">
        <f t="shared" si="0"/>
        <v>-21.081529132394188</v>
      </c>
      <c r="L38" s="25"/>
      <c r="M38" s="25"/>
      <c r="N38" s="27"/>
      <c r="Q38" s="23">
        <v>44063</v>
      </c>
      <c r="R38" s="24">
        <f t="shared" si="1"/>
        <v>-15.258226379449592</v>
      </c>
      <c r="S38" s="25"/>
      <c r="T38" s="25"/>
      <c r="U38" s="27"/>
      <c r="X38" s="47">
        <v>44063</v>
      </c>
      <c r="Y38" s="48">
        <f t="shared" si="2"/>
        <v>-24.152743060217581</v>
      </c>
      <c r="Z38" s="49"/>
      <c r="AA38" s="49"/>
      <c r="AB38" s="51"/>
      <c r="AE38" s="47">
        <v>44063</v>
      </c>
      <c r="AF38" s="48">
        <f t="shared" si="3"/>
        <v>-17.615209814505995</v>
      </c>
      <c r="AG38" s="49"/>
      <c r="AH38" s="49"/>
      <c r="AI38" s="51"/>
    </row>
    <row r="39" spans="1:35" x14ac:dyDescent="0.3">
      <c r="A39" s="20">
        <v>44060</v>
      </c>
      <c r="C39">
        <f>-(Historical_Simulation!B40-Historical_Simulation!B41)</f>
        <v>0.29999999999999716</v>
      </c>
      <c r="E39">
        <f>-(Historical_Simulation!C40-Historical_Simulation!C41)</f>
        <v>-34.389999999999873</v>
      </c>
      <c r="G39">
        <f>-(Historical_Simulation!D40-Historical_Simulation!D41)</f>
        <v>8.0100000000015825E-2</v>
      </c>
      <c r="J39" s="23">
        <v>44062</v>
      </c>
      <c r="K39" s="24">
        <f t="shared" si="0"/>
        <v>27.98812519193002</v>
      </c>
      <c r="L39" s="25"/>
      <c r="M39" s="25"/>
      <c r="N39" s="27"/>
      <c r="Q39" s="23">
        <v>44062</v>
      </c>
      <c r="R39" s="24">
        <f t="shared" si="1"/>
        <v>19.139283904732835</v>
      </c>
      <c r="S39" s="25"/>
      <c r="T39" s="25"/>
      <c r="U39" s="27"/>
      <c r="X39" s="47">
        <v>44062</v>
      </c>
      <c r="Y39" s="48">
        <f t="shared" si="2"/>
        <v>-0.73332170110137329</v>
      </c>
      <c r="Z39" s="49"/>
      <c r="AA39" s="49"/>
      <c r="AB39" s="51"/>
      <c r="AE39" s="47">
        <v>44062</v>
      </c>
      <c r="AF39" s="48">
        <f t="shared" si="3"/>
        <v>-0.55513641639580091</v>
      </c>
      <c r="AG39" s="49"/>
      <c r="AH39" s="49"/>
      <c r="AI39" s="51"/>
    </row>
    <row r="40" spans="1:35" x14ac:dyDescent="0.3">
      <c r="A40" s="20">
        <v>44057</v>
      </c>
      <c r="C40">
        <f>-(Historical_Simulation!B41-Historical_Simulation!B42)</f>
        <v>0.10250000000000625</v>
      </c>
      <c r="E40">
        <f>-(Historical_Simulation!C41-Historical_Simulation!C42)</f>
        <v>13</v>
      </c>
      <c r="G40">
        <f>-(Historical_Simulation!D41-Historical_Simulation!D42)</f>
        <v>6.0000000000002274E-2</v>
      </c>
      <c r="J40" s="23">
        <v>44061</v>
      </c>
      <c r="K40" s="24">
        <f t="shared" si="0"/>
        <v>-70.606803094774762</v>
      </c>
      <c r="L40" s="25"/>
      <c r="M40" s="25"/>
      <c r="N40" s="27"/>
      <c r="Q40" s="23">
        <v>44061</v>
      </c>
      <c r="R40" s="24">
        <f t="shared" si="1"/>
        <v>-48.698901048770715</v>
      </c>
      <c r="S40" s="25"/>
      <c r="T40" s="25"/>
      <c r="U40" s="27"/>
      <c r="X40" s="47">
        <v>44061</v>
      </c>
      <c r="Y40" s="48">
        <f t="shared" si="2"/>
        <v>-2.2168099722669892</v>
      </c>
      <c r="Z40" s="49"/>
      <c r="AA40" s="49"/>
      <c r="AB40" s="51"/>
      <c r="AE40" s="47">
        <v>44061</v>
      </c>
      <c r="AF40" s="48">
        <f t="shared" si="3"/>
        <v>-1.8346449616413127</v>
      </c>
      <c r="AG40" s="49"/>
      <c r="AH40" s="49"/>
      <c r="AI40" s="51"/>
    </row>
    <row r="41" spans="1:35" x14ac:dyDescent="0.3">
      <c r="A41" s="20">
        <v>44056</v>
      </c>
      <c r="C41">
        <f>-(Historical_Simulation!B42-Historical_Simulation!B43)</f>
        <v>-2</v>
      </c>
      <c r="E41">
        <f>-(Historical_Simulation!C42-Historical_Simulation!C43)</f>
        <v>1.2199999999997999</v>
      </c>
      <c r="G41">
        <f>-(Historical_Simulation!D42-Historical_Simulation!D43)</f>
        <v>-1.4100999999999999</v>
      </c>
      <c r="J41" s="23">
        <v>44060</v>
      </c>
      <c r="K41" s="24">
        <f t="shared" si="0"/>
        <v>-18.412263692993061</v>
      </c>
      <c r="L41" s="25"/>
      <c r="M41" s="25"/>
      <c r="N41" s="27"/>
      <c r="Q41" s="23">
        <v>44060</v>
      </c>
      <c r="R41" s="24">
        <f t="shared" si="1"/>
        <v>-12.526609311766515</v>
      </c>
      <c r="S41" s="25"/>
      <c r="T41" s="25"/>
      <c r="U41" s="27"/>
      <c r="X41" s="47">
        <v>44060</v>
      </c>
      <c r="Y41" s="48">
        <f t="shared" si="2"/>
        <v>-0.93211373402073583</v>
      </c>
      <c r="Z41" s="49"/>
      <c r="AA41" s="49"/>
      <c r="AB41" s="51"/>
      <c r="AE41" s="47">
        <v>44060</v>
      </c>
      <c r="AF41" s="48">
        <f t="shared" si="3"/>
        <v>-0.55894283776596876</v>
      </c>
      <c r="AG41" s="49"/>
      <c r="AH41" s="49"/>
      <c r="AI41" s="51"/>
    </row>
    <row r="42" spans="1:35" x14ac:dyDescent="0.3">
      <c r="A42" s="20">
        <v>44055</v>
      </c>
      <c r="C42">
        <f>-(Historical_Simulation!B43-Historical_Simulation!B44)</f>
        <v>-3.6350000000000051</v>
      </c>
      <c r="E42">
        <f>-(Historical_Simulation!C43-Historical_Simulation!C44)</f>
        <v>-81.569999999999709</v>
      </c>
      <c r="G42">
        <f>-(Historical_Simulation!D43-Historical_Simulation!D44)</f>
        <v>-3.7599999999999909</v>
      </c>
      <c r="J42" s="23">
        <v>44057</v>
      </c>
      <c r="K42" s="24">
        <f t="shared" si="0"/>
        <v>7.0595891029224269</v>
      </c>
      <c r="L42" s="25"/>
      <c r="M42" s="25"/>
      <c r="N42" s="27"/>
      <c r="Q42" s="23">
        <v>44057</v>
      </c>
      <c r="R42" s="24">
        <f t="shared" si="1"/>
        <v>4.8713438627416945</v>
      </c>
      <c r="S42" s="25"/>
      <c r="T42" s="25"/>
      <c r="U42" s="27"/>
      <c r="X42" s="47">
        <v>44057</v>
      </c>
      <c r="Y42" s="48">
        <f t="shared" si="2"/>
        <v>-0.13563021235056449</v>
      </c>
      <c r="Z42" s="49"/>
      <c r="AA42" s="49"/>
      <c r="AB42" s="51"/>
      <c r="AE42" s="47">
        <v>44057</v>
      </c>
      <c r="AF42" s="48">
        <f t="shared" si="3"/>
        <v>-6.3507597112590658E-2</v>
      </c>
      <c r="AG42" s="49"/>
      <c r="AH42" s="49"/>
      <c r="AI42" s="51"/>
    </row>
    <row r="43" spans="1:35" x14ac:dyDescent="0.3">
      <c r="A43" s="20">
        <v>44054</v>
      </c>
      <c r="C43">
        <f>-(Historical_Simulation!B44-Historical_Simulation!B45)</f>
        <v>3.3524000000000029</v>
      </c>
      <c r="E43">
        <f>-(Historical_Simulation!C44-Historical_Simulation!C45)</f>
        <v>67.489999999999782</v>
      </c>
      <c r="G43">
        <f>-(Historical_Simulation!D44-Historical_Simulation!D45)</f>
        <v>6.8700999999999794</v>
      </c>
      <c r="J43" s="23">
        <v>44056</v>
      </c>
      <c r="K43" s="24">
        <f t="shared" si="0"/>
        <v>-0.26308765951472657</v>
      </c>
      <c r="L43" s="25"/>
      <c r="M43" s="25"/>
      <c r="N43" s="27"/>
      <c r="Q43" s="23">
        <v>44056</v>
      </c>
      <c r="R43" s="24">
        <f t="shared" si="1"/>
        <v>-0.80940668827080553</v>
      </c>
      <c r="S43" s="25"/>
      <c r="T43" s="25"/>
      <c r="U43" s="27"/>
      <c r="X43" s="47">
        <v>44056</v>
      </c>
      <c r="Y43" s="48">
        <f t="shared" si="2"/>
        <v>1.3052473474256132</v>
      </c>
      <c r="Z43" s="49"/>
      <c r="AA43" s="49"/>
      <c r="AB43" s="51"/>
      <c r="AE43" s="47">
        <v>44056</v>
      </c>
      <c r="AF43" s="48">
        <f t="shared" si="3"/>
        <v>0.30418544792263003</v>
      </c>
      <c r="AG43" s="49"/>
      <c r="AH43" s="49"/>
      <c r="AI43" s="51"/>
    </row>
    <row r="44" spans="1:35" x14ac:dyDescent="0.3">
      <c r="A44" s="20">
        <v>44053</v>
      </c>
      <c r="C44">
        <f>-(Historical_Simulation!B45-Historical_Simulation!B46)</f>
        <v>-1.6149000000000058</v>
      </c>
      <c r="E44">
        <f>-(Historical_Simulation!C45-Historical_Simulation!C46)</f>
        <v>19.300000000000182</v>
      </c>
      <c r="G44">
        <f>-(Historical_Simulation!D45-Historical_Simulation!D46)</f>
        <v>5.4399000000000228</v>
      </c>
      <c r="J44" s="23">
        <v>44055</v>
      </c>
      <c r="K44" s="24">
        <f t="shared" si="0"/>
        <v>-45.67421219121978</v>
      </c>
      <c r="L44" s="25"/>
      <c r="M44" s="25"/>
      <c r="N44" s="27"/>
      <c r="Q44" s="23">
        <v>44055</v>
      </c>
      <c r="R44" s="24">
        <f t="shared" si="1"/>
        <v>-32.451425388080807</v>
      </c>
      <c r="S44" s="25"/>
      <c r="T44" s="25"/>
      <c r="U44" s="27"/>
      <c r="X44" s="47">
        <v>44055</v>
      </c>
      <c r="Y44" s="48">
        <f t="shared" si="2"/>
        <v>-4.3353829775015384</v>
      </c>
      <c r="Z44" s="49"/>
      <c r="AA44" s="49"/>
      <c r="AB44" s="51"/>
      <c r="AE44" s="47">
        <v>44055</v>
      </c>
      <c r="AF44" s="48">
        <f t="shared" si="3"/>
        <v>-4.1232576385663666</v>
      </c>
      <c r="AG44" s="49"/>
      <c r="AH44" s="49"/>
      <c r="AI44" s="51"/>
    </row>
    <row r="45" spans="1:35" x14ac:dyDescent="0.3">
      <c r="A45" s="20">
        <v>44050</v>
      </c>
      <c r="C45">
        <f>-(Historical_Simulation!B46-Historical_Simulation!B47)</f>
        <v>2.7900000000000063</v>
      </c>
      <c r="E45">
        <f>-(Historical_Simulation!C46-Historical_Simulation!C47)</f>
        <v>57.539999999999964</v>
      </c>
      <c r="G45">
        <f>-(Historical_Simulation!D46-Historical_Simulation!D47)</f>
        <v>-3.1599000000000501</v>
      </c>
      <c r="J45" s="23">
        <v>44054</v>
      </c>
      <c r="K45" s="24">
        <f t="shared" si="0"/>
        <v>37.949104636371061</v>
      </c>
      <c r="L45" s="25"/>
      <c r="M45" s="25"/>
      <c r="N45" s="27"/>
      <c r="Q45" s="23">
        <v>44054</v>
      </c>
      <c r="R45" s="24">
        <f t="shared" si="1"/>
        <v>27.067243972163627</v>
      </c>
      <c r="S45" s="25"/>
      <c r="T45" s="25"/>
      <c r="U45" s="27"/>
      <c r="X45" s="47">
        <v>44054</v>
      </c>
      <c r="Y45" s="48">
        <f t="shared" si="2"/>
        <v>23.062297599659267</v>
      </c>
      <c r="Z45" s="49"/>
      <c r="AA45" s="49"/>
      <c r="AB45" s="51"/>
      <c r="AE45" s="47">
        <v>44054</v>
      </c>
      <c r="AF45" s="48">
        <f t="shared" si="3"/>
        <v>17.09275116148056</v>
      </c>
      <c r="AG45" s="49"/>
      <c r="AH45" s="49"/>
      <c r="AI45" s="51"/>
    </row>
    <row r="46" spans="1:35" x14ac:dyDescent="0.3">
      <c r="A46" s="20">
        <v>44049</v>
      </c>
      <c r="C46">
        <f>-(Historical_Simulation!B47-Historical_Simulation!B48)</f>
        <v>-3.8400000000000034</v>
      </c>
      <c r="E46">
        <f>-(Historical_Simulation!C47-Historical_Simulation!C48)</f>
        <v>-19.9699999999998</v>
      </c>
      <c r="G46">
        <f>-(Historical_Simulation!D47-Historical_Simulation!D48)</f>
        <v>-16.159999999999968</v>
      </c>
      <c r="J46" s="23">
        <v>44053</v>
      </c>
      <c r="K46" s="24">
        <f t="shared" si="0"/>
        <v>9.6668850652229832</v>
      </c>
      <c r="L46" s="25"/>
      <c r="M46" s="25"/>
      <c r="N46" s="27"/>
      <c r="Q46" s="23">
        <v>44053</v>
      </c>
      <c r="R46" s="24">
        <f t="shared" si="1"/>
        <v>6.1183733091573558</v>
      </c>
      <c r="S46" s="25"/>
      <c r="T46" s="25"/>
      <c r="U46" s="27"/>
      <c r="X46" s="47">
        <v>44053</v>
      </c>
      <c r="Y46" s="48">
        <f t="shared" si="2"/>
        <v>37.913594637427195</v>
      </c>
      <c r="Z46" s="49"/>
      <c r="AA46" s="49"/>
      <c r="AB46" s="51"/>
      <c r="AE46" s="47">
        <v>44053</v>
      </c>
      <c r="AF46" s="48">
        <f t="shared" si="3"/>
        <v>25.941579908466913</v>
      </c>
      <c r="AG46" s="49"/>
      <c r="AH46" s="49"/>
      <c r="AI46" s="51"/>
    </row>
    <row r="47" spans="1:35" x14ac:dyDescent="0.3">
      <c r="A47" s="20">
        <v>44048</v>
      </c>
      <c r="C47">
        <f>-(Historical_Simulation!B48-Historical_Simulation!B49)</f>
        <v>-0.39749999999999375</v>
      </c>
      <c r="E47">
        <f>-(Historical_Simulation!C48-Historical_Simulation!C49)</f>
        <v>-66.200000000000273</v>
      </c>
      <c r="G47">
        <f>-(Historical_Simulation!D48-Historical_Simulation!D49)</f>
        <v>0.71000000000000796</v>
      </c>
      <c r="J47" s="23">
        <v>44050</v>
      </c>
      <c r="K47" s="24">
        <f t="shared" si="0"/>
        <v>32.322903925954833</v>
      </c>
      <c r="L47" s="25"/>
      <c r="M47" s="25"/>
      <c r="N47" s="27"/>
      <c r="Q47" s="23">
        <v>44050</v>
      </c>
      <c r="R47" s="24">
        <f t="shared" si="1"/>
        <v>23.033783794154477</v>
      </c>
      <c r="S47" s="25"/>
      <c r="T47" s="25"/>
      <c r="U47" s="27"/>
      <c r="X47" s="47">
        <v>44050</v>
      </c>
      <c r="Y47" s="48">
        <f t="shared" si="2"/>
        <v>-30.547669422695087</v>
      </c>
      <c r="Z47" s="49"/>
      <c r="AA47" s="49"/>
      <c r="AB47" s="51"/>
      <c r="AE47" s="47">
        <v>44050</v>
      </c>
      <c r="AF47" s="48">
        <f t="shared" si="3"/>
        <v>-20.450672989650759</v>
      </c>
      <c r="AG47" s="49"/>
      <c r="AH47" s="49"/>
      <c r="AI47" s="51"/>
    </row>
    <row r="48" spans="1:35" x14ac:dyDescent="0.3">
      <c r="A48" s="20">
        <v>44047</v>
      </c>
      <c r="C48">
        <f>-(Historical_Simulation!B49-Historical_Simulation!B50)</f>
        <v>-0.72750000000000625</v>
      </c>
      <c r="E48">
        <f>-(Historical_Simulation!C49-Historical_Simulation!C50)</f>
        <v>-26.940000000000055</v>
      </c>
      <c r="G48">
        <f>-(Historical_Simulation!D49-Historical_Simulation!D50)</f>
        <v>2.1299999999999955</v>
      </c>
      <c r="J48" s="23">
        <v>44049</v>
      </c>
      <c r="K48" s="24">
        <f t="shared" si="0"/>
        <v>-12.540744115536913</v>
      </c>
      <c r="L48" s="25"/>
      <c r="M48" s="25"/>
      <c r="N48" s="27"/>
      <c r="Q48" s="23">
        <v>44049</v>
      </c>
      <c r="R48" s="24">
        <f t="shared" si="1"/>
        <v>-9.8040590429170393</v>
      </c>
      <c r="S48" s="25"/>
      <c r="T48" s="25"/>
      <c r="U48" s="27"/>
      <c r="X48" s="47">
        <v>44049</v>
      </c>
      <c r="Y48" s="48">
        <f t="shared" si="2"/>
        <v>-72.869746262558792</v>
      </c>
      <c r="Z48" s="49"/>
      <c r="AA48" s="49"/>
      <c r="AB48" s="51"/>
      <c r="AE48" s="47">
        <v>44049</v>
      </c>
      <c r="AF48" s="48">
        <f t="shared" si="3"/>
        <v>-51.962672857105815</v>
      </c>
      <c r="AG48" s="49"/>
      <c r="AH48" s="49"/>
      <c r="AI48" s="51"/>
    </row>
    <row r="49" spans="1:35" x14ac:dyDescent="0.3">
      <c r="A49" s="20">
        <v>44046</v>
      </c>
      <c r="C49">
        <f>-(Historical_Simulation!B50-Historical_Simulation!B51)</f>
        <v>-2.6774999999999949</v>
      </c>
      <c r="E49">
        <f>-(Historical_Simulation!C50-Historical_Simulation!C51)</f>
        <v>52.789999999999964</v>
      </c>
      <c r="G49">
        <f>-(Historical_Simulation!D50-Historical_Simulation!D51)</f>
        <v>1.7099999999999795</v>
      </c>
      <c r="J49" s="23">
        <v>44048</v>
      </c>
      <c r="K49" s="24">
        <f t="shared" si="0"/>
        <v>-35.89227462260552</v>
      </c>
      <c r="L49" s="25"/>
      <c r="M49" s="25"/>
      <c r="N49" s="27"/>
      <c r="Q49" s="23">
        <v>44048</v>
      </c>
      <c r="R49" s="24">
        <f t="shared" si="1"/>
        <v>-24.727939874243948</v>
      </c>
      <c r="S49" s="25"/>
      <c r="T49" s="25"/>
      <c r="U49" s="27"/>
      <c r="X49" s="47">
        <v>44048</v>
      </c>
      <c r="Y49" s="48">
        <f t="shared" si="2"/>
        <v>5.8078931806643075</v>
      </c>
      <c r="Z49" s="49"/>
      <c r="AA49" s="49"/>
      <c r="AB49" s="51"/>
      <c r="AE49" s="47">
        <v>44048</v>
      </c>
      <c r="AF49" s="48">
        <f t="shared" si="3"/>
        <v>3.9284626776984579</v>
      </c>
      <c r="AG49" s="49"/>
      <c r="AH49" s="49"/>
      <c r="AI49" s="51"/>
    </row>
    <row r="50" spans="1:35" x14ac:dyDescent="0.3">
      <c r="A50" s="20">
        <v>44043</v>
      </c>
      <c r="C50">
        <f>-(Historical_Simulation!B51-Historical_Simulation!B52)</f>
        <v>-10.070000000000007</v>
      </c>
      <c r="E50">
        <f>-(Historical_Simulation!C51-Historical_Simulation!C52)</f>
        <v>-112.79999999999973</v>
      </c>
      <c r="G50">
        <f>-(Historical_Simulation!D51-Historical_Simulation!D52)</f>
        <v>-19.169999999999987</v>
      </c>
      <c r="J50" s="23">
        <v>44047</v>
      </c>
      <c r="K50" s="24">
        <f t="shared" si="0"/>
        <v>-14.866883454960609</v>
      </c>
      <c r="L50" s="25"/>
      <c r="M50" s="25"/>
      <c r="N50" s="27"/>
      <c r="Q50" s="23">
        <v>44047</v>
      </c>
      <c r="R50" s="24">
        <f t="shared" si="1"/>
        <v>-10.419558131584948</v>
      </c>
      <c r="S50" s="25"/>
      <c r="T50" s="25"/>
      <c r="U50" s="27"/>
      <c r="X50" s="47">
        <v>44047</v>
      </c>
      <c r="Y50" s="48">
        <f t="shared" si="2"/>
        <v>15.283254865686878</v>
      </c>
      <c r="Z50" s="49"/>
      <c r="AA50" s="49"/>
      <c r="AB50" s="51"/>
      <c r="AE50" s="47">
        <v>44047</v>
      </c>
      <c r="AF50" s="48">
        <f t="shared" si="3"/>
        <v>10.434069617628268</v>
      </c>
      <c r="AG50" s="49"/>
      <c r="AH50" s="49"/>
      <c r="AI50" s="51"/>
    </row>
    <row r="51" spans="1:35" x14ac:dyDescent="0.3">
      <c r="A51" s="20">
        <v>44042</v>
      </c>
      <c r="C51">
        <f>-(Historical_Simulation!B52-Historical_Simulation!B53)</f>
        <v>-1.1499999999999915</v>
      </c>
      <c r="E51">
        <f>-(Historical_Simulation!C52-Historical_Simulation!C53)</f>
        <v>-18.349999999999909</v>
      </c>
      <c r="G51">
        <f>-(Historical_Simulation!D52-Historical_Simulation!D53)</f>
        <v>-1.210000000000008</v>
      </c>
      <c r="J51" s="23">
        <v>44046</v>
      </c>
      <c r="K51" s="24">
        <f t="shared" si="0"/>
        <v>27.242433306171687</v>
      </c>
      <c r="L51" s="25"/>
      <c r="M51" s="25"/>
      <c r="N51" s="27"/>
      <c r="Q51" s="23">
        <v>44046</v>
      </c>
      <c r="R51" s="24">
        <f t="shared" si="1"/>
        <v>17.831579042963718</v>
      </c>
      <c r="S51" s="25"/>
      <c r="T51" s="25"/>
      <c r="U51" s="27"/>
      <c r="X51" s="47">
        <v>44046</v>
      </c>
      <c r="Y51" s="48">
        <f t="shared" si="2"/>
        <v>21.905942510306481</v>
      </c>
      <c r="Z51" s="49"/>
      <c r="AA51" s="49"/>
      <c r="AB51" s="51"/>
      <c r="AE51" s="47">
        <v>44046</v>
      </c>
      <c r="AF51" s="48">
        <f t="shared" si="3"/>
        <v>14.460343113681104</v>
      </c>
      <c r="AG51" s="49"/>
      <c r="AH51" s="49"/>
      <c r="AI51" s="51"/>
    </row>
    <row r="52" spans="1:35" x14ac:dyDescent="0.3">
      <c r="A52" s="20">
        <v>44041</v>
      </c>
      <c r="C52">
        <f>-(Historical_Simulation!B53-Historical_Simulation!B54)</f>
        <v>-1.7875000000000085</v>
      </c>
      <c r="E52">
        <f>-(Historical_Simulation!C53-Historical_Simulation!C54)</f>
        <v>-33.200000000000273</v>
      </c>
      <c r="G52">
        <f>-(Historical_Simulation!D53-Historical_Simulation!D54)</f>
        <v>-3.1699999999999875</v>
      </c>
      <c r="J52" s="23">
        <v>44043</v>
      </c>
      <c r="K52" s="24">
        <f t="shared" si="0"/>
        <v>-65.483976626727568</v>
      </c>
      <c r="L52" s="25"/>
      <c r="M52" s="25"/>
      <c r="N52" s="27"/>
      <c r="Q52" s="23">
        <v>44043</v>
      </c>
      <c r="R52" s="24">
        <f t="shared" si="1"/>
        <v>-48.05436363787188</v>
      </c>
      <c r="S52" s="25"/>
      <c r="T52" s="25"/>
      <c r="U52" s="27"/>
      <c r="X52" s="47">
        <v>44043</v>
      </c>
      <c r="Y52" s="48">
        <f t="shared" si="2"/>
        <v>-61.057880762117328</v>
      </c>
      <c r="Z52" s="49"/>
      <c r="AA52" s="49"/>
      <c r="AB52" s="51"/>
      <c r="AE52" s="47">
        <v>44043</v>
      </c>
      <c r="AF52" s="48">
        <f t="shared" si="3"/>
        <v>-45.615156087635</v>
      </c>
      <c r="AG52" s="49"/>
      <c r="AH52" s="49"/>
      <c r="AI52" s="51"/>
    </row>
    <row r="53" spans="1:35" x14ac:dyDescent="0.3">
      <c r="A53" s="20">
        <v>44040</v>
      </c>
      <c r="C53">
        <f>-(Historical_Simulation!B54-Historical_Simulation!B55)</f>
        <v>1.5575000000000045</v>
      </c>
      <c r="E53">
        <f>-(Historical_Simulation!C54-Historical_Simulation!C55)</f>
        <v>54.880000000000109</v>
      </c>
      <c r="G53">
        <f>-(Historical_Simulation!D54-Historical_Simulation!D55)</f>
        <v>3.3799999999999955</v>
      </c>
      <c r="J53" s="23">
        <v>44042</v>
      </c>
      <c r="K53" s="24">
        <f t="shared" si="0"/>
        <v>-10.427916849797635</v>
      </c>
      <c r="L53" s="25"/>
      <c r="M53" s="25"/>
      <c r="N53" s="27"/>
      <c r="Q53" s="23">
        <v>44042</v>
      </c>
      <c r="R53" s="24">
        <f t="shared" si="1"/>
        <v>-7.5096909819078546</v>
      </c>
      <c r="S53" s="25"/>
      <c r="T53" s="25"/>
      <c r="U53" s="27"/>
      <c r="X53" s="47">
        <v>44042</v>
      </c>
      <c r="Y53" s="48">
        <f t="shared" si="2"/>
        <v>-1.4861838292008578</v>
      </c>
      <c r="Z53" s="49"/>
      <c r="AA53" s="49"/>
      <c r="AB53" s="51"/>
      <c r="AE53" s="47">
        <v>44042</v>
      </c>
      <c r="AF53" s="48">
        <f t="shared" si="3"/>
        <v>-1.3843636665119359</v>
      </c>
      <c r="AG53" s="49"/>
      <c r="AH53" s="49"/>
      <c r="AI53" s="51"/>
    </row>
    <row r="54" spans="1:35" x14ac:dyDescent="0.3">
      <c r="A54" s="20">
        <v>44039</v>
      </c>
      <c r="C54">
        <f>-(Historical_Simulation!B55-Historical_Simulation!B56)</f>
        <v>-2.1950000000000074</v>
      </c>
      <c r="E54">
        <f>-(Historical_Simulation!C55-Historical_Simulation!C56)</f>
        <v>-46.300000000000182</v>
      </c>
      <c r="G54">
        <f>-(Historical_Simulation!D55-Historical_Simulation!D56)</f>
        <v>-2.789999999999992</v>
      </c>
      <c r="J54" s="23">
        <v>44041</v>
      </c>
      <c r="K54" s="24">
        <f t="shared" si="0"/>
        <v>-18.731835060713518</v>
      </c>
      <c r="L54" s="25"/>
      <c r="M54" s="25"/>
      <c r="N54" s="27"/>
      <c r="Q54" s="23">
        <v>44041</v>
      </c>
      <c r="R54" s="24">
        <f t="shared" si="1"/>
        <v>-13.402255405185091</v>
      </c>
      <c r="S54" s="25"/>
      <c r="T54" s="25"/>
      <c r="U54" s="27"/>
      <c r="X54" s="47">
        <v>44041</v>
      </c>
      <c r="Y54" s="48">
        <f t="shared" si="2"/>
        <v>-9.5337357311677327</v>
      </c>
      <c r="Z54" s="49"/>
      <c r="AA54" s="49"/>
      <c r="AB54" s="51"/>
      <c r="AE54" s="47">
        <v>44041</v>
      </c>
      <c r="AF54" s="48">
        <f t="shared" si="3"/>
        <v>-7.1876294825444864</v>
      </c>
      <c r="AG54" s="49"/>
      <c r="AH54" s="49"/>
      <c r="AI54" s="51"/>
    </row>
    <row r="55" spans="1:35" x14ac:dyDescent="0.3">
      <c r="A55" s="20">
        <v>44036</v>
      </c>
      <c r="C55">
        <f>-(Historical_Simulation!B56-Historical_Simulation!B57)</f>
        <v>0.23000000000000398</v>
      </c>
      <c r="E55">
        <f>-(Historical_Simulation!C56-Historical_Simulation!C57)</f>
        <v>-22.359999999999673</v>
      </c>
      <c r="G55">
        <f>-(Historical_Simulation!D56-Historical_Simulation!D57)</f>
        <v>1.8899999999999864</v>
      </c>
      <c r="J55" s="23">
        <v>44040</v>
      </c>
      <c r="K55" s="24">
        <f t="shared" si="0"/>
        <v>30.320390768798742</v>
      </c>
      <c r="L55" s="25"/>
      <c r="M55" s="25"/>
      <c r="N55" s="27"/>
      <c r="Q55" s="23">
        <v>44040</v>
      </c>
      <c r="R55" s="24">
        <f t="shared" si="1"/>
        <v>21.273466417603746</v>
      </c>
      <c r="S55" s="25"/>
      <c r="T55" s="25"/>
      <c r="U55" s="27"/>
      <c r="X55" s="47">
        <v>44040</v>
      </c>
      <c r="Y55" s="48">
        <f t="shared" si="2"/>
        <v>11.769083811973472</v>
      </c>
      <c r="Z55" s="49"/>
      <c r="AA55" s="49"/>
      <c r="AB55" s="51"/>
      <c r="AE55" s="47">
        <v>44040</v>
      </c>
      <c r="AF55" s="48">
        <f t="shared" si="3"/>
        <v>8.6762963702983118</v>
      </c>
      <c r="AG55" s="49"/>
      <c r="AH55" s="49"/>
      <c r="AI55" s="51"/>
    </row>
    <row r="56" spans="1:35" x14ac:dyDescent="0.3">
      <c r="A56" s="20">
        <v>44035</v>
      </c>
      <c r="C56">
        <f>-(Historical_Simulation!B57-Historical_Simulation!B58)</f>
        <v>4.4274999999999949</v>
      </c>
      <c r="E56">
        <f>-(Historical_Simulation!C57-Historical_Simulation!C58)</f>
        <v>113.35999999999967</v>
      </c>
      <c r="G56">
        <f>-(Historical_Simulation!D57-Historical_Simulation!D58)</f>
        <v>7.2700000000000102</v>
      </c>
      <c r="J56" s="23">
        <v>44039</v>
      </c>
      <c r="K56" s="24">
        <f t="shared" si="0"/>
        <v>-25.985844340716792</v>
      </c>
      <c r="L56" s="25"/>
      <c r="M56" s="25"/>
      <c r="N56" s="27"/>
      <c r="Q56" s="23">
        <v>44039</v>
      </c>
      <c r="R56" s="24">
        <f t="shared" si="1"/>
        <v>-18.502800625409819</v>
      </c>
      <c r="S56" s="25"/>
      <c r="T56" s="25"/>
      <c r="U56" s="27"/>
      <c r="X56" s="47">
        <v>44039</v>
      </c>
      <c r="Y56" s="48">
        <f t="shared" si="2"/>
        <v>-5.5288229729075997</v>
      </c>
      <c r="Z56" s="49"/>
      <c r="AA56" s="49"/>
      <c r="AB56" s="51"/>
      <c r="AE56" s="47">
        <v>44039</v>
      </c>
      <c r="AF56" s="48">
        <f t="shared" si="3"/>
        <v>-4.5191063595760879</v>
      </c>
      <c r="AG56" s="49"/>
      <c r="AH56" s="49"/>
      <c r="AI56" s="51"/>
    </row>
    <row r="57" spans="1:35" x14ac:dyDescent="0.3">
      <c r="A57" s="20">
        <v>44034</v>
      </c>
      <c r="C57">
        <f>-(Historical_Simulation!B58-Historical_Simulation!B59)</f>
        <v>-0.27249999999999375</v>
      </c>
      <c r="E57">
        <f>-(Historical_Simulation!C58-Historical_Simulation!C59)</f>
        <v>38.380000000000109</v>
      </c>
      <c r="G57">
        <f>-(Historical_Simulation!D58-Historical_Simulation!D59)</f>
        <v>1.8799999999999955</v>
      </c>
      <c r="J57" s="23">
        <v>44036</v>
      </c>
      <c r="K57" s="24">
        <f t="shared" si="0"/>
        <v>-11.955357071914344</v>
      </c>
      <c r="L57" s="25"/>
      <c r="M57" s="25"/>
      <c r="N57" s="27"/>
      <c r="Q57" s="23">
        <v>44036</v>
      </c>
      <c r="R57" s="24">
        <f t="shared" si="1"/>
        <v>-8.1226406558893718</v>
      </c>
      <c r="S57" s="25"/>
      <c r="T57" s="25"/>
      <c r="U57" s="27"/>
      <c r="X57" s="47">
        <v>44036</v>
      </c>
      <c r="Y57" s="48">
        <f t="shared" si="2"/>
        <v>9.5310859412213276</v>
      </c>
      <c r="Z57" s="49"/>
      <c r="AA57" s="49"/>
      <c r="AB57" s="51"/>
      <c r="AE57" s="47">
        <v>44036</v>
      </c>
      <c r="AF57" s="48">
        <f t="shared" si="3"/>
        <v>6.7140614401619381</v>
      </c>
      <c r="AG57" s="49"/>
      <c r="AH57" s="49"/>
      <c r="AI57" s="51"/>
    </row>
    <row r="58" spans="1:35" x14ac:dyDescent="0.3">
      <c r="A58" s="20">
        <v>44033</v>
      </c>
      <c r="C58">
        <f>-(Historical_Simulation!B59-Historical_Simulation!B60)</f>
        <v>1.3575000000000017</v>
      </c>
      <c r="E58">
        <f>-(Historical_Simulation!C59-Historical_Simulation!C60)</f>
        <v>58.550000000000182</v>
      </c>
      <c r="G58">
        <f>-(Historical_Simulation!D59-Historical_Simulation!D60)</f>
        <v>3.6699999999999875</v>
      </c>
      <c r="J58" s="23">
        <v>44035</v>
      </c>
      <c r="K58" s="24">
        <f t="shared" si="0"/>
        <v>63.187190537243239</v>
      </c>
      <c r="L58" s="25"/>
      <c r="M58" s="25"/>
      <c r="N58" s="27"/>
      <c r="Q58" s="23">
        <v>44035</v>
      </c>
      <c r="R58" s="24">
        <f t="shared" si="1"/>
        <v>44.705234760853465</v>
      </c>
      <c r="S58" s="25"/>
      <c r="T58" s="25"/>
      <c r="U58" s="27"/>
      <c r="X58" s="47">
        <v>44035</v>
      </c>
      <c r="Y58" s="48">
        <f t="shared" si="2"/>
        <v>20.354208908386759</v>
      </c>
      <c r="Z58" s="49"/>
      <c r="AA58" s="49"/>
      <c r="AB58" s="51"/>
      <c r="AE58" s="47">
        <v>44035</v>
      </c>
      <c r="AF58" s="48">
        <f t="shared" si="3"/>
        <v>15.530478701000352</v>
      </c>
      <c r="AG58" s="49"/>
      <c r="AH58" s="49"/>
      <c r="AI58" s="51"/>
    </row>
    <row r="59" spans="1:35" x14ac:dyDescent="0.3">
      <c r="A59" s="20">
        <v>44032</v>
      </c>
      <c r="C59">
        <f>-(Historical_Simulation!B60-Historical_Simulation!B61)</f>
        <v>-2.0300000000000011</v>
      </c>
      <c r="E59">
        <f>-(Historical_Simulation!C60-Historical_Simulation!C61)</f>
        <v>-234.87000000000035</v>
      </c>
      <c r="G59">
        <f>-(Historical_Simulation!D60-Historical_Simulation!D61)</f>
        <v>-3.3899999999999864</v>
      </c>
      <c r="J59" s="23">
        <v>44034</v>
      </c>
      <c r="K59" s="24">
        <f t="shared" si="0"/>
        <v>20.577190757953851</v>
      </c>
      <c r="L59" s="25"/>
      <c r="M59" s="25"/>
      <c r="N59" s="27"/>
      <c r="Q59" s="23">
        <v>44034</v>
      </c>
      <c r="R59" s="24">
        <f t="shared" si="1"/>
        <v>14.019241609197421</v>
      </c>
      <c r="S59" s="25"/>
      <c r="T59" s="25"/>
      <c r="U59" s="27"/>
      <c r="X59" s="47">
        <v>44034</v>
      </c>
      <c r="Y59" s="48">
        <f t="shared" si="2"/>
        <v>11.788094872577721</v>
      </c>
      <c r="Z59" s="49"/>
      <c r="AA59" s="49"/>
      <c r="AB59" s="51"/>
      <c r="AE59" s="47">
        <v>44034</v>
      </c>
      <c r="AF59" s="48">
        <f t="shared" si="3"/>
        <v>8.1352965361136462</v>
      </c>
      <c r="AG59" s="49"/>
      <c r="AH59" s="49"/>
      <c r="AI59" s="51"/>
    </row>
    <row r="60" spans="1:35" x14ac:dyDescent="0.3">
      <c r="A60" s="20">
        <v>44029</v>
      </c>
      <c r="C60">
        <f>-(Historical_Simulation!B61-Historical_Simulation!B62)</f>
        <v>0.19499999999999318</v>
      </c>
      <c r="E60">
        <f>-(Historical_Simulation!C61-Historical_Simulation!C62)</f>
        <v>37.930000000000291</v>
      </c>
      <c r="G60">
        <f>-(Historical_Simulation!D61-Historical_Simulation!D62)</f>
        <v>-1.0999999999999943</v>
      </c>
      <c r="J60" s="23">
        <v>44033</v>
      </c>
      <c r="K60" s="24">
        <f t="shared" si="0"/>
        <v>32.207922060003256</v>
      </c>
      <c r="L60" s="25"/>
      <c r="M60" s="25"/>
      <c r="N60" s="27"/>
      <c r="Q60" s="23">
        <v>44033</v>
      </c>
      <c r="R60" s="24">
        <f t="shared" si="1"/>
        <v>22.504396888533048</v>
      </c>
      <c r="S60" s="25"/>
      <c r="T60" s="25"/>
      <c r="U60" s="27"/>
      <c r="X60" s="47">
        <v>44033</v>
      </c>
      <c r="Y60" s="48">
        <f t="shared" si="2"/>
        <v>14.314585083779763</v>
      </c>
      <c r="Z60" s="49"/>
      <c r="AA60" s="49"/>
      <c r="AB60" s="51"/>
      <c r="AE60" s="47">
        <v>44033</v>
      </c>
      <c r="AF60" s="48">
        <f t="shared" si="3"/>
        <v>10.390266313478641</v>
      </c>
      <c r="AG60" s="49"/>
      <c r="AH60" s="49"/>
      <c r="AI60" s="51"/>
    </row>
    <row r="61" spans="1:35" x14ac:dyDescent="0.3">
      <c r="A61" s="20">
        <v>44028</v>
      </c>
      <c r="C61">
        <f>-(Historical_Simulation!B62-Historical_Simulation!B63)</f>
        <v>1.2025000000000006</v>
      </c>
      <c r="E61">
        <f>-(Historical_Simulation!C62-Historical_Simulation!C63)</f>
        <v>8.9699999999997999</v>
      </c>
      <c r="G61">
        <f>-(Historical_Simulation!D62-Historical_Simulation!D63)</f>
        <v>-0.65000000000000568</v>
      </c>
      <c r="J61" s="23">
        <v>44032</v>
      </c>
      <c r="K61" s="24">
        <f t="shared" si="0"/>
        <v>-127.62710228528472</v>
      </c>
      <c r="L61" s="25"/>
      <c r="M61" s="25"/>
      <c r="N61" s="27"/>
      <c r="Q61" s="23">
        <v>44032</v>
      </c>
      <c r="R61" s="24">
        <f t="shared" si="1"/>
        <v>-88.122467920199782</v>
      </c>
      <c r="S61" s="25"/>
      <c r="T61" s="25"/>
      <c r="U61" s="27"/>
      <c r="X61" s="47">
        <v>44032</v>
      </c>
      <c r="Y61" s="48">
        <f t="shared" si="2"/>
        <v>-9.6501667952174675</v>
      </c>
      <c r="Z61" s="49"/>
      <c r="AA61" s="49"/>
      <c r="AB61" s="51"/>
      <c r="AE61" s="47">
        <v>44032</v>
      </c>
      <c r="AF61" s="48">
        <f t="shared" si="3"/>
        <v>-7.3422431076025489</v>
      </c>
      <c r="AG61" s="49"/>
      <c r="AH61" s="49"/>
      <c r="AI61" s="51"/>
    </row>
    <row r="62" spans="1:35" x14ac:dyDescent="0.3">
      <c r="A62" s="20">
        <v>44027</v>
      </c>
      <c r="C62">
        <f>-(Historical_Simulation!B63-Historical_Simulation!B64)</f>
        <v>-0.66749999999998977</v>
      </c>
      <c r="E62">
        <f>-(Historical_Simulation!C63-Historical_Simulation!C64)</f>
        <v>75.130000000000109</v>
      </c>
      <c r="G62">
        <f>-(Historical_Simulation!D63-Historical_Simulation!D64)</f>
        <v>-0.55000000000001137</v>
      </c>
      <c r="J62" s="23">
        <v>44029</v>
      </c>
      <c r="K62" s="24">
        <f t="shared" si="0"/>
        <v>20.549778623669678</v>
      </c>
      <c r="L62" s="25"/>
      <c r="M62" s="25"/>
      <c r="N62" s="27"/>
      <c r="Q62" s="23">
        <v>44029</v>
      </c>
      <c r="R62" s="24">
        <f t="shared" si="1"/>
        <v>14.147496465249777</v>
      </c>
      <c r="S62" s="25"/>
      <c r="T62" s="25"/>
      <c r="U62" s="27"/>
      <c r="X62" s="47">
        <v>44029</v>
      </c>
      <c r="Y62" s="48">
        <f t="shared" si="2"/>
        <v>-7.060967646916648</v>
      </c>
      <c r="Z62" s="49"/>
      <c r="AA62" s="49"/>
      <c r="AB62" s="51"/>
      <c r="AE62" s="47">
        <v>44029</v>
      </c>
      <c r="AF62" s="48">
        <f t="shared" si="3"/>
        <v>-4.8633491355480274</v>
      </c>
      <c r="AG62" s="49"/>
      <c r="AH62" s="49"/>
      <c r="AI62" s="51"/>
    </row>
    <row r="63" spans="1:35" x14ac:dyDescent="0.3">
      <c r="A63" s="20">
        <v>44026</v>
      </c>
      <c r="C63">
        <f>-(Historical_Simulation!B64-Historical_Simulation!B65)</f>
        <v>-1.5799999999999983</v>
      </c>
      <c r="E63">
        <f>-(Historical_Simulation!C64-Historical_Simulation!C65)</f>
        <v>20</v>
      </c>
      <c r="G63">
        <f>-(Historical_Simulation!D64-Historical_Simulation!D65)</f>
        <v>-0.72999999999998977</v>
      </c>
      <c r="J63" s="23">
        <v>44028</v>
      </c>
      <c r="K63" s="24">
        <f t="shared" si="0"/>
        <v>5.3923964610931217</v>
      </c>
      <c r="L63" s="25"/>
      <c r="M63" s="25"/>
      <c r="N63" s="27"/>
      <c r="Q63" s="23">
        <v>44028</v>
      </c>
      <c r="R63" s="24">
        <f t="shared" si="1"/>
        <v>4.0745290524400177</v>
      </c>
      <c r="S63" s="25"/>
      <c r="T63" s="25"/>
      <c r="U63" s="27"/>
      <c r="X63" s="47">
        <v>44028</v>
      </c>
      <c r="Y63" s="48">
        <f t="shared" si="2"/>
        <v>-9.1771757265739389</v>
      </c>
      <c r="Z63" s="49"/>
      <c r="AA63" s="49"/>
      <c r="AB63" s="51"/>
      <c r="AE63" s="47">
        <v>44028</v>
      </c>
      <c r="AF63" s="48">
        <f t="shared" si="3"/>
        <v>-6.0334782035543073</v>
      </c>
      <c r="AG63" s="49"/>
      <c r="AH63" s="49"/>
      <c r="AI63" s="51"/>
    </row>
    <row r="64" spans="1:35" x14ac:dyDescent="0.3">
      <c r="A64" s="20">
        <v>44025</v>
      </c>
      <c r="C64">
        <f>-(Historical_Simulation!B65-Historical_Simulation!B66)</f>
        <v>0.44249999999999545</v>
      </c>
      <c r="E64">
        <f>-(Historical_Simulation!C65-Historical_Simulation!C66)</f>
        <v>96</v>
      </c>
      <c r="G64">
        <f>-(Historical_Simulation!D65-Historical_Simulation!D66)</f>
        <v>6.0699999999999932</v>
      </c>
      <c r="J64" s="23">
        <v>44027</v>
      </c>
      <c r="K64" s="24">
        <f t="shared" si="0"/>
        <v>40.218715257124501</v>
      </c>
      <c r="L64" s="25"/>
      <c r="M64" s="25"/>
      <c r="N64" s="27"/>
      <c r="Q64" s="23">
        <v>44027</v>
      </c>
      <c r="R64" s="24">
        <f t="shared" si="1"/>
        <v>27.358585883788628</v>
      </c>
      <c r="S64" s="25"/>
      <c r="T64" s="25"/>
      <c r="U64" s="27"/>
      <c r="X64" s="47">
        <v>44027</v>
      </c>
      <c r="Y64" s="48">
        <f t="shared" si="2"/>
        <v>-9.1400011485944788E-3</v>
      </c>
      <c r="Z64" s="49"/>
      <c r="AA64" s="49"/>
      <c r="AB64" s="51"/>
      <c r="AE64" s="47">
        <v>44027</v>
      </c>
      <c r="AF64" s="48">
        <f t="shared" si="3"/>
        <v>-0.20853781974764329</v>
      </c>
      <c r="AG64" s="49"/>
      <c r="AH64" s="49"/>
      <c r="AI64" s="51"/>
    </row>
    <row r="65" spans="1:35" x14ac:dyDescent="0.3">
      <c r="A65" s="20">
        <v>44022</v>
      </c>
      <c r="C65">
        <f>-(Historical_Simulation!B66-Historical_Simulation!B67)</f>
        <v>-0.23749999999999716</v>
      </c>
      <c r="E65">
        <f>-(Historical_Simulation!C66-Historical_Simulation!C67)</f>
        <v>-17.369999999999891</v>
      </c>
      <c r="G65">
        <f>-(Historical_Simulation!D66-Historical_Simulation!D67)</f>
        <v>-0.56999999999999318</v>
      </c>
      <c r="J65" s="23">
        <v>44026</v>
      </c>
      <c r="K65" s="24">
        <f t="shared" si="0"/>
        <v>10.060549163874077</v>
      </c>
      <c r="L65" s="25"/>
      <c r="M65" s="25"/>
      <c r="N65" s="27"/>
      <c r="Q65" s="23">
        <v>44026</v>
      </c>
      <c r="R65" s="24">
        <f t="shared" si="1"/>
        <v>6.3991936854402542</v>
      </c>
      <c r="S65" s="25"/>
      <c r="T65" s="25"/>
      <c r="U65" s="27"/>
      <c r="X65" s="47">
        <v>44026</v>
      </c>
      <c r="Y65" s="48">
        <f t="shared" si="2"/>
        <v>3.1826042470110183</v>
      </c>
      <c r="Z65" s="49"/>
      <c r="AA65" s="49"/>
      <c r="AB65" s="51"/>
      <c r="AE65" s="47">
        <v>44026</v>
      </c>
      <c r="AF65" s="48">
        <f t="shared" si="3"/>
        <v>1.7401519422516634</v>
      </c>
      <c r="AG65" s="49"/>
      <c r="AH65" s="49"/>
      <c r="AI65" s="51"/>
    </row>
    <row r="66" spans="1:35" x14ac:dyDescent="0.3">
      <c r="A66" s="20">
        <v>44021</v>
      </c>
      <c r="C66">
        <f>-(Historical_Simulation!B67-Historical_Simulation!B68)</f>
        <v>-0.34000000000000341</v>
      </c>
      <c r="E66">
        <f>-(Historical_Simulation!C67-Historical_Simulation!C68)</f>
        <v>-101.51999999999998</v>
      </c>
      <c r="G66">
        <f>-(Historical_Simulation!D67-Historical_Simulation!D68)</f>
        <v>-0.91999999999998749</v>
      </c>
      <c r="J66" s="23">
        <v>44025</v>
      </c>
      <c r="K66" s="24">
        <f t="shared" si="0"/>
        <v>51.987531358985038</v>
      </c>
      <c r="L66" s="25"/>
      <c r="M66" s="25"/>
      <c r="N66" s="27"/>
      <c r="Q66" s="23">
        <v>44025</v>
      </c>
      <c r="R66" s="24">
        <f t="shared" si="1"/>
        <v>35.774835523468809</v>
      </c>
      <c r="S66" s="25"/>
      <c r="T66" s="25"/>
      <c r="U66" s="27"/>
      <c r="X66" s="47">
        <v>44025</v>
      </c>
      <c r="Y66" s="48">
        <f t="shared" si="2"/>
        <v>31.973741647122601</v>
      </c>
      <c r="Z66" s="49"/>
      <c r="AA66" s="49"/>
      <c r="AB66" s="51"/>
      <c r="AE66" s="47">
        <v>44025</v>
      </c>
      <c r="AF66" s="48">
        <f t="shared" si="3"/>
        <v>22.423858888260028</v>
      </c>
      <c r="AG66" s="49"/>
      <c r="AH66" s="49"/>
      <c r="AI66" s="51"/>
    </row>
    <row r="67" spans="1:35" x14ac:dyDescent="0.3">
      <c r="A67" s="20">
        <v>44020</v>
      </c>
      <c r="C67">
        <f>-(Historical_Simulation!B68-Historical_Simulation!B69)</f>
        <v>-2.1700000000000017</v>
      </c>
      <c r="E67">
        <f>-(Historical_Simulation!C68-Historical_Simulation!C69)</f>
        <v>-80.990000000000236</v>
      </c>
      <c r="G67">
        <f>-(Historical_Simulation!D68-Historical_Simulation!D69)</f>
        <v>-2.7199999999999989</v>
      </c>
      <c r="J67" s="23">
        <v>44022</v>
      </c>
      <c r="K67" s="24">
        <f t="shared" si="0"/>
        <v>-9.4790064202998767</v>
      </c>
      <c r="L67" s="25"/>
      <c r="M67" s="25"/>
      <c r="N67" s="27"/>
      <c r="Q67" s="23">
        <v>44022</v>
      </c>
      <c r="R67" s="24">
        <f t="shared" si="1"/>
        <v>-6.5722328922986204</v>
      </c>
      <c r="S67" s="25"/>
      <c r="T67" s="25"/>
      <c r="U67" s="27"/>
      <c r="X67" s="47">
        <v>44022</v>
      </c>
      <c r="Y67" s="48">
        <f t="shared" si="2"/>
        <v>-2.1005187201542657</v>
      </c>
      <c r="Z67" s="49"/>
      <c r="AA67" s="49"/>
      <c r="AB67" s="51"/>
      <c r="AE67" s="47">
        <v>44022</v>
      </c>
      <c r="AF67" s="48">
        <f t="shared" si="3"/>
        <v>-1.5362653185866482</v>
      </c>
      <c r="AG67" s="49"/>
      <c r="AH67" s="49"/>
      <c r="AI67" s="51"/>
    </row>
    <row r="68" spans="1:35" x14ac:dyDescent="0.3">
      <c r="A68" s="20">
        <v>44019</v>
      </c>
      <c r="C68">
        <f>-(Historical_Simulation!B69-Historical_Simulation!B70)</f>
        <v>0.29000000000000625</v>
      </c>
      <c r="E68">
        <f>-(Historical_Simulation!C69-Historical_Simulation!C70)</f>
        <v>56.920000000000073</v>
      </c>
      <c r="G68">
        <f>-(Historical_Simulation!D69-Historical_Simulation!D70)</f>
        <v>-0.58000000000001251</v>
      </c>
      <c r="J68" s="23">
        <v>44021</v>
      </c>
      <c r="K68" s="24">
        <f t="shared" si="0"/>
        <v>-54.917885282705235</v>
      </c>
      <c r="L68" s="25"/>
      <c r="M68" s="25"/>
      <c r="N68" s="27"/>
      <c r="Q68" s="23">
        <v>44021</v>
      </c>
      <c r="R68" s="24">
        <f t="shared" si="1"/>
        <v>-37.75125195054887</v>
      </c>
      <c r="S68" s="25"/>
      <c r="T68" s="25"/>
      <c r="U68" s="27"/>
      <c r="X68" s="47">
        <v>44021</v>
      </c>
      <c r="Y68" s="48">
        <f t="shared" si="2"/>
        <v>-3.5897770156073991</v>
      </c>
      <c r="Z68" s="49"/>
      <c r="AA68" s="49"/>
      <c r="AB68" s="51"/>
      <c r="AE68" s="47">
        <v>44021</v>
      </c>
      <c r="AF68" s="48">
        <f t="shared" si="3"/>
        <v>-2.6055154429481111</v>
      </c>
      <c r="AG68" s="49"/>
      <c r="AH68" s="49"/>
      <c r="AI68" s="51"/>
    </row>
    <row r="69" spans="1:35" x14ac:dyDescent="0.3">
      <c r="A69" s="20">
        <v>44018</v>
      </c>
      <c r="C69">
        <f>-(Historical_Simulation!B70-Historical_Simulation!B71)</f>
        <v>-2.4350000000000023</v>
      </c>
      <c r="E69">
        <f>-(Historical_Simulation!C70-Historical_Simulation!C71)</f>
        <v>-166.73999999999978</v>
      </c>
      <c r="G69">
        <f>-(Historical_Simulation!D70-Historical_Simulation!D71)</f>
        <v>-6.8600000000000136</v>
      </c>
      <c r="J69" s="23">
        <v>44020</v>
      </c>
      <c r="K69" s="24">
        <f t="shared" si="0"/>
        <v>-44.686593377968379</v>
      </c>
      <c r="L69" s="25"/>
      <c r="M69" s="25"/>
      <c r="N69" s="27"/>
      <c r="Q69" s="23">
        <v>44020</v>
      </c>
      <c r="R69" s="24">
        <f t="shared" si="1"/>
        <v>-31.313653674068707</v>
      </c>
      <c r="S69" s="25"/>
      <c r="T69" s="25"/>
      <c r="U69" s="27"/>
      <c r="X69" s="47">
        <v>44020</v>
      </c>
      <c r="Y69" s="48">
        <f t="shared" si="2"/>
        <v>-5.2516851010070837</v>
      </c>
      <c r="Z69" s="49"/>
      <c r="AA69" s="49"/>
      <c r="AB69" s="51"/>
      <c r="AE69" s="47">
        <v>44020</v>
      </c>
      <c r="AF69" s="48">
        <f t="shared" si="3"/>
        <v>-4.3183336096922202</v>
      </c>
      <c r="AG69" s="49"/>
      <c r="AH69" s="49"/>
      <c r="AI69" s="51"/>
    </row>
    <row r="70" spans="1:35" x14ac:dyDescent="0.3">
      <c r="A70" s="20">
        <v>44014</v>
      </c>
      <c r="C70">
        <f>-(Historical_Simulation!B71-Historical_Simulation!B72)</f>
        <v>0</v>
      </c>
      <c r="E70">
        <f>-(Historical_Simulation!C71-Historical_Simulation!C72)</f>
        <v>-11.600000000000364</v>
      </c>
      <c r="G70">
        <f>-(Historical_Simulation!D71-Historical_Simulation!D72)</f>
        <v>4.1300000000000239</v>
      </c>
      <c r="J70" s="23">
        <v>44019</v>
      </c>
      <c r="K70" s="24">
        <f t="shared" ref="K70:K133" si="4">C68*$K$3+E68*(1-$K$3)</f>
        <v>30.837001814188596</v>
      </c>
      <c r="L70" s="25"/>
      <c r="M70" s="25"/>
      <c r="N70" s="27"/>
      <c r="Q70" s="23">
        <v>44019</v>
      </c>
      <c r="R70" s="24">
        <f t="shared" si="1"/>
        <v>21.22891280845608</v>
      </c>
      <c r="S70" s="25"/>
      <c r="T70" s="25"/>
      <c r="U70" s="27"/>
      <c r="X70" s="47">
        <v>44019</v>
      </c>
      <c r="Y70" s="48">
        <f t="shared" si="2"/>
        <v>-4.584665523411326</v>
      </c>
      <c r="Z70" s="49"/>
      <c r="AA70" s="49"/>
      <c r="AB70" s="51"/>
      <c r="AE70" s="47">
        <v>44019</v>
      </c>
      <c r="AF70" s="48">
        <f t="shared" si="3"/>
        <v>-3.1082731644223216</v>
      </c>
      <c r="AG70" s="49"/>
      <c r="AH70" s="49"/>
      <c r="AI70" s="51"/>
    </row>
    <row r="71" spans="1:35" x14ac:dyDescent="0.3">
      <c r="A71" s="20">
        <v>44013</v>
      </c>
      <c r="C71">
        <f>-(Historical_Simulation!B72-Historical_Simulation!B73)</f>
        <v>0.17249999999999943</v>
      </c>
      <c r="E71">
        <f>-(Historical_Simulation!C72-Historical_Simulation!C73)</f>
        <v>-119.87999999999965</v>
      </c>
      <c r="G71">
        <f>-(Historical_Simulation!D72-Historical_Simulation!D73)</f>
        <v>-10.480000000000018</v>
      </c>
      <c r="J71" s="23">
        <v>44018</v>
      </c>
      <c r="K71" s="24">
        <f t="shared" si="4"/>
        <v>-91.063379535232983</v>
      </c>
      <c r="L71" s="25"/>
      <c r="M71" s="25"/>
      <c r="N71" s="27"/>
      <c r="Q71" s="23">
        <v>44018</v>
      </c>
      <c r="R71" s="24">
        <f t="shared" ref="R71:R134" si="5">C69*$R$3+E69*(1-$R$3)</f>
        <v>-63.18668760362646</v>
      </c>
      <c r="S71" s="25"/>
      <c r="T71" s="25"/>
      <c r="U71" s="27"/>
      <c r="X71" s="47">
        <v>44018</v>
      </c>
      <c r="Y71" s="48">
        <f t="shared" ref="Y71:Y134" si="6">C69*$Y$3+G69*(1-$Y$3)</f>
        <v>-27.228557403557165</v>
      </c>
      <c r="Z71" s="49"/>
      <c r="AA71" s="49"/>
      <c r="AB71" s="51"/>
      <c r="AE71" s="47">
        <v>44018</v>
      </c>
      <c r="AF71" s="48">
        <f t="shared" ref="AF71:AF134" si="7">C69*$AF$3+G69*(1-$AF$3)</f>
        <v>-19.719320405251171</v>
      </c>
      <c r="AG71" s="49"/>
      <c r="AH71" s="49"/>
      <c r="AI71" s="51"/>
    </row>
    <row r="72" spans="1:35" x14ac:dyDescent="0.3">
      <c r="A72" s="20">
        <v>44012</v>
      </c>
      <c r="C72">
        <f>-(Historical_Simulation!B73-Historical_Simulation!B74)</f>
        <v>-0.75500000000000966</v>
      </c>
      <c r="E72">
        <f>-(Historical_Simulation!C73-Historical_Simulation!C74)</f>
        <v>-78.440000000000055</v>
      </c>
      <c r="G72">
        <f>-(Historical_Simulation!D73-Historical_Simulation!D74)</f>
        <v>-6.4300000000000068</v>
      </c>
      <c r="J72" s="23">
        <v>44014</v>
      </c>
      <c r="K72" s="24">
        <f t="shared" si="4"/>
        <v>-6.2571997359102651</v>
      </c>
      <c r="L72" s="25"/>
      <c r="M72" s="25"/>
      <c r="N72" s="27"/>
      <c r="Q72" s="23">
        <v>44014</v>
      </c>
      <c r="R72" s="24">
        <f t="shared" si="5"/>
        <v>-4.2890939180310399</v>
      </c>
      <c r="S72" s="25"/>
      <c r="T72" s="25"/>
      <c r="U72" s="27"/>
      <c r="X72" s="47">
        <v>44014</v>
      </c>
      <c r="Y72" s="48">
        <f t="shared" si="6"/>
        <v>23.140653576653428</v>
      </c>
      <c r="Z72" s="49"/>
      <c r="AA72" s="49"/>
      <c r="AB72" s="51"/>
      <c r="AE72" s="47">
        <v>44014</v>
      </c>
      <c r="AF72" s="48">
        <f t="shared" si="7"/>
        <v>16.132032378234474</v>
      </c>
      <c r="AG72" s="49"/>
      <c r="AH72" s="49"/>
      <c r="AI72" s="51"/>
    </row>
    <row r="73" spans="1:35" x14ac:dyDescent="0.3">
      <c r="A73" s="20">
        <v>44011</v>
      </c>
      <c r="C73">
        <f>-(Historical_Simulation!B74-Historical_Simulation!B75)</f>
        <v>-2.0374999999999943</v>
      </c>
      <c r="E73">
        <f>-(Historical_Simulation!C74-Historical_Simulation!C75)</f>
        <v>12.489999999999782</v>
      </c>
      <c r="G73">
        <f>-(Historical_Simulation!D74-Historical_Simulation!D75)</f>
        <v>-4.5599999999999739</v>
      </c>
      <c r="J73" s="23">
        <v>44013</v>
      </c>
      <c r="K73" s="24">
        <f t="shared" si="4"/>
        <v>-64.585471663391502</v>
      </c>
      <c r="L73" s="25"/>
      <c r="M73" s="25"/>
      <c r="N73" s="27"/>
      <c r="Q73" s="23">
        <v>44013</v>
      </c>
      <c r="R73" s="24">
        <f t="shared" si="5"/>
        <v>-44.216848930552047</v>
      </c>
      <c r="S73" s="25"/>
      <c r="T73" s="25"/>
      <c r="U73" s="27"/>
      <c r="X73" s="47">
        <v>44013</v>
      </c>
      <c r="Y73" s="48">
        <f t="shared" si="6"/>
        <v>-59.514137342687562</v>
      </c>
      <c r="Z73" s="49"/>
      <c r="AA73" s="49"/>
      <c r="AB73" s="51"/>
      <c r="AE73" s="47">
        <v>44013</v>
      </c>
      <c r="AF73" s="48">
        <f t="shared" si="7"/>
        <v>-41.436815958630035</v>
      </c>
      <c r="AG73" s="49"/>
      <c r="AH73" s="49"/>
      <c r="AI73" s="51"/>
    </row>
    <row r="74" spans="1:35" x14ac:dyDescent="0.3">
      <c r="A74" s="20">
        <v>44008</v>
      </c>
      <c r="C74">
        <f>-(Historical_Simulation!B75-Historical_Simulation!B76)</f>
        <v>2.8024999999999949</v>
      </c>
      <c r="E74">
        <f>-(Historical_Simulation!C75-Historical_Simulation!C76)</f>
        <v>61.710000000000036</v>
      </c>
      <c r="G74">
        <f>-(Historical_Simulation!D75-Historical_Simulation!D76)</f>
        <v>19.599999999999994</v>
      </c>
      <c r="J74" s="23">
        <v>44012</v>
      </c>
      <c r="K74" s="24">
        <f t="shared" si="4"/>
        <v>-42.659358748635697</v>
      </c>
      <c r="L74" s="25"/>
      <c r="M74" s="25"/>
      <c r="N74" s="27"/>
      <c r="Q74" s="23">
        <v>44012</v>
      </c>
      <c r="R74" s="24">
        <f t="shared" si="5"/>
        <v>-29.47898801915786</v>
      </c>
      <c r="S74" s="25"/>
      <c r="T74" s="25"/>
      <c r="U74" s="27"/>
      <c r="X74" s="47">
        <v>44012</v>
      </c>
      <c r="Y74" s="48">
        <f t="shared" si="6"/>
        <v>-32.552387178573227</v>
      </c>
      <c r="Z74" s="49"/>
      <c r="AA74" s="49"/>
      <c r="AB74" s="51"/>
      <c r="AE74" s="47">
        <v>44012</v>
      </c>
      <c r="AF74" s="48">
        <f t="shared" si="7"/>
        <v>-22.92189679091528</v>
      </c>
      <c r="AG74" s="49"/>
      <c r="AH74" s="49"/>
      <c r="AI74" s="51"/>
    </row>
    <row r="75" spans="1:35" x14ac:dyDescent="0.3">
      <c r="A75" s="20">
        <v>44007</v>
      </c>
      <c r="C75">
        <f>-(Historical_Simulation!B76-Historical_Simulation!B77)</f>
        <v>-1.1949999999999932</v>
      </c>
      <c r="E75">
        <f>-(Historical_Simulation!C76-Historical_Simulation!C77)</f>
        <v>-20.179999999999836</v>
      </c>
      <c r="G75">
        <f>-(Historical_Simulation!D76-Historical_Simulation!D77)</f>
        <v>-1.6599999999999966</v>
      </c>
      <c r="J75" s="23">
        <v>44011</v>
      </c>
      <c r="K75" s="24">
        <f t="shared" si="4"/>
        <v>5.798833548571741</v>
      </c>
      <c r="L75" s="25"/>
      <c r="M75" s="25"/>
      <c r="N75" s="27"/>
      <c r="Q75" s="23">
        <v>44011</v>
      </c>
      <c r="R75" s="24">
        <f t="shared" si="5"/>
        <v>3.3340355081200932</v>
      </c>
      <c r="S75" s="25"/>
      <c r="T75" s="25"/>
      <c r="U75" s="27"/>
      <c r="X75" s="47">
        <v>44011</v>
      </c>
      <c r="Y75" s="48">
        <f t="shared" si="6"/>
        <v>-16.171228485982432</v>
      </c>
      <c r="Z75" s="49"/>
      <c r="AA75" s="49"/>
      <c r="AB75" s="51"/>
      <c r="AE75" s="47">
        <v>44011</v>
      </c>
      <c r="AF75" s="48">
        <f t="shared" si="7"/>
        <v>-11.890539146270189</v>
      </c>
      <c r="AG75" s="49"/>
      <c r="AH75" s="49"/>
      <c r="AI75" s="51"/>
    </row>
    <row r="76" spans="1:35" x14ac:dyDescent="0.3">
      <c r="A76" s="20">
        <v>44006</v>
      </c>
      <c r="C76">
        <f>-(Historical_Simulation!B77-Historical_Simulation!B78)</f>
        <v>1.6174999999999926</v>
      </c>
      <c r="E76">
        <f>-(Historical_Simulation!C77-Historical_Simulation!C78)</f>
        <v>30.009999999999764</v>
      </c>
      <c r="G76">
        <f>-(Historical_Simulation!D77-Historical_Simulation!D78)</f>
        <v>8.2199999999999989</v>
      </c>
      <c r="J76" s="23">
        <v>44008</v>
      </c>
      <c r="K76" s="24">
        <f t="shared" si="4"/>
        <v>34.578016676131256</v>
      </c>
      <c r="L76" s="25"/>
      <c r="M76" s="25"/>
      <c r="N76" s="27"/>
      <c r="Q76" s="23">
        <v>44008</v>
      </c>
      <c r="R76" s="24">
        <f t="shared" si="5"/>
        <v>24.583517239345316</v>
      </c>
      <c r="S76" s="25"/>
      <c r="T76" s="25"/>
      <c r="U76" s="27"/>
      <c r="X76" s="47">
        <v>44008</v>
      </c>
      <c r="Y76" s="48">
        <f t="shared" si="6"/>
        <v>96.919964516666752</v>
      </c>
      <c r="Z76" s="49"/>
      <c r="AA76" s="49"/>
      <c r="AB76" s="51"/>
      <c r="AE76" s="47">
        <v>44008</v>
      </c>
      <c r="AF76" s="48">
        <f t="shared" si="7"/>
        <v>68.414561470554958</v>
      </c>
      <c r="AG76" s="49"/>
      <c r="AH76" s="49"/>
      <c r="AI76" s="51"/>
    </row>
    <row r="77" spans="1:35" x14ac:dyDescent="0.3">
      <c r="A77" s="20">
        <v>44005</v>
      </c>
      <c r="C77">
        <f>-(Historical_Simulation!B78-Historical_Simulation!B79)</f>
        <v>-1.914999999999992</v>
      </c>
      <c r="E77">
        <f>-(Historical_Simulation!C78-Historical_Simulation!C79)</f>
        <v>-50.589999999999691</v>
      </c>
      <c r="G77">
        <f>-(Historical_Simulation!D78-Historical_Simulation!D79)</f>
        <v>-3.0200000000000102</v>
      </c>
      <c r="J77" s="23">
        <v>44007</v>
      </c>
      <c r="K77" s="24">
        <f t="shared" si="4"/>
        <v>-11.435770429849278</v>
      </c>
      <c r="L77" s="25"/>
      <c r="M77" s="25"/>
      <c r="N77" s="27"/>
      <c r="Q77" s="23">
        <v>44007</v>
      </c>
      <c r="R77" s="24">
        <f t="shared" si="5"/>
        <v>-8.2146937960186186</v>
      </c>
      <c r="S77" s="25"/>
      <c r="T77" s="25"/>
      <c r="U77" s="27"/>
      <c r="X77" s="47">
        <v>44007</v>
      </c>
      <c r="Y77" s="48">
        <f t="shared" si="6"/>
        <v>-3.8004246763060126</v>
      </c>
      <c r="Z77" s="49"/>
      <c r="AA77" s="49"/>
      <c r="AB77" s="51"/>
      <c r="AE77" s="47">
        <v>44007</v>
      </c>
      <c r="AF77" s="48">
        <f t="shared" si="7"/>
        <v>-3.0113184154670738</v>
      </c>
      <c r="AG77" s="49"/>
      <c r="AH77" s="49"/>
      <c r="AI77" s="51"/>
    </row>
    <row r="78" spans="1:35" x14ac:dyDescent="0.3">
      <c r="A78" s="20">
        <v>44004</v>
      </c>
      <c r="C78">
        <f>-(Historical_Simulation!B79-Historical_Simulation!B80)</f>
        <v>-2.2874999999999943</v>
      </c>
      <c r="E78">
        <f>-(Historical_Simulation!C79-Historical_Simulation!C80)</f>
        <v>-38.809999999999945</v>
      </c>
      <c r="G78">
        <f>-(Historical_Simulation!D79-Historical_Simulation!D80)</f>
        <v>-0.43000000000000682</v>
      </c>
      <c r="J78" s="23">
        <v>44006</v>
      </c>
      <c r="K78" s="24">
        <f t="shared" si="4"/>
        <v>16.932805474295268</v>
      </c>
      <c r="L78" s="25"/>
      <c r="M78" s="25"/>
      <c r="N78" s="27"/>
      <c r="Q78" s="23">
        <v>44006</v>
      </c>
      <c r="R78" s="24">
        <f t="shared" si="5"/>
        <v>12.115611988594088</v>
      </c>
      <c r="S78" s="25"/>
      <c r="T78" s="25"/>
      <c r="U78" s="27"/>
      <c r="X78" s="47">
        <v>44006</v>
      </c>
      <c r="Y78" s="48">
        <f t="shared" si="6"/>
        <v>38.611728871635229</v>
      </c>
      <c r="Z78" s="49"/>
      <c r="AA78" s="49"/>
      <c r="AB78" s="51"/>
      <c r="AE78" s="47">
        <v>44006</v>
      </c>
      <c r="AF78" s="48">
        <f t="shared" si="7"/>
        <v>27.407268469078105</v>
      </c>
      <c r="AG78" s="49"/>
      <c r="AH78" s="49"/>
      <c r="AI78" s="51"/>
    </row>
    <row r="79" spans="1:35" x14ac:dyDescent="0.3">
      <c r="A79" s="20">
        <v>44001</v>
      </c>
      <c r="C79">
        <f>-(Historical_Simulation!B80-Historical_Simulation!B81)</f>
        <v>0.50249999999999773</v>
      </c>
      <c r="E79">
        <f>-(Historical_Simulation!C80-Historical_Simulation!C81)</f>
        <v>-21.0300000000002</v>
      </c>
      <c r="G79">
        <f>-(Historical_Simulation!D80-Historical_Simulation!D81)</f>
        <v>-2.8499999999999943</v>
      </c>
      <c r="J79" s="23">
        <v>44005</v>
      </c>
      <c r="K79" s="24">
        <f t="shared" si="4"/>
        <v>-28.170965271156955</v>
      </c>
      <c r="L79" s="25"/>
      <c r="M79" s="25"/>
      <c r="N79" s="27"/>
      <c r="Q79" s="23">
        <v>44005</v>
      </c>
      <c r="R79" s="24">
        <f t="shared" si="5"/>
        <v>-19.912555729323529</v>
      </c>
      <c r="S79" s="25"/>
      <c r="T79" s="25"/>
      <c r="U79" s="27"/>
      <c r="X79" s="47">
        <v>44005</v>
      </c>
      <c r="Y79" s="48">
        <f t="shared" si="6"/>
        <v>-8.1063855211143547</v>
      </c>
      <c r="Z79" s="49"/>
      <c r="AA79" s="49"/>
      <c r="AB79" s="51"/>
      <c r="AE79" s="47">
        <v>44005</v>
      </c>
      <c r="AF79" s="48">
        <f t="shared" si="7"/>
        <v>-6.2311975249271807</v>
      </c>
      <c r="AG79" s="49"/>
      <c r="AH79" s="49"/>
      <c r="AI79" s="51"/>
    </row>
    <row r="80" spans="1:35" x14ac:dyDescent="0.3">
      <c r="A80" s="20">
        <v>44000</v>
      </c>
      <c r="C80">
        <f>-(Historical_Simulation!B81-Historical_Simulation!B82)</f>
        <v>-3.50000000000108E-2</v>
      </c>
      <c r="E80">
        <f>-(Historical_Simulation!C81-Historical_Simulation!C82)</f>
        <v>-13</v>
      </c>
      <c r="G80">
        <f>-(Historical_Simulation!D81-Historical_Simulation!D82)</f>
        <v>-0.40999999999999659</v>
      </c>
      <c r="J80" s="23">
        <v>44004</v>
      </c>
      <c r="K80" s="24">
        <f t="shared" si="4"/>
        <v>-21.988239427135788</v>
      </c>
      <c r="L80" s="25"/>
      <c r="M80" s="25"/>
      <c r="N80" s="27"/>
      <c r="Q80" s="23">
        <v>44004</v>
      </c>
      <c r="R80" s="24">
        <f t="shared" si="5"/>
        <v>-15.791675225972712</v>
      </c>
      <c r="S80" s="25"/>
      <c r="T80" s="25"/>
      <c r="U80" s="27"/>
      <c r="X80" s="47">
        <v>44004</v>
      </c>
      <c r="Y80" s="48">
        <f t="shared" si="6"/>
        <v>8.1201910456739057</v>
      </c>
      <c r="Z80" s="49"/>
      <c r="AA80" s="49"/>
      <c r="AB80" s="51"/>
      <c r="AE80" s="47">
        <v>44004</v>
      </c>
      <c r="AF80" s="48">
        <f t="shared" si="7"/>
        <v>4.9680085090968973</v>
      </c>
      <c r="AG80" s="49"/>
      <c r="AH80" s="49"/>
      <c r="AI80" s="51"/>
    </row>
    <row r="81" spans="1:35" x14ac:dyDescent="0.3">
      <c r="A81" s="20">
        <v>43999</v>
      </c>
      <c r="C81">
        <f>-(Historical_Simulation!B82-Historical_Simulation!B83)</f>
        <v>0.12250000000000227</v>
      </c>
      <c r="E81">
        <f>-(Historical_Simulation!C82-Historical_Simulation!C83)</f>
        <v>-25.710000000000036</v>
      </c>
      <c r="G81">
        <f>-(Historical_Simulation!D82-Historical_Simulation!D83)</f>
        <v>0.12000000000000455</v>
      </c>
      <c r="J81" s="23">
        <v>44001</v>
      </c>
      <c r="K81" s="24">
        <f t="shared" si="4"/>
        <v>-11.112427009783175</v>
      </c>
      <c r="L81" s="25"/>
      <c r="M81" s="25"/>
      <c r="N81" s="27"/>
      <c r="Q81" s="23">
        <v>44001</v>
      </c>
      <c r="R81" s="24">
        <f t="shared" si="5"/>
        <v>-7.4591305853449441</v>
      </c>
      <c r="S81" s="25"/>
      <c r="T81" s="25"/>
      <c r="U81" s="27"/>
      <c r="X81" s="47">
        <v>44001</v>
      </c>
      <c r="Y81" s="48">
        <f t="shared" si="6"/>
        <v>-18.281771456593219</v>
      </c>
      <c r="Z81" s="49"/>
      <c r="AA81" s="49"/>
      <c r="AB81" s="51"/>
      <c r="AE81" s="47">
        <v>44001</v>
      </c>
      <c r="AF81" s="48">
        <f t="shared" si="7"/>
        <v>-12.592569866351246</v>
      </c>
      <c r="AG81" s="49"/>
      <c r="AH81" s="49"/>
      <c r="AI81" s="51"/>
    </row>
    <row r="82" spans="1:35" x14ac:dyDescent="0.3">
      <c r="A82" s="20">
        <v>43998</v>
      </c>
      <c r="C82">
        <f>-(Historical_Simulation!B83-Historical_Simulation!B84)</f>
        <v>-2.2724999999999937</v>
      </c>
      <c r="E82">
        <f>-(Historical_Simulation!C83-Historical_Simulation!C84)</f>
        <v>-42.590000000000146</v>
      </c>
      <c r="G82">
        <f>-(Historical_Simulation!D83-Historical_Simulation!D84)</f>
        <v>-3.1500000000000057</v>
      </c>
      <c r="J82" s="23">
        <v>44000</v>
      </c>
      <c r="K82" s="24">
        <f t="shared" si="4"/>
        <v>-7.0284995324201809</v>
      </c>
      <c r="L82" s="25"/>
      <c r="M82" s="25"/>
      <c r="N82" s="27"/>
      <c r="Q82" s="23">
        <v>44000</v>
      </c>
      <c r="R82" s="24">
        <f t="shared" si="5"/>
        <v>-4.8288019523509282</v>
      </c>
      <c r="S82" s="25"/>
      <c r="T82" s="25"/>
      <c r="U82" s="27"/>
      <c r="X82" s="47">
        <v>44000</v>
      </c>
      <c r="Y82" s="48">
        <f t="shared" si="6"/>
        <v>-2.1361489325047702</v>
      </c>
      <c r="Z82" s="49"/>
      <c r="AA82" s="49"/>
      <c r="AB82" s="51"/>
      <c r="AE82" s="47">
        <v>44000</v>
      </c>
      <c r="AF82" s="48">
        <f t="shared" si="7"/>
        <v>-1.4997729156992032</v>
      </c>
      <c r="AG82" s="49"/>
      <c r="AH82" s="49"/>
      <c r="AI82" s="51"/>
    </row>
    <row r="83" spans="1:35" x14ac:dyDescent="0.3">
      <c r="A83" s="20">
        <v>43997</v>
      </c>
      <c r="C83">
        <f>-(Historical_Simulation!B84-Historical_Simulation!B85)</f>
        <v>-1.0474999999999994</v>
      </c>
      <c r="E83">
        <f>-(Historical_Simulation!C84-Historical_Simulation!C85)</f>
        <v>-27.659999999999854</v>
      </c>
      <c r="G83">
        <f>-(Historical_Simulation!D84-Historical_Simulation!D85)</f>
        <v>-3.9199999999999875</v>
      </c>
      <c r="J83" s="23">
        <v>43999</v>
      </c>
      <c r="K83" s="24">
        <f t="shared" si="4"/>
        <v>-13.811906222232507</v>
      </c>
      <c r="L83" s="25"/>
      <c r="M83" s="25"/>
      <c r="N83" s="27"/>
      <c r="Q83" s="23">
        <v>43999</v>
      </c>
      <c r="R83" s="24">
        <f t="shared" si="5"/>
        <v>-9.4290533308218532</v>
      </c>
      <c r="S83" s="25"/>
      <c r="T83" s="25"/>
      <c r="U83" s="27"/>
      <c r="X83" s="47">
        <v>43999</v>
      </c>
      <c r="Y83" s="48">
        <f t="shared" si="6"/>
        <v>0.10849234044998268</v>
      </c>
      <c r="Z83" s="49"/>
      <c r="AA83" s="49"/>
      <c r="AB83" s="51"/>
      <c r="AE83" s="47">
        <v>43999</v>
      </c>
      <c r="AF83" s="48">
        <f t="shared" si="7"/>
        <v>0.11273484722868288</v>
      </c>
      <c r="AG83" s="49"/>
      <c r="AH83" s="49"/>
      <c r="AI83" s="51"/>
    </row>
    <row r="84" spans="1:35" x14ac:dyDescent="0.3">
      <c r="A84" s="20">
        <v>43994</v>
      </c>
      <c r="C84">
        <f>-(Historical_Simulation!B85-Historical_Simulation!B86)</f>
        <v>-0.72500000000000853</v>
      </c>
      <c r="E84">
        <f>-(Historical_Simulation!C85-Historical_Simulation!C86)</f>
        <v>12.940000000000055</v>
      </c>
      <c r="G84">
        <f>-(Historical_Simulation!D85-Historical_Simulation!D86)</f>
        <v>-4.1500000000000057</v>
      </c>
      <c r="J84" s="23">
        <v>43998</v>
      </c>
      <c r="K84" s="24">
        <f t="shared" si="4"/>
        <v>-24.020314685565094</v>
      </c>
      <c r="L84" s="25"/>
      <c r="M84" s="25"/>
      <c r="N84" s="27"/>
      <c r="Q84" s="23">
        <v>43998</v>
      </c>
      <c r="R84" s="24">
        <f t="shared" si="5"/>
        <v>-17.179874486225138</v>
      </c>
      <c r="S84" s="25"/>
      <c r="T84" s="25"/>
      <c r="U84" s="27"/>
      <c r="X84" s="47">
        <v>43998</v>
      </c>
      <c r="Y84" s="48">
        <f t="shared" si="6"/>
        <v>-7.1891885020613842</v>
      </c>
      <c r="Z84" s="49"/>
      <c r="AA84" s="49"/>
      <c r="AB84" s="51"/>
      <c r="AE84" s="47">
        <v>43998</v>
      </c>
      <c r="AF84" s="48">
        <f t="shared" si="7"/>
        <v>-5.7000686227362802</v>
      </c>
      <c r="AG84" s="49"/>
      <c r="AH84" s="49"/>
      <c r="AI84" s="51"/>
    </row>
    <row r="85" spans="1:35" x14ac:dyDescent="0.3">
      <c r="A85" s="20">
        <v>43993</v>
      </c>
      <c r="C85">
        <f>-(Historical_Simulation!B86-Historical_Simulation!B87)</f>
        <v>4.2349999999999994</v>
      </c>
      <c r="E85">
        <f>-(Historical_Simulation!C86-Historical_Simulation!C87)</f>
        <v>89.489999999999782</v>
      </c>
      <c r="G85">
        <f>-(Historical_Simulation!D86-Historical_Simulation!D87)</f>
        <v>12.299999999999983</v>
      </c>
      <c r="J85" s="23">
        <v>43997</v>
      </c>
      <c r="K85" s="24">
        <f t="shared" si="4"/>
        <v>-15.402648963095327</v>
      </c>
      <c r="L85" s="25"/>
      <c r="M85" s="25"/>
      <c r="N85" s="27"/>
      <c r="Q85" s="23">
        <v>43997</v>
      </c>
      <c r="R85" s="24">
        <f t="shared" si="5"/>
        <v>-10.887457921861795</v>
      </c>
      <c r="S85" s="25"/>
      <c r="T85" s="25"/>
      <c r="U85" s="27"/>
      <c r="X85" s="47">
        <v>43997</v>
      </c>
      <c r="Y85" s="48">
        <f t="shared" si="6"/>
        <v>-17.142300822987</v>
      </c>
      <c r="Z85" s="49"/>
      <c r="AA85" s="49"/>
      <c r="AB85" s="51"/>
      <c r="AE85" s="47">
        <v>43997</v>
      </c>
      <c r="AF85" s="48">
        <f t="shared" si="7"/>
        <v>-12.267660534256191</v>
      </c>
      <c r="AG85" s="49"/>
      <c r="AH85" s="49"/>
      <c r="AI85" s="51"/>
    </row>
    <row r="86" spans="1:35" x14ac:dyDescent="0.3">
      <c r="A86" s="20">
        <v>43992</v>
      </c>
      <c r="C86">
        <f>-(Historical_Simulation!B87-Historical_Simulation!B88)</f>
        <v>-2.2124999999999915</v>
      </c>
      <c r="E86">
        <f>-(Historical_Simulation!C87-Historical_Simulation!C88)</f>
        <v>-46.589999999999691</v>
      </c>
      <c r="G86">
        <f>-(Historical_Simulation!D87-Historical_Simulation!D88)</f>
        <v>1.9399999999999977</v>
      </c>
      <c r="J86" s="23">
        <v>43994</v>
      </c>
      <c r="K86" s="24">
        <f t="shared" si="4"/>
        <v>6.646089171656155</v>
      </c>
      <c r="L86" s="25"/>
      <c r="M86" s="25"/>
      <c r="N86" s="27"/>
      <c r="Q86" s="23">
        <v>43994</v>
      </c>
      <c r="R86" s="24">
        <f t="shared" si="5"/>
        <v>4.32762658533556</v>
      </c>
      <c r="S86" s="25"/>
      <c r="T86" s="25"/>
      <c r="U86" s="27"/>
      <c r="X86" s="47">
        <v>43994</v>
      </c>
      <c r="Y86" s="48">
        <f t="shared" si="6"/>
        <v>-19.91549358354419</v>
      </c>
      <c r="Z86" s="49"/>
      <c r="AA86" s="49"/>
      <c r="AB86" s="51"/>
      <c r="AE86" s="47">
        <v>43994</v>
      </c>
      <c r="AF86" s="48">
        <f t="shared" si="7"/>
        <v>-14.103259296719791</v>
      </c>
      <c r="AG86" s="49"/>
      <c r="AH86" s="49"/>
      <c r="AI86" s="51"/>
    </row>
    <row r="87" spans="1:35" x14ac:dyDescent="0.3">
      <c r="A87" s="20">
        <v>43991</v>
      </c>
      <c r="C87">
        <f>-(Historical_Simulation!B88-Historical_Simulation!B89)</f>
        <v>-2.6325000000000074</v>
      </c>
      <c r="E87">
        <f>-(Historical_Simulation!C88-Historical_Simulation!C89)</f>
        <v>-76.800000000000182</v>
      </c>
      <c r="G87">
        <f>-(Historical_Simulation!D88-Historical_Simulation!D89)</f>
        <v>-7.2699999999999818</v>
      </c>
      <c r="J87" s="23">
        <v>43993</v>
      </c>
      <c r="K87" s="24">
        <f t="shared" si="4"/>
        <v>50.222720990087204</v>
      </c>
      <c r="L87" s="25"/>
      <c r="M87" s="25"/>
      <c r="N87" s="27"/>
      <c r="Q87" s="23">
        <v>43993</v>
      </c>
      <c r="R87" s="24">
        <f t="shared" si="5"/>
        <v>35.75799155014861</v>
      </c>
      <c r="S87" s="25"/>
      <c r="T87" s="25"/>
      <c r="U87" s="27"/>
      <c r="X87" s="47">
        <v>43993</v>
      </c>
      <c r="Y87" s="48">
        <f t="shared" si="6"/>
        <v>49.42370970840399</v>
      </c>
      <c r="Z87" s="49"/>
      <c r="AA87" s="49"/>
      <c r="AB87" s="51"/>
      <c r="AE87" s="47">
        <v>43993</v>
      </c>
      <c r="AF87" s="48">
        <f t="shared" si="7"/>
        <v>35.737382840305088</v>
      </c>
      <c r="AG87" s="49"/>
      <c r="AH87" s="49"/>
      <c r="AI87" s="51"/>
    </row>
    <row r="88" spans="1:35" x14ac:dyDescent="0.3">
      <c r="A88" s="20">
        <v>43990</v>
      </c>
      <c r="C88">
        <f>-(Historical_Simulation!B89-Historical_Simulation!B90)</f>
        <v>-0.48999999999999488</v>
      </c>
      <c r="E88">
        <f>-(Historical_Simulation!C89-Historical_Simulation!C90)</f>
        <v>-41.059999999999945</v>
      </c>
      <c r="G88">
        <f>-(Historical_Simulation!D89-Historical_Simulation!D90)</f>
        <v>-0.62999999999999545</v>
      </c>
      <c r="J88" s="23">
        <v>43992</v>
      </c>
      <c r="K88" s="24">
        <f t="shared" si="4"/>
        <v>-26.150334593133373</v>
      </c>
      <c r="L88" s="25"/>
      <c r="M88" s="25"/>
      <c r="N88" s="27"/>
      <c r="Q88" s="23">
        <v>43992</v>
      </c>
      <c r="R88" s="24">
        <f t="shared" si="5"/>
        <v>-18.621057357535786</v>
      </c>
      <c r="S88" s="25"/>
      <c r="T88" s="25"/>
      <c r="U88" s="27"/>
      <c r="X88" s="47">
        <v>43992</v>
      </c>
      <c r="Y88" s="48">
        <f t="shared" si="6"/>
        <v>21.054222512603534</v>
      </c>
      <c r="Z88" s="49"/>
      <c r="AA88" s="49"/>
      <c r="AB88" s="51"/>
      <c r="AE88" s="47">
        <v>43992</v>
      </c>
      <c r="AF88" s="48">
        <f t="shared" si="7"/>
        <v>14.007418753176303</v>
      </c>
      <c r="AG88" s="49"/>
      <c r="AH88" s="49"/>
      <c r="AI88" s="51"/>
    </row>
    <row r="89" spans="1:35" x14ac:dyDescent="0.3">
      <c r="A89" s="20">
        <v>43987</v>
      </c>
      <c r="C89">
        <f>-(Historical_Simulation!B90-Historical_Simulation!B91)</f>
        <v>-2.2950000000000017</v>
      </c>
      <c r="E89">
        <f>-(Historical_Simulation!C90-Historical_Simulation!C91)</f>
        <v>-22.400000000000091</v>
      </c>
      <c r="G89">
        <f>-(Historical_Simulation!D90-Historical_Simulation!D91)</f>
        <v>-4.4800000000000182</v>
      </c>
      <c r="J89" s="23">
        <v>43991</v>
      </c>
      <c r="K89" s="24">
        <f t="shared" si="4"/>
        <v>-42.639470811475107</v>
      </c>
      <c r="L89" s="25"/>
      <c r="M89" s="25"/>
      <c r="N89" s="27"/>
      <c r="Q89" s="23">
        <v>43991</v>
      </c>
      <c r="R89" s="24">
        <f t="shared" si="5"/>
        <v>-30.055894238410172</v>
      </c>
      <c r="S89" s="25"/>
      <c r="T89" s="25"/>
      <c r="U89" s="27"/>
      <c r="X89" s="47">
        <v>43991</v>
      </c>
      <c r="Y89" s="48">
        <f t="shared" si="6"/>
        <v>-28.61670846530971</v>
      </c>
      <c r="Z89" s="49"/>
      <c r="AA89" s="49"/>
      <c r="AB89" s="51"/>
      <c r="AE89" s="47">
        <v>43991</v>
      </c>
      <c r="AF89" s="48">
        <f t="shared" si="7"/>
        <v>-20.746858390813937</v>
      </c>
      <c r="AG89" s="49"/>
      <c r="AH89" s="49"/>
      <c r="AI89" s="51"/>
    </row>
    <row r="90" spans="1:35" x14ac:dyDescent="0.3">
      <c r="A90" s="20">
        <v>43986</v>
      </c>
      <c r="C90">
        <f>-(Historical_Simulation!B91-Historical_Simulation!B92)</f>
        <v>0.70000000000000284</v>
      </c>
      <c r="E90">
        <f>-(Historical_Simulation!C91-Historical_Simulation!C92)</f>
        <v>17.800000000000182</v>
      </c>
      <c r="G90">
        <f>-(Historical_Simulation!D91-Historical_Simulation!D92)</f>
        <v>3.8700000000000045</v>
      </c>
      <c r="J90" s="23">
        <v>43990</v>
      </c>
      <c r="K90" s="24">
        <f t="shared" si="4"/>
        <v>-22.374016662575098</v>
      </c>
      <c r="L90" s="25"/>
      <c r="M90" s="25"/>
      <c r="N90" s="27"/>
      <c r="Q90" s="23">
        <v>43990</v>
      </c>
      <c r="R90" s="24">
        <f t="shared" si="5"/>
        <v>-15.490736228837376</v>
      </c>
      <c r="S90" s="25"/>
      <c r="T90" s="25"/>
      <c r="U90" s="27"/>
      <c r="X90" s="47">
        <v>43990</v>
      </c>
      <c r="Y90" s="48">
        <f t="shared" si="6"/>
        <v>-1.2744289348018047</v>
      </c>
      <c r="Z90" s="49"/>
      <c r="AA90" s="49"/>
      <c r="AB90" s="51"/>
      <c r="AE90" s="47">
        <v>43990</v>
      </c>
      <c r="AF90" s="48">
        <f t="shared" si="7"/>
        <v>-1.0368485551943831</v>
      </c>
      <c r="AG90" s="49"/>
      <c r="AH90" s="49"/>
      <c r="AI90" s="51"/>
    </row>
    <row r="91" spans="1:35" x14ac:dyDescent="0.3">
      <c r="A91" s="20">
        <v>43985</v>
      </c>
      <c r="C91">
        <f>-(Historical_Simulation!B92-Historical_Simulation!B93)</f>
        <v>-0.44500000000000739</v>
      </c>
      <c r="E91">
        <f>-(Historical_Simulation!C92-Historical_Simulation!C93)</f>
        <v>-5.9900000000002365</v>
      </c>
      <c r="G91">
        <f>-(Historical_Simulation!D92-Historical_Simulation!D93)</f>
        <v>2.5600000000000023</v>
      </c>
      <c r="J91" s="23">
        <v>43987</v>
      </c>
      <c r="K91" s="24">
        <f t="shared" si="4"/>
        <v>-13.139913852626941</v>
      </c>
      <c r="L91" s="25"/>
      <c r="M91" s="25"/>
      <c r="N91" s="27"/>
      <c r="Q91" s="23">
        <v>43987</v>
      </c>
      <c r="R91" s="24">
        <f t="shared" si="5"/>
        <v>-9.7288132087941168</v>
      </c>
      <c r="S91" s="25"/>
      <c r="T91" s="25"/>
      <c r="U91" s="27"/>
      <c r="X91" s="47">
        <v>43987</v>
      </c>
      <c r="Y91" s="48">
        <f t="shared" si="6"/>
        <v>-14.537694446728288</v>
      </c>
      <c r="Z91" s="49"/>
      <c r="AA91" s="49"/>
      <c r="AB91" s="51"/>
      <c r="AE91" s="47">
        <v>43987</v>
      </c>
      <c r="AF91" s="48">
        <f t="shared" si="7"/>
        <v>-10.829743522141015</v>
      </c>
      <c r="AG91" s="49"/>
      <c r="AH91" s="49"/>
      <c r="AI91" s="51"/>
    </row>
    <row r="92" spans="1:35" x14ac:dyDescent="0.3">
      <c r="A92" s="20">
        <v>43984</v>
      </c>
      <c r="C92">
        <f>-(Historical_Simulation!B93-Historical_Simulation!B94)</f>
        <v>-0.37249999999998806</v>
      </c>
      <c r="E92">
        <f>-(Historical_Simulation!C93-Historical_Simulation!C94)</f>
        <v>-1.3699999999998909</v>
      </c>
      <c r="G92">
        <f>-(Historical_Simulation!D93-Historical_Simulation!D94)</f>
        <v>-0.81000000000000227</v>
      </c>
      <c r="J92" s="23">
        <v>43986</v>
      </c>
      <c r="K92" s="24">
        <f t="shared" si="4"/>
        <v>9.9239754727640808</v>
      </c>
      <c r="L92" s="25"/>
      <c r="M92" s="25"/>
      <c r="N92" s="27"/>
      <c r="Q92" s="23">
        <v>43986</v>
      </c>
      <c r="R92" s="24">
        <f t="shared" si="5"/>
        <v>7.0227160343387309</v>
      </c>
      <c r="S92" s="25"/>
      <c r="T92" s="25"/>
      <c r="U92" s="27"/>
      <c r="X92" s="47">
        <v>43986</v>
      </c>
      <c r="Y92" s="48">
        <f t="shared" si="6"/>
        <v>18.461712309440919</v>
      </c>
      <c r="Z92" s="49"/>
      <c r="AA92" s="49"/>
      <c r="AB92" s="51"/>
      <c r="AE92" s="47">
        <v>43986</v>
      </c>
      <c r="AF92" s="48">
        <f t="shared" si="7"/>
        <v>13.082213714044318</v>
      </c>
      <c r="AG92" s="49"/>
      <c r="AH92" s="49"/>
      <c r="AI92" s="51"/>
    </row>
    <row r="93" spans="1:35" x14ac:dyDescent="0.3">
      <c r="A93" s="20">
        <v>43983</v>
      </c>
      <c r="C93">
        <f>-(Historical_Simulation!B94-Historical_Simulation!B95)</f>
        <v>-0.97750000000000625</v>
      </c>
      <c r="E93">
        <f>-(Historical_Simulation!C94-Historical_Simulation!C95)</f>
        <v>-28.670000000000073</v>
      </c>
      <c r="G93">
        <f>-(Historical_Simulation!D94-Historical_Simulation!D95)</f>
        <v>-6.8199999999999932</v>
      </c>
      <c r="J93" s="23">
        <v>43985</v>
      </c>
      <c r="K93" s="24">
        <f t="shared" si="4"/>
        <v>-3.4360493565192112</v>
      </c>
      <c r="L93" s="25"/>
      <c r="M93" s="25"/>
      <c r="N93" s="27"/>
      <c r="Q93" s="23">
        <v>43985</v>
      </c>
      <c r="R93" s="24">
        <f t="shared" si="5"/>
        <v>-2.4952608427140031</v>
      </c>
      <c r="S93" s="25"/>
      <c r="T93" s="25"/>
      <c r="U93" s="27"/>
      <c r="X93" s="47">
        <v>43985</v>
      </c>
      <c r="Y93" s="48">
        <f t="shared" si="6"/>
        <v>16.392206779138824</v>
      </c>
      <c r="Z93" s="49"/>
      <c r="AA93" s="49"/>
      <c r="AB93" s="51"/>
      <c r="AE93" s="47">
        <v>43985</v>
      </c>
      <c r="AF93" s="48">
        <f t="shared" si="7"/>
        <v>11.292713631136669</v>
      </c>
      <c r="AG93" s="49"/>
      <c r="AH93" s="49"/>
      <c r="AI93" s="51"/>
    </row>
    <row r="94" spans="1:35" x14ac:dyDescent="0.3">
      <c r="A94" s="20">
        <v>43980</v>
      </c>
      <c r="C94">
        <f>-(Historical_Simulation!B95-Historical_Simulation!B96)</f>
        <v>7.7500000000000568E-2</v>
      </c>
      <c r="E94">
        <f>-(Historical_Simulation!C95-Historical_Simulation!C96)</f>
        <v>-41.269999999999982</v>
      </c>
      <c r="G94">
        <f>-(Historical_Simulation!D95-Historical_Simulation!D96)</f>
        <v>0.37000000000000455</v>
      </c>
      <c r="J94" s="23">
        <v>43984</v>
      </c>
      <c r="K94" s="24">
        <f t="shared" si="4"/>
        <v>-0.91056523591116789</v>
      </c>
      <c r="L94" s="25"/>
      <c r="M94" s="25"/>
      <c r="N94" s="27"/>
      <c r="Q94" s="23">
        <v>43984</v>
      </c>
      <c r="R94" s="24">
        <f t="shared" si="5"/>
        <v>-0.74132510200304069</v>
      </c>
      <c r="S94" s="25"/>
      <c r="T94" s="25"/>
      <c r="U94" s="27"/>
      <c r="X94" s="47">
        <v>43984</v>
      </c>
      <c r="Y94" s="48">
        <f t="shared" si="6"/>
        <v>-2.8238404212557131</v>
      </c>
      <c r="Z94" s="49"/>
      <c r="AA94" s="49"/>
      <c r="AB94" s="51"/>
      <c r="AE94" s="47">
        <v>43984</v>
      </c>
      <c r="AF94" s="48">
        <f t="shared" si="7"/>
        <v>-2.0814017349824994</v>
      </c>
      <c r="AG94" s="49"/>
      <c r="AH94" s="49"/>
      <c r="AI94" s="51"/>
    </row>
    <row r="95" spans="1:35" x14ac:dyDescent="0.3">
      <c r="A95" s="20">
        <v>43979</v>
      </c>
      <c r="C95">
        <f>-(Historical_Simulation!B96-Historical_Simulation!B97)</f>
        <v>-3.4999999999996589E-2</v>
      </c>
      <c r="E95">
        <f>-(Historical_Simulation!C96-Historical_Simulation!C97)</f>
        <v>9.2899999999999636</v>
      </c>
      <c r="G95">
        <f>-(Historical_Simulation!D96-Historical_Simulation!D97)</f>
        <v>3.6799999999999784</v>
      </c>
      <c r="J95" s="23">
        <v>43983</v>
      </c>
      <c r="K95" s="24">
        <f t="shared" si="4"/>
        <v>-15.91521583505949</v>
      </c>
      <c r="L95" s="25"/>
      <c r="M95" s="25"/>
      <c r="N95" s="27"/>
      <c r="Q95" s="23">
        <v>43983</v>
      </c>
      <c r="R95" s="24">
        <f t="shared" si="5"/>
        <v>-11.216787355609586</v>
      </c>
      <c r="S95" s="25"/>
      <c r="T95" s="25"/>
      <c r="U95" s="27"/>
      <c r="X95" s="47">
        <v>43983</v>
      </c>
      <c r="Y95" s="48">
        <f t="shared" si="6"/>
        <v>-33.713400368425326</v>
      </c>
      <c r="Z95" s="49"/>
      <c r="AA95" s="49"/>
      <c r="AB95" s="51"/>
      <c r="AE95" s="47">
        <v>43983</v>
      </c>
      <c r="AF95" s="48">
        <f t="shared" si="7"/>
        <v>-23.798662026594233</v>
      </c>
      <c r="AG95" s="49"/>
      <c r="AH95" s="49"/>
      <c r="AI95" s="51"/>
    </row>
    <row r="96" spans="1:35" x14ac:dyDescent="0.3">
      <c r="A96" s="20">
        <v>43978</v>
      </c>
      <c r="C96">
        <f>-(Historical_Simulation!B97-Historical_Simulation!B98)</f>
        <v>-0.34499999999999886</v>
      </c>
      <c r="E96">
        <f>-(Historical_Simulation!C97-Historical_Simulation!C98)</f>
        <v>11.470000000000255</v>
      </c>
      <c r="G96">
        <f>-(Historical_Simulation!D97-Historical_Simulation!D98)</f>
        <v>3.0600000000000023</v>
      </c>
      <c r="J96" s="23">
        <v>43980</v>
      </c>
      <c r="K96" s="24">
        <f t="shared" si="4"/>
        <v>-22.225910869012196</v>
      </c>
      <c r="L96" s="25"/>
      <c r="M96" s="25"/>
      <c r="N96" s="27"/>
      <c r="Q96" s="23">
        <v>43980</v>
      </c>
      <c r="R96" s="24">
        <f t="shared" si="5"/>
        <v>-15.210716446188169</v>
      </c>
      <c r="S96" s="25"/>
      <c r="T96" s="25"/>
      <c r="U96" s="27"/>
      <c r="X96" s="47">
        <v>43980</v>
      </c>
      <c r="Y96" s="48">
        <f t="shared" si="6"/>
        <v>1.7163961673537975</v>
      </c>
      <c r="Z96" s="49"/>
      <c r="AA96" s="49"/>
      <c r="AB96" s="51"/>
      <c r="AE96" s="47">
        <v>43980</v>
      </c>
      <c r="AF96" s="48">
        <f t="shared" si="7"/>
        <v>1.2200228742454293</v>
      </c>
      <c r="AG96" s="49"/>
      <c r="AH96" s="49"/>
      <c r="AI96" s="51"/>
    </row>
    <row r="97" spans="1:35" x14ac:dyDescent="0.3">
      <c r="A97" s="20">
        <v>43977</v>
      </c>
      <c r="C97">
        <f>-(Historical_Simulation!B98-Historical_Simulation!B99)</f>
        <v>0.53999999999999204</v>
      </c>
      <c r="E97">
        <f>-(Historical_Simulation!C98-Historical_Simulation!C99)</f>
        <v>15.019999999999982</v>
      </c>
      <c r="G97">
        <f>-(Historical_Simulation!D98-Historical_Simulation!D99)</f>
        <v>2.710000000000008</v>
      </c>
      <c r="J97" s="23">
        <v>43979</v>
      </c>
      <c r="K97" s="24">
        <f t="shared" si="4"/>
        <v>4.9950334083932058</v>
      </c>
      <c r="L97" s="25"/>
      <c r="M97" s="25"/>
      <c r="N97" s="27"/>
      <c r="Q97" s="23">
        <v>43979</v>
      </c>
      <c r="R97" s="24">
        <f t="shared" si="5"/>
        <v>3.4129138608308676</v>
      </c>
      <c r="S97" s="25"/>
      <c r="T97" s="25"/>
      <c r="U97" s="27"/>
      <c r="X97" s="47">
        <v>43979</v>
      </c>
      <c r="Y97" s="48">
        <f t="shared" si="6"/>
        <v>20.7803820913478</v>
      </c>
      <c r="Z97" s="49"/>
      <c r="AA97" s="49"/>
      <c r="AB97" s="51"/>
      <c r="AE97" s="47">
        <v>43979</v>
      </c>
      <c r="AF97" s="48">
        <f t="shared" si="7"/>
        <v>14.476017018193787</v>
      </c>
      <c r="AG97" s="49"/>
      <c r="AH97" s="49"/>
      <c r="AI97" s="51"/>
    </row>
    <row r="98" spans="1:35" x14ac:dyDescent="0.3">
      <c r="A98" s="20">
        <v>43973</v>
      </c>
      <c r="C98">
        <f>-(Historical_Simulation!B99-Historical_Simulation!B100)</f>
        <v>-0.50999999999999091</v>
      </c>
      <c r="E98">
        <f>-(Historical_Simulation!C99-Historical_Simulation!C100)</f>
        <v>9.8599999999996726</v>
      </c>
      <c r="G98">
        <f>-(Historical_Simulation!D99-Historical_Simulation!D100)</f>
        <v>-3.5200000000000102</v>
      </c>
      <c r="J98" s="23">
        <v>43978</v>
      </c>
      <c r="K98" s="24">
        <f t="shared" si="4"/>
        <v>6.0281736965326784</v>
      </c>
      <c r="L98" s="25"/>
      <c r="M98" s="25"/>
      <c r="N98" s="27"/>
      <c r="Q98" s="23">
        <v>43978</v>
      </c>
      <c r="R98" s="24">
        <f t="shared" si="5"/>
        <v>4.0235900553048491</v>
      </c>
      <c r="S98" s="25"/>
      <c r="T98" s="25"/>
      <c r="U98" s="27"/>
      <c r="X98" s="47">
        <v>43978</v>
      </c>
      <c r="Y98" s="48">
        <f t="shared" si="6"/>
        <v>18.733432307143946</v>
      </c>
      <c r="Z98" s="49"/>
      <c r="AA98" s="49"/>
      <c r="AB98" s="51"/>
      <c r="AE98" s="47">
        <v>43978</v>
      </c>
      <c r="AF98" s="48">
        <f t="shared" si="7"/>
        <v>12.955138074549176</v>
      </c>
      <c r="AG98" s="49"/>
      <c r="AH98" s="49"/>
      <c r="AI98" s="51"/>
    </row>
    <row r="99" spans="1:35" x14ac:dyDescent="0.3">
      <c r="A99" s="20">
        <v>43972</v>
      </c>
      <c r="C99">
        <f>-(Historical_Simulation!B100-Historical_Simulation!B101)</f>
        <v>0.59499999999999886</v>
      </c>
      <c r="E99">
        <f>-(Historical_Simulation!C100-Historical_Simulation!C101)</f>
        <v>51.200000000000273</v>
      </c>
      <c r="G99">
        <f>-(Historical_Simulation!D100-Historical_Simulation!D101)</f>
        <v>-1.4199999999999875</v>
      </c>
      <c r="J99" s="23">
        <v>43977</v>
      </c>
      <c r="K99" s="24">
        <f t="shared" si="4"/>
        <v>8.3507113944808307</v>
      </c>
      <c r="L99" s="25"/>
      <c r="M99" s="25"/>
      <c r="N99" s="27"/>
      <c r="Q99" s="23">
        <v>43977</v>
      </c>
      <c r="R99" s="24">
        <f t="shared" si="5"/>
        <v>5.8939724080247737</v>
      </c>
      <c r="S99" s="25"/>
      <c r="T99" s="25"/>
      <c r="U99" s="27"/>
      <c r="X99" s="47">
        <v>43977</v>
      </c>
      <c r="Y99" s="48">
        <f t="shared" si="6"/>
        <v>12.698648489428084</v>
      </c>
      <c r="Z99" s="49"/>
      <c r="AA99" s="49"/>
      <c r="AB99" s="51"/>
      <c r="AE99" s="47">
        <v>43977</v>
      </c>
      <c r="AF99" s="48">
        <f t="shared" si="7"/>
        <v>9.0161526055130352</v>
      </c>
      <c r="AG99" s="49"/>
      <c r="AH99" s="49"/>
      <c r="AI99" s="51"/>
    </row>
    <row r="100" spans="1:35" x14ac:dyDescent="0.3">
      <c r="A100" s="20">
        <v>43971</v>
      </c>
      <c r="C100">
        <f>-(Historical_Simulation!B101-Historical_Simulation!B102)</f>
        <v>-1.522500000000008</v>
      </c>
      <c r="E100">
        <f>-(Historical_Simulation!C101-Historical_Simulation!C102)</f>
        <v>-48.610000000000127</v>
      </c>
      <c r="G100">
        <f>-(Historical_Simulation!D101-Historical_Simulation!D102)</f>
        <v>-13.090000000000003</v>
      </c>
      <c r="J100" s="23">
        <v>43973</v>
      </c>
      <c r="K100" s="24">
        <f t="shared" si="4"/>
        <v>5.0837207983952952</v>
      </c>
      <c r="L100" s="25"/>
      <c r="M100" s="25"/>
      <c r="N100" s="27"/>
      <c r="Q100" s="23">
        <v>43973</v>
      </c>
      <c r="R100" s="24">
        <f t="shared" si="5"/>
        <v>3.3243020629292372</v>
      </c>
      <c r="S100" s="25"/>
      <c r="T100" s="25"/>
      <c r="U100" s="27"/>
      <c r="X100" s="47">
        <v>43973</v>
      </c>
      <c r="Y100" s="48">
        <f t="shared" si="6"/>
        <v>-17.37522209823894</v>
      </c>
      <c r="Z100" s="49"/>
      <c r="AA100" s="49"/>
      <c r="AB100" s="51"/>
      <c r="AE100" s="47">
        <v>43973</v>
      </c>
      <c r="AF100" s="48">
        <f t="shared" si="7"/>
        <v>-12.26724393667936</v>
      </c>
      <c r="AG100" s="49"/>
      <c r="AH100" s="49"/>
      <c r="AI100" s="51"/>
    </row>
    <row r="101" spans="1:35" x14ac:dyDescent="0.3">
      <c r="A101" s="20">
        <v>43970</v>
      </c>
      <c r="C101">
        <f>-(Historical_Simulation!B102-Historical_Simulation!B103)</f>
        <v>0.45499999999999829</v>
      </c>
      <c r="E101">
        <f>-(Historical_Simulation!C102-Historical_Simulation!C103)</f>
        <v>-23.069999999999709</v>
      </c>
      <c r="G101">
        <f>-(Historical_Simulation!D102-Historical_Simulation!D103)</f>
        <v>-3.6899999999999977</v>
      </c>
      <c r="J101" s="23">
        <v>43972</v>
      </c>
      <c r="K101" s="24">
        <f t="shared" si="4"/>
        <v>27.892033847907822</v>
      </c>
      <c r="L101" s="25"/>
      <c r="M101" s="25"/>
      <c r="N101" s="27"/>
      <c r="Q101" s="23">
        <v>43972</v>
      </c>
      <c r="R101" s="24">
        <f t="shared" si="5"/>
        <v>19.306172217409927</v>
      </c>
      <c r="S101" s="25"/>
      <c r="T101" s="25"/>
      <c r="U101" s="27"/>
      <c r="X101" s="47">
        <v>43972</v>
      </c>
      <c r="Y101" s="48">
        <f t="shared" si="6"/>
        <v>-10.695173597325928</v>
      </c>
      <c r="Z101" s="49"/>
      <c r="AA101" s="49"/>
      <c r="AB101" s="51"/>
      <c r="AE101" s="47">
        <v>43972</v>
      </c>
      <c r="AF101" s="48">
        <f t="shared" si="7"/>
        <v>-7.2757131336905729</v>
      </c>
      <c r="AG101" s="49"/>
      <c r="AH101" s="49"/>
      <c r="AI101" s="51"/>
    </row>
    <row r="102" spans="1:35" x14ac:dyDescent="0.3">
      <c r="A102" s="20">
        <v>43969</v>
      </c>
      <c r="C102">
        <f>-(Historical_Simulation!B103-Historical_Simulation!B104)</f>
        <v>-1.8125</v>
      </c>
      <c r="E102">
        <f>-(Historical_Simulation!C103-Historical_Simulation!C104)</f>
        <v>-16.480000000000018</v>
      </c>
      <c r="G102">
        <f>-(Historical_Simulation!D103-Historical_Simulation!D104)</f>
        <v>-2.3100000000000023</v>
      </c>
      <c r="J102" s="23">
        <v>43971</v>
      </c>
      <c r="K102" s="24">
        <f t="shared" si="4"/>
        <v>-26.922145910747091</v>
      </c>
      <c r="L102" s="25"/>
      <c r="M102" s="25"/>
      <c r="N102" s="27"/>
      <c r="Q102" s="23">
        <v>43971</v>
      </c>
      <c r="R102" s="24">
        <f t="shared" si="5"/>
        <v>-18.933078436662143</v>
      </c>
      <c r="S102" s="25"/>
      <c r="T102" s="25"/>
      <c r="U102" s="27"/>
      <c r="X102" s="47">
        <v>43971</v>
      </c>
      <c r="Y102" s="48">
        <f t="shared" si="6"/>
        <v>-66.335940737999252</v>
      </c>
      <c r="Z102" s="49"/>
      <c r="AA102" s="49"/>
      <c r="AB102" s="51"/>
      <c r="AE102" s="47">
        <v>43971</v>
      </c>
      <c r="AF102" s="48">
        <f t="shared" si="7"/>
        <v>-46.705861872936119</v>
      </c>
      <c r="AG102" s="49"/>
      <c r="AH102" s="49"/>
      <c r="AI102" s="51"/>
    </row>
    <row r="103" spans="1:35" x14ac:dyDescent="0.3">
      <c r="A103" s="20">
        <v>43966</v>
      </c>
      <c r="C103">
        <f>-(Historical_Simulation!B104-Historical_Simulation!B105)</f>
        <v>0.45750000000001023</v>
      </c>
      <c r="E103">
        <f>-(Historical_Simulation!C104-Historical_Simulation!C105)</f>
        <v>-20.930000000000291</v>
      </c>
      <c r="G103">
        <f>-(Historical_Simulation!D104-Historical_Simulation!D105)</f>
        <v>-4.0699999999999932</v>
      </c>
      <c r="J103" s="23">
        <v>43970</v>
      </c>
      <c r="K103" s="24">
        <f t="shared" si="4"/>
        <v>-12.234708947179533</v>
      </c>
      <c r="L103" s="25"/>
      <c r="M103" s="25"/>
      <c r="N103" s="27"/>
      <c r="Q103" s="23">
        <v>43970</v>
      </c>
      <c r="R103" s="24">
        <f t="shared" si="5"/>
        <v>-8.2433564156617081</v>
      </c>
      <c r="S103" s="25"/>
      <c r="T103" s="25"/>
      <c r="U103" s="27"/>
      <c r="X103" s="47">
        <v>43970</v>
      </c>
      <c r="Y103" s="48">
        <f t="shared" si="6"/>
        <v>-22.769699533953467</v>
      </c>
      <c r="Z103" s="49"/>
      <c r="AA103" s="49"/>
      <c r="AB103" s="51"/>
      <c r="AE103" s="47">
        <v>43970</v>
      </c>
      <c r="AF103" s="48">
        <f t="shared" si="7"/>
        <v>-15.735623294862338</v>
      </c>
      <c r="AG103" s="49"/>
      <c r="AH103" s="49"/>
      <c r="AI103" s="51"/>
    </row>
    <row r="104" spans="1:35" x14ac:dyDescent="0.3">
      <c r="A104" s="20">
        <v>43965</v>
      </c>
      <c r="C104">
        <f>-(Historical_Simulation!B105-Historical_Simulation!B106)</f>
        <v>-0.4725000000000108</v>
      </c>
      <c r="E104">
        <f>-(Historical_Simulation!C105-Historical_Simulation!C106)</f>
        <v>-20.929999999999836</v>
      </c>
      <c r="G104">
        <f>-(Historical_Simulation!D105-Historical_Simulation!D106)</f>
        <v>-1.710000000000008</v>
      </c>
      <c r="J104" s="23">
        <v>43969</v>
      </c>
      <c r="K104" s="24">
        <f t="shared" si="4"/>
        <v>-9.7243514764190557</v>
      </c>
      <c r="L104" s="25"/>
      <c r="M104" s="25"/>
      <c r="N104" s="27"/>
      <c r="Q104" s="23">
        <v>43969</v>
      </c>
      <c r="R104" s="24">
        <f t="shared" si="5"/>
        <v>-7.2358004347171017</v>
      </c>
      <c r="S104" s="25"/>
      <c r="T104" s="25"/>
      <c r="U104" s="27"/>
      <c r="X104" s="47">
        <v>43969</v>
      </c>
      <c r="Y104" s="48">
        <f t="shared" si="6"/>
        <v>-4.6000242504564319</v>
      </c>
      <c r="Z104" s="49"/>
      <c r="AA104" s="49"/>
      <c r="AB104" s="51"/>
      <c r="AE104" s="47">
        <v>43969</v>
      </c>
      <c r="AF104" s="48">
        <f t="shared" si="7"/>
        <v>-3.7557654014943447</v>
      </c>
      <c r="AG104" s="49"/>
      <c r="AH104" s="49"/>
      <c r="AI104" s="51"/>
    </row>
    <row r="105" spans="1:35" x14ac:dyDescent="0.3">
      <c r="A105" s="20">
        <v>43964</v>
      </c>
      <c r="C105">
        <f>-(Historical_Simulation!B106-Historical_Simulation!B107)</f>
        <v>0.94000000000001194</v>
      </c>
      <c r="E105">
        <f>-(Historical_Simulation!C106-Historical_Simulation!C107)</f>
        <v>-10.970000000000255</v>
      </c>
      <c r="G105">
        <f>-(Historical_Simulation!D106-Historical_Simulation!D107)</f>
        <v>5</v>
      </c>
      <c r="J105" s="23">
        <v>43966</v>
      </c>
      <c r="K105" s="24">
        <f t="shared" si="4"/>
        <v>-11.079212013084343</v>
      </c>
      <c r="L105" s="25"/>
      <c r="M105" s="25"/>
      <c r="N105" s="27"/>
      <c r="Q105" s="23">
        <v>43966</v>
      </c>
      <c r="R105" s="24">
        <f t="shared" si="5"/>
        <v>-7.4505169113695828</v>
      </c>
      <c r="S105" s="25"/>
      <c r="T105" s="25"/>
      <c r="U105" s="27"/>
      <c r="X105" s="47">
        <v>43966</v>
      </c>
      <c r="Y105" s="48">
        <f t="shared" si="6"/>
        <v>-24.910371445108435</v>
      </c>
      <c r="Z105" s="49"/>
      <c r="AA105" s="49"/>
      <c r="AB105" s="51"/>
      <c r="AE105" s="47">
        <v>43966</v>
      </c>
      <c r="AF105" s="48">
        <f t="shared" si="7"/>
        <v>-17.227191668875587</v>
      </c>
      <c r="AG105" s="49"/>
      <c r="AH105" s="49"/>
      <c r="AI105" s="51"/>
    </row>
    <row r="106" spans="1:35" x14ac:dyDescent="0.3">
      <c r="A106" s="20">
        <v>43963</v>
      </c>
      <c r="C106">
        <f>-(Historical_Simulation!B107-Historical_Simulation!B108)</f>
        <v>0.89999999999999147</v>
      </c>
      <c r="E106">
        <f>-(Historical_Simulation!C107-Historical_Simulation!C108)</f>
        <v>52.050000000000182</v>
      </c>
      <c r="G106">
        <f>-(Historical_Simulation!D107-Historical_Simulation!D108)</f>
        <v>3.0800000000000125</v>
      </c>
      <c r="J106" s="23">
        <v>43965</v>
      </c>
      <c r="K106" s="24">
        <f t="shared" si="4"/>
        <v>-11.507557206670626</v>
      </c>
      <c r="L106" s="25"/>
      <c r="M106" s="25"/>
      <c r="N106" s="27"/>
      <c r="Q106" s="23">
        <v>43965</v>
      </c>
      <c r="R106" s="24">
        <f t="shared" si="5"/>
        <v>-8.0366498989755701</v>
      </c>
      <c r="S106" s="25"/>
      <c r="T106" s="25"/>
      <c r="U106" s="27"/>
      <c r="X106" s="47">
        <v>43965</v>
      </c>
      <c r="Y106" s="48">
        <f t="shared" si="6"/>
        <v>-7.4062914772659632</v>
      </c>
      <c r="Z106" s="49"/>
      <c r="AA106" s="49"/>
      <c r="AB106" s="51"/>
      <c r="AE106" s="47">
        <v>43965</v>
      </c>
      <c r="AF106" s="48">
        <f t="shared" si="7"/>
        <v>-5.3062506218075178</v>
      </c>
      <c r="AG106" s="49"/>
      <c r="AH106" s="49"/>
      <c r="AI106" s="51"/>
    </row>
    <row r="107" spans="1:35" x14ac:dyDescent="0.3">
      <c r="A107" s="20">
        <v>43962</v>
      </c>
      <c r="C107">
        <f>-(Historical_Simulation!B108-Historical_Simulation!B109)</f>
        <v>-1.2201000000000022</v>
      </c>
      <c r="E107">
        <f>-(Historical_Simulation!C108-Historical_Simulation!C109)</f>
        <v>-29.389999999999873</v>
      </c>
      <c r="G107">
        <f>-(Historical_Simulation!D108-Historical_Simulation!D109)</f>
        <v>-0.83000000000001251</v>
      </c>
      <c r="J107" s="23">
        <v>43964</v>
      </c>
      <c r="K107" s="24">
        <f t="shared" si="4"/>
        <v>-5.4844180047146942</v>
      </c>
      <c r="L107" s="25"/>
      <c r="M107" s="25"/>
      <c r="N107" s="27"/>
      <c r="Q107" s="23">
        <v>43964</v>
      </c>
      <c r="R107" s="24">
        <f t="shared" si="5"/>
        <v>-3.4637162554956111</v>
      </c>
      <c r="S107" s="25"/>
      <c r="T107" s="25"/>
      <c r="U107" s="27"/>
      <c r="X107" s="47">
        <v>43964</v>
      </c>
      <c r="Y107" s="48">
        <f t="shared" si="6"/>
        <v>23.688439109252339</v>
      </c>
      <c r="Z107" s="49"/>
      <c r="AA107" s="49"/>
      <c r="AB107" s="51"/>
      <c r="AE107" s="47">
        <v>43964</v>
      </c>
      <c r="AF107" s="48">
        <f t="shared" si="7"/>
        <v>16.798608100637153</v>
      </c>
      <c r="AG107" s="49"/>
      <c r="AH107" s="49"/>
      <c r="AI107" s="51"/>
    </row>
    <row r="108" spans="1:35" x14ac:dyDescent="0.3">
      <c r="A108" s="20">
        <v>43959</v>
      </c>
      <c r="C108">
        <f>-(Historical_Simulation!B109-Historical_Simulation!B110)</f>
        <v>-1.5973999999999933</v>
      </c>
      <c r="E108">
        <f>-(Historical_Simulation!C109-Historical_Simulation!C110)</f>
        <v>-12</v>
      </c>
      <c r="G108">
        <f>-(Historical_Simulation!D109-Historical_Simulation!D110)</f>
        <v>-1.0900000000000034</v>
      </c>
      <c r="J108" s="23">
        <v>43963</v>
      </c>
      <c r="K108" s="24">
        <f t="shared" si="4"/>
        <v>28.49101435274148</v>
      </c>
      <c r="L108" s="25"/>
      <c r="M108" s="25"/>
      <c r="N108" s="27"/>
      <c r="Q108" s="23">
        <v>43963</v>
      </c>
      <c r="R108" s="24">
        <f t="shared" si="5"/>
        <v>19.812685681662199</v>
      </c>
      <c r="S108" s="25"/>
      <c r="T108" s="25"/>
      <c r="U108" s="27"/>
      <c r="X108" s="47">
        <v>43963</v>
      </c>
      <c r="Y108" s="48">
        <f t="shared" si="6"/>
        <v>13.114679127628239</v>
      </c>
      <c r="Z108" s="49"/>
      <c r="AA108" s="49"/>
      <c r="AB108" s="51"/>
      <c r="AE108" s="47">
        <v>43963</v>
      </c>
      <c r="AF108" s="48">
        <f t="shared" si="7"/>
        <v>9.4152132165983673</v>
      </c>
      <c r="AG108" s="49"/>
      <c r="AH108" s="49"/>
      <c r="AI108" s="51"/>
    </row>
    <row r="109" spans="1:35" x14ac:dyDescent="0.3">
      <c r="A109" s="20">
        <v>43958</v>
      </c>
      <c r="C109">
        <f>-(Historical_Simulation!B110-Historical_Simulation!B111)</f>
        <v>-0.77750000000000341</v>
      </c>
      <c r="E109">
        <f>-(Historical_Simulation!C110-Historical_Simulation!C111)</f>
        <v>-16.349999999999909</v>
      </c>
      <c r="G109">
        <f>-(Historical_Simulation!D110-Historical_Simulation!D111)</f>
        <v>-2.789999999999992</v>
      </c>
      <c r="J109" s="23">
        <v>43962</v>
      </c>
      <c r="K109" s="24">
        <f t="shared" si="4"/>
        <v>-16.4153319690183</v>
      </c>
      <c r="L109" s="25"/>
      <c r="M109" s="25"/>
      <c r="N109" s="27"/>
      <c r="Q109" s="23">
        <v>43962</v>
      </c>
      <c r="R109" s="24">
        <f t="shared" si="5"/>
        <v>-11.635905755305023</v>
      </c>
      <c r="S109" s="25"/>
      <c r="T109" s="25"/>
      <c r="U109" s="27"/>
      <c r="X109" s="47">
        <v>43962</v>
      </c>
      <c r="Y109" s="48">
        <f t="shared" si="6"/>
        <v>0.96565519618697415</v>
      </c>
      <c r="Z109" s="49"/>
      <c r="AA109" s="49"/>
      <c r="AB109" s="51"/>
      <c r="AE109" s="47">
        <v>43962</v>
      </c>
      <c r="AF109" s="48">
        <f t="shared" si="7"/>
        <v>0.30365443843802842</v>
      </c>
      <c r="AG109" s="49"/>
      <c r="AH109" s="49"/>
      <c r="AI109" s="51"/>
    </row>
    <row r="110" spans="1:35" x14ac:dyDescent="0.3">
      <c r="A110" s="20">
        <v>43957</v>
      </c>
      <c r="C110">
        <f>-(Historical_Simulation!B111-Historical_Simulation!B112)</f>
        <v>-0.76749999999999829</v>
      </c>
      <c r="E110">
        <f>-(Historical_Simulation!C111-Historical_Simulation!C112)</f>
        <v>-33.460000000000036</v>
      </c>
      <c r="G110">
        <f>-(Historical_Simulation!D111-Historical_Simulation!D112)</f>
        <v>-1.4000000000000057</v>
      </c>
      <c r="J110" s="23">
        <v>43959</v>
      </c>
      <c r="K110" s="24">
        <f t="shared" si="4"/>
        <v>-7.2087056873084521</v>
      </c>
      <c r="L110" s="25"/>
      <c r="M110" s="25"/>
      <c r="N110" s="27"/>
      <c r="Q110" s="23">
        <v>43959</v>
      </c>
      <c r="R110" s="24">
        <f t="shared" si="5"/>
        <v>-5.4437558958369179</v>
      </c>
      <c r="S110" s="25"/>
      <c r="T110" s="25"/>
      <c r="U110" s="27"/>
      <c r="X110" s="47">
        <v>43959</v>
      </c>
      <c r="Y110" s="48">
        <f t="shared" si="6"/>
        <v>1.2455945822744976</v>
      </c>
      <c r="Z110" s="49"/>
      <c r="AA110" s="49"/>
      <c r="AB110" s="51"/>
      <c r="AE110" s="47">
        <v>43959</v>
      </c>
      <c r="AF110" s="48">
        <f t="shared" si="7"/>
        <v>0.38453540646876228</v>
      </c>
      <c r="AG110" s="49"/>
      <c r="AH110" s="49"/>
      <c r="AI110" s="51"/>
    </row>
    <row r="111" spans="1:35" x14ac:dyDescent="0.3">
      <c r="A111" s="20">
        <v>43956</v>
      </c>
      <c r="C111">
        <f>-(Historical_Simulation!B112-Historical_Simulation!B113)</f>
        <v>-1.0999999999999943</v>
      </c>
      <c r="E111">
        <f>-(Historical_Simulation!C112-Historical_Simulation!C113)</f>
        <v>-1.8100000000004002</v>
      </c>
      <c r="G111">
        <f>-(Historical_Simulation!D112-Historical_Simulation!D113)</f>
        <v>-1.8100000000000023</v>
      </c>
      <c r="J111" s="23">
        <v>43958</v>
      </c>
      <c r="K111" s="24">
        <f t="shared" si="4"/>
        <v>-9.1775209385740517</v>
      </c>
      <c r="L111" s="25"/>
      <c r="M111" s="25"/>
      <c r="N111" s="27"/>
      <c r="Q111" s="23">
        <v>43958</v>
      </c>
      <c r="R111" s="24">
        <f t="shared" si="5"/>
        <v>-6.5354237102186126</v>
      </c>
      <c r="S111" s="25"/>
      <c r="T111" s="25"/>
      <c r="U111" s="27"/>
      <c r="X111" s="47">
        <v>43958</v>
      </c>
      <c r="Y111" s="48">
        <f t="shared" si="6"/>
        <v>-12.053665937775909</v>
      </c>
      <c r="Z111" s="49"/>
      <c r="AA111" s="49"/>
      <c r="AB111" s="51"/>
      <c r="AE111" s="47">
        <v>43958</v>
      </c>
      <c r="AF111" s="48">
        <f t="shared" si="7"/>
        <v>-8.6384479809192563</v>
      </c>
      <c r="AG111" s="49"/>
      <c r="AH111" s="49"/>
      <c r="AI111" s="51"/>
    </row>
    <row r="112" spans="1:35" x14ac:dyDescent="0.3">
      <c r="A112" s="20">
        <v>43955</v>
      </c>
      <c r="C112">
        <f>-(Historical_Simulation!B113-Historical_Simulation!B114)</f>
        <v>-1.022500000000008</v>
      </c>
      <c r="E112">
        <f>-(Historical_Simulation!C113-Historical_Simulation!C114)</f>
        <v>-29.949999999999818</v>
      </c>
      <c r="G112">
        <f>-(Historical_Simulation!D113-Historical_Simulation!D114)</f>
        <v>-2.9899999999999807</v>
      </c>
      <c r="J112" s="23">
        <v>43957</v>
      </c>
      <c r="K112" s="24">
        <f t="shared" si="4"/>
        <v>-18.402284686744842</v>
      </c>
      <c r="L112" s="25"/>
      <c r="M112" s="25"/>
      <c r="N112" s="27"/>
      <c r="Q112" s="23">
        <v>43957</v>
      </c>
      <c r="R112" s="24">
        <f t="shared" si="5"/>
        <v>-12.855534734071163</v>
      </c>
      <c r="S112" s="25"/>
      <c r="T112" s="25"/>
      <c r="U112" s="27"/>
      <c r="X112" s="47">
        <v>43957</v>
      </c>
      <c r="Y112" s="48">
        <f t="shared" si="6"/>
        <v>-4.3114378661582009</v>
      </c>
      <c r="Z112" s="49"/>
      <c r="AA112" s="49"/>
      <c r="AB112" s="51"/>
      <c r="AE112" s="47">
        <v>43957</v>
      </c>
      <c r="AF112" s="48">
        <f t="shared" si="7"/>
        <v>-3.2380836511460913</v>
      </c>
      <c r="AG112" s="49"/>
      <c r="AH112" s="49"/>
      <c r="AI112" s="51"/>
    </row>
    <row r="113" spans="1:35" x14ac:dyDescent="0.3">
      <c r="A113" s="20">
        <v>43952</v>
      </c>
      <c r="C113">
        <f>-(Historical_Simulation!B114-Historical_Simulation!B115)</f>
        <v>1.1825000000000045</v>
      </c>
      <c r="E113">
        <f>-(Historical_Simulation!C114-Historical_Simulation!C115)</f>
        <v>187.96000000000004</v>
      </c>
      <c r="G113">
        <f>-(Historical_Simulation!D114-Historical_Simulation!D115)</f>
        <v>2.4399999999999977</v>
      </c>
      <c r="J113" s="23">
        <v>43956</v>
      </c>
      <c r="K113" s="24">
        <f t="shared" si="4"/>
        <v>-1.4829837769395364</v>
      </c>
      <c r="L113" s="25"/>
      <c r="M113" s="25"/>
      <c r="N113" s="27"/>
      <c r="Q113" s="23">
        <v>43956</v>
      </c>
      <c r="R113" s="24">
        <f t="shared" si="5"/>
        <v>-1.3625221277416912</v>
      </c>
      <c r="S113" s="25"/>
      <c r="T113" s="25"/>
      <c r="U113" s="27"/>
      <c r="X113" s="47">
        <v>43956</v>
      </c>
      <c r="Y113" s="48">
        <f t="shared" si="6"/>
        <v>-5.0781753122092015</v>
      </c>
      <c r="Z113" s="49"/>
      <c r="AA113" s="49"/>
      <c r="AB113" s="51"/>
      <c r="AE113" s="47">
        <v>43956</v>
      </c>
      <c r="AF113" s="48">
        <f t="shared" si="7"/>
        <v>-3.873303387057268</v>
      </c>
      <c r="AG113" s="49"/>
      <c r="AH113" s="49"/>
      <c r="AI113" s="51"/>
    </row>
    <row r="114" spans="1:35" x14ac:dyDescent="0.3">
      <c r="A114" s="20">
        <v>43951</v>
      </c>
      <c r="C114">
        <f>-(Historical_Simulation!B115-Historical_Simulation!B116)</f>
        <v>-1.5174999999999983</v>
      </c>
      <c r="E114">
        <f>-(Historical_Simulation!C115-Historical_Simulation!C116)</f>
        <v>-101.28999999999996</v>
      </c>
      <c r="G114">
        <f>-(Historical_Simulation!D115-Historical_Simulation!D116)</f>
        <v>-10.52000000000001</v>
      </c>
      <c r="J114" s="23">
        <v>43955</v>
      </c>
      <c r="K114" s="24">
        <f t="shared" si="4"/>
        <v>-16.62639184142564</v>
      </c>
      <c r="L114" s="25"/>
      <c r="M114" s="25"/>
      <c r="N114" s="27"/>
      <c r="Q114" s="23">
        <v>43955</v>
      </c>
      <c r="R114" s="24">
        <f t="shared" si="5"/>
        <v>-11.718427958089507</v>
      </c>
      <c r="S114" s="25"/>
      <c r="T114" s="25"/>
      <c r="U114" s="27"/>
      <c r="X114" s="47">
        <v>43955</v>
      </c>
      <c r="Y114" s="48">
        <f t="shared" si="6"/>
        <v>-12.046528065875247</v>
      </c>
      <c r="Z114" s="49"/>
      <c r="AA114" s="49"/>
      <c r="AB114" s="51"/>
      <c r="AE114" s="47">
        <v>43955</v>
      </c>
      <c r="AF114" s="48">
        <f t="shared" si="7"/>
        <v>-8.707675231035287</v>
      </c>
      <c r="AG114" s="49"/>
      <c r="AH114" s="49"/>
      <c r="AI114" s="51"/>
    </row>
    <row r="115" spans="1:35" x14ac:dyDescent="0.3">
      <c r="A115" s="20">
        <v>43950</v>
      </c>
      <c r="C115">
        <f>-(Historical_Simulation!B116-Historical_Simulation!B117)</f>
        <v>-2.2875000000000085</v>
      </c>
      <c r="E115">
        <f>-(Historical_Simulation!C116-Historical_Simulation!C117)</f>
        <v>-58.630000000000109</v>
      </c>
      <c r="G115">
        <f>-(Historical_Simulation!D116-Historical_Simulation!D117)</f>
        <v>-11.280000000000001</v>
      </c>
      <c r="J115" s="23">
        <v>43952</v>
      </c>
      <c r="K115" s="24">
        <f t="shared" si="4"/>
        <v>101.93285548913305</v>
      </c>
      <c r="L115" s="25"/>
      <c r="M115" s="25"/>
      <c r="N115" s="27"/>
      <c r="Q115" s="23">
        <v>43952</v>
      </c>
      <c r="R115" s="24">
        <f t="shared" si="5"/>
        <v>70.243382696122197</v>
      </c>
      <c r="S115" s="25"/>
      <c r="T115" s="25"/>
      <c r="U115" s="27"/>
      <c r="X115" s="47">
        <v>43952</v>
      </c>
      <c r="Y115" s="48">
        <f t="shared" si="6"/>
        <v>8.2283527536661936</v>
      </c>
      <c r="Z115" s="49"/>
      <c r="AA115" s="49"/>
      <c r="AB115" s="51"/>
      <c r="AE115" s="47">
        <v>43952</v>
      </c>
      <c r="AF115" s="48">
        <f t="shared" si="7"/>
        <v>6.0943718439781218</v>
      </c>
      <c r="AG115" s="49"/>
      <c r="AH115" s="49"/>
      <c r="AI115" s="51"/>
    </row>
    <row r="116" spans="1:35" x14ac:dyDescent="0.3">
      <c r="A116" s="20">
        <v>43949</v>
      </c>
      <c r="C116">
        <f>-(Historical_Simulation!B117-Historical_Simulation!B118)</f>
        <v>1.147500000000008</v>
      </c>
      <c r="E116">
        <f>-(Historical_Simulation!C117-Historical_Simulation!C118)</f>
        <v>61.920000000000073</v>
      </c>
      <c r="G116">
        <f>-(Historical_Simulation!D117-Historical_Simulation!D118)</f>
        <v>4.5900000000000034</v>
      </c>
      <c r="J116" s="23">
        <v>43951</v>
      </c>
      <c r="K116" s="24">
        <f t="shared" si="4"/>
        <v>-55.336160400955791</v>
      </c>
      <c r="L116" s="25"/>
      <c r="M116" s="25"/>
      <c r="N116" s="27"/>
      <c r="Q116" s="23">
        <v>43951</v>
      </c>
      <c r="R116" s="24">
        <f t="shared" si="5"/>
        <v>-38.408329563511927</v>
      </c>
      <c r="S116" s="25"/>
      <c r="T116" s="25"/>
      <c r="U116" s="27"/>
      <c r="X116" s="47">
        <v>43951</v>
      </c>
      <c r="Y116" s="48">
        <f t="shared" si="6"/>
        <v>-51.959082039666235</v>
      </c>
      <c r="Z116" s="49"/>
      <c r="AA116" s="49"/>
      <c r="AB116" s="51"/>
      <c r="AE116" s="47">
        <v>43951</v>
      </c>
      <c r="AF116" s="48">
        <f t="shared" si="7"/>
        <v>-36.681815129553314</v>
      </c>
      <c r="AG116" s="49"/>
      <c r="AH116" s="49"/>
      <c r="AI116" s="51"/>
    </row>
    <row r="117" spans="1:35" x14ac:dyDescent="0.3">
      <c r="A117" s="20">
        <v>43948</v>
      </c>
      <c r="C117">
        <f>-(Historical_Simulation!B118-Historical_Simulation!B119)</f>
        <v>-4.9999999999997158E-2</v>
      </c>
      <c r="E117">
        <f>-(Historical_Simulation!C118-Historical_Simulation!C119)</f>
        <v>34.2199999999998</v>
      </c>
      <c r="G117">
        <f>-(Historical_Simulation!D118-Historical_Simulation!D119)</f>
        <v>2.5699999999999932</v>
      </c>
      <c r="J117" s="23">
        <v>43950</v>
      </c>
      <c r="K117" s="24">
        <f t="shared" si="4"/>
        <v>-32.679420355216706</v>
      </c>
      <c r="L117" s="25"/>
      <c r="M117" s="25"/>
      <c r="N117" s="27"/>
      <c r="Q117" s="23">
        <v>43950</v>
      </c>
      <c r="R117" s="24">
        <f t="shared" si="5"/>
        <v>-23.120109834194551</v>
      </c>
      <c r="S117" s="25"/>
      <c r="T117" s="25"/>
      <c r="U117" s="27"/>
      <c r="X117" s="47">
        <v>43950</v>
      </c>
      <c r="Y117" s="48">
        <f t="shared" si="6"/>
        <v>-52.673051401466005</v>
      </c>
      <c r="Z117" s="49"/>
      <c r="AA117" s="49"/>
      <c r="AB117" s="51"/>
      <c r="AE117" s="47">
        <v>43950</v>
      </c>
      <c r="AF117" s="48">
        <f t="shared" si="7"/>
        <v>-37.412754518467942</v>
      </c>
      <c r="AG117" s="49"/>
      <c r="AH117" s="49"/>
      <c r="AI117" s="51"/>
    </row>
    <row r="118" spans="1:35" x14ac:dyDescent="0.3">
      <c r="A118" s="20">
        <v>43945</v>
      </c>
      <c r="C118">
        <f>-(Historical_Simulation!B119-Historical_Simulation!B120)</f>
        <v>-1.9850000000000136</v>
      </c>
      <c r="E118">
        <f>-(Historical_Simulation!C119-Historical_Simulation!C120)</f>
        <v>-10.769999999999982</v>
      </c>
      <c r="G118">
        <f>-(Historical_Simulation!D119-Historical_Simulation!D120)</f>
        <v>-4.9399999999999977</v>
      </c>
      <c r="J118" s="23">
        <v>43949</v>
      </c>
      <c r="K118" s="24">
        <f t="shared" si="4"/>
        <v>33.929023357809932</v>
      </c>
      <c r="L118" s="25"/>
      <c r="M118" s="25"/>
      <c r="N118" s="27"/>
      <c r="Q118" s="23">
        <v>43949</v>
      </c>
      <c r="R118" s="24">
        <f t="shared" si="5"/>
        <v>23.618100011511515</v>
      </c>
      <c r="S118" s="25"/>
      <c r="T118" s="25"/>
      <c r="U118" s="27"/>
      <c r="X118" s="47">
        <v>43949</v>
      </c>
      <c r="Y118" s="48">
        <f t="shared" si="6"/>
        <v>20.436047200394405</v>
      </c>
      <c r="Z118" s="49"/>
      <c r="AA118" s="49"/>
      <c r="AB118" s="51"/>
      <c r="AE118" s="47">
        <v>43949</v>
      </c>
      <c r="AF118" s="48">
        <f t="shared" si="7"/>
        <v>14.594115366119084</v>
      </c>
      <c r="AG118" s="49"/>
      <c r="AH118" s="49"/>
      <c r="AI118" s="51"/>
    </row>
    <row r="119" spans="1:35" x14ac:dyDescent="0.3">
      <c r="A119" s="20">
        <v>43944</v>
      </c>
      <c r="C119">
        <f>-(Historical_Simulation!B120-Historical_Simulation!B121)</f>
        <v>0.26750000000001251</v>
      </c>
      <c r="E119">
        <f>-(Historical_Simulation!C120-Historical_Simulation!C121)</f>
        <v>-35.960000000000036</v>
      </c>
      <c r="G119">
        <f>-(Historical_Simulation!D120-Historical_Simulation!D121)</f>
        <v>-2.8499999999999943</v>
      </c>
      <c r="J119" s="23">
        <v>43948</v>
      </c>
      <c r="K119" s="24">
        <f t="shared" si="4"/>
        <v>18.43570990945145</v>
      </c>
      <c r="L119" s="25"/>
      <c r="M119" s="25"/>
      <c r="N119" s="27"/>
      <c r="Q119" s="23">
        <v>43948</v>
      </c>
      <c r="R119" s="24">
        <f t="shared" si="5"/>
        <v>12.621314531975715</v>
      </c>
      <c r="S119" s="25"/>
      <c r="T119" s="25"/>
      <c r="U119" s="27"/>
      <c r="X119" s="47">
        <v>43948</v>
      </c>
      <c r="Y119" s="48">
        <f t="shared" si="6"/>
        <v>14.630027208433757</v>
      </c>
      <c r="Z119" s="49"/>
      <c r="AA119" s="49"/>
      <c r="AB119" s="51"/>
      <c r="AE119" s="47">
        <v>43948</v>
      </c>
      <c r="AF119" s="48">
        <f t="shared" si="7"/>
        <v>10.183880104352042</v>
      </c>
      <c r="AG119" s="49"/>
      <c r="AH119" s="49"/>
      <c r="AI119" s="51"/>
    </row>
    <row r="120" spans="1:35" x14ac:dyDescent="0.3">
      <c r="A120" s="20">
        <v>43943</v>
      </c>
      <c r="C120">
        <f>-(Historical_Simulation!B121-Historical_Simulation!B122)</f>
        <v>-1.9325000000000045</v>
      </c>
      <c r="E120">
        <f>-(Historical_Simulation!C121-Historical_Simulation!C122)</f>
        <v>-35.369999999999891</v>
      </c>
      <c r="G120">
        <f>-(Historical_Simulation!D121-Historical_Simulation!D122)</f>
        <v>-11.47999999999999</v>
      </c>
      <c r="J120" s="23">
        <v>43945</v>
      </c>
      <c r="K120" s="24">
        <f t="shared" si="4"/>
        <v>-6.7237499724111993</v>
      </c>
      <c r="L120" s="25"/>
      <c r="M120" s="25"/>
      <c r="N120" s="27"/>
      <c r="Q120" s="23">
        <v>43945</v>
      </c>
      <c r="R120" s="24">
        <f t="shared" si="5"/>
        <v>-5.2332491439570283</v>
      </c>
      <c r="S120" s="25"/>
      <c r="T120" s="25"/>
      <c r="U120" s="27"/>
      <c r="X120" s="47">
        <v>43945</v>
      </c>
      <c r="Y120" s="48">
        <f t="shared" si="6"/>
        <v>-18.54205358813806</v>
      </c>
      <c r="Z120" s="49"/>
      <c r="AA120" s="49"/>
      <c r="AB120" s="51"/>
      <c r="AE120" s="47">
        <v>43945</v>
      </c>
      <c r="AF120" s="48">
        <f t="shared" si="7"/>
        <v>-13.527410575710025</v>
      </c>
      <c r="AG120" s="49"/>
      <c r="AH120" s="49"/>
      <c r="AI120" s="51"/>
    </row>
    <row r="121" spans="1:35" x14ac:dyDescent="0.3">
      <c r="A121" s="20">
        <v>43942</v>
      </c>
      <c r="C121">
        <f>-(Historical_Simulation!B122-Historical_Simulation!B123)</f>
        <v>2.1400000000000006</v>
      </c>
      <c r="E121">
        <f>-(Historical_Simulation!C122-Historical_Simulation!C123)</f>
        <v>65.490000000000236</v>
      </c>
      <c r="G121">
        <f>-(Historical_Simulation!D122-Historical_Simulation!D123)</f>
        <v>7.4399999999999977</v>
      </c>
      <c r="J121" s="23">
        <v>43944</v>
      </c>
      <c r="K121" s="24">
        <f t="shared" si="4"/>
        <v>-19.274112364886395</v>
      </c>
      <c r="L121" s="25"/>
      <c r="M121" s="25"/>
      <c r="N121" s="27"/>
      <c r="Q121" s="23">
        <v>43944</v>
      </c>
      <c r="R121" s="24">
        <f t="shared" si="5"/>
        <v>-13.127599130643508</v>
      </c>
      <c r="S121" s="25"/>
      <c r="T121" s="25"/>
      <c r="U121" s="27"/>
      <c r="X121" s="47">
        <v>43944</v>
      </c>
      <c r="Y121" s="48">
        <f t="shared" si="6"/>
        <v>-17.200051458890258</v>
      </c>
      <c r="Z121" s="49"/>
      <c r="AA121" s="49"/>
      <c r="AB121" s="51"/>
      <c r="AE121" s="47">
        <v>43944</v>
      </c>
      <c r="AF121" s="48">
        <f t="shared" si="7"/>
        <v>-11.909645505846427</v>
      </c>
      <c r="AG121" s="49"/>
      <c r="AH121" s="49"/>
      <c r="AI121" s="51"/>
    </row>
    <row r="122" spans="1:35" x14ac:dyDescent="0.3">
      <c r="A122" s="20">
        <v>43941</v>
      </c>
      <c r="C122">
        <f>-(Historical_Simulation!B123-Historical_Simulation!B124)</f>
        <v>1.4675000000000011</v>
      </c>
      <c r="E122">
        <f>-(Historical_Simulation!C123-Historical_Simulation!C124)</f>
        <v>-18.610000000000127</v>
      </c>
      <c r="G122">
        <f>-(Historical_Simulation!D123-Historical_Simulation!D124)</f>
        <v>1</v>
      </c>
      <c r="J122" s="23">
        <v>43943</v>
      </c>
      <c r="K122" s="24">
        <f t="shared" si="4"/>
        <v>-19.969147945645886</v>
      </c>
      <c r="L122" s="25"/>
      <c r="M122" s="25"/>
      <c r="N122" s="27"/>
      <c r="Q122" s="23">
        <v>43943</v>
      </c>
      <c r="R122" s="24">
        <f t="shared" si="5"/>
        <v>-14.295998093461892</v>
      </c>
      <c r="S122" s="25"/>
      <c r="T122" s="25"/>
      <c r="U122" s="27"/>
      <c r="X122" s="47">
        <v>43943</v>
      </c>
      <c r="Y122" s="48">
        <f t="shared" si="6"/>
        <v>-55.427751821573132</v>
      </c>
      <c r="Z122" s="49"/>
      <c r="AA122" s="49"/>
      <c r="AB122" s="51"/>
      <c r="AE122" s="47">
        <v>43943</v>
      </c>
      <c r="AF122" s="48">
        <f t="shared" si="7"/>
        <v>-39.225618433702792</v>
      </c>
      <c r="AG122" s="49"/>
      <c r="AH122" s="49"/>
      <c r="AI122" s="51"/>
    </row>
    <row r="123" spans="1:35" x14ac:dyDescent="0.3">
      <c r="A123" s="20">
        <v>43938</v>
      </c>
      <c r="C123">
        <f>-(Historical_Simulation!B124-Historical_Simulation!B125)</f>
        <v>0.97249999999999659</v>
      </c>
      <c r="E123">
        <f>-(Historical_Simulation!C124-Historical_Simulation!C125)</f>
        <v>33.190000000000055</v>
      </c>
      <c r="G123">
        <f>-(Historical_Simulation!D124-Historical_Simulation!D125)</f>
        <v>-2.9900000000000091</v>
      </c>
      <c r="J123" s="23">
        <v>43942</v>
      </c>
      <c r="K123" s="24">
        <f t="shared" si="4"/>
        <v>36.311862350853822</v>
      </c>
      <c r="L123" s="25"/>
      <c r="M123" s="25"/>
      <c r="N123" s="27"/>
      <c r="Q123" s="23">
        <v>43942</v>
      </c>
      <c r="R123" s="24">
        <f t="shared" si="5"/>
        <v>25.563629285108522</v>
      </c>
      <c r="S123" s="25"/>
      <c r="T123" s="25"/>
      <c r="U123" s="27"/>
      <c r="X123" s="47">
        <v>43942</v>
      </c>
      <c r="Y123" s="48">
        <f t="shared" si="6"/>
        <v>31.83623824606838</v>
      </c>
      <c r="Z123" s="49"/>
      <c r="AA123" s="49"/>
      <c r="AB123" s="51"/>
      <c r="AE123" s="47">
        <v>43942</v>
      </c>
      <c r="AF123" s="48">
        <f t="shared" si="7"/>
        <v>22.842123875216025</v>
      </c>
      <c r="AG123" s="49"/>
      <c r="AH123" s="49"/>
      <c r="AI123" s="51"/>
    </row>
    <row r="124" spans="1:35" x14ac:dyDescent="0.3">
      <c r="A124" s="20">
        <v>43937</v>
      </c>
      <c r="C124">
        <f>-(Historical_Simulation!B125-Historical_Simulation!B126)</f>
        <v>-0.56499999999999773</v>
      </c>
      <c r="E124">
        <f>-(Historical_Simulation!C125-Historical_Simulation!C126)</f>
        <v>-100.51000000000022</v>
      </c>
      <c r="G124">
        <f>-(Historical_Simulation!D125-Historical_Simulation!D126)</f>
        <v>0.71999999999999886</v>
      </c>
      <c r="J124" s="23">
        <v>43941</v>
      </c>
      <c r="K124" s="24">
        <f t="shared" si="4"/>
        <v>-9.3625799739426903</v>
      </c>
      <c r="L124" s="25"/>
      <c r="M124" s="25"/>
      <c r="N124" s="27"/>
      <c r="Q124" s="23">
        <v>43941</v>
      </c>
      <c r="R124" s="24">
        <f t="shared" si="5"/>
        <v>-5.9561450982125894</v>
      </c>
      <c r="S124" s="25"/>
      <c r="T124" s="25"/>
      <c r="U124" s="27"/>
      <c r="X124" s="47">
        <v>43941</v>
      </c>
      <c r="Y124" s="48">
        <f t="shared" si="6"/>
        <v>-1.1519323358560376</v>
      </c>
      <c r="Z124" s="49"/>
      <c r="AA124" s="49"/>
      <c r="AB124" s="51"/>
      <c r="AE124" s="47">
        <v>43941</v>
      </c>
      <c r="AF124" s="48">
        <f t="shared" si="7"/>
        <v>-0.35858356823839888</v>
      </c>
      <c r="AG124" s="49"/>
      <c r="AH124" s="49"/>
      <c r="AI124" s="51"/>
    </row>
    <row r="125" spans="1:35" x14ac:dyDescent="0.3">
      <c r="A125" s="20">
        <v>43936</v>
      </c>
      <c r="C125">
        <f>-(Historical_Simulation!B126-Historical_Simulation!B127)</f>
        <v>0.65500000000000114</v>
      </c>
      <c r="E125">
        <f>-(Historical_Simulation!C126-Historical_Simulation!C127)</f>
        <v>-24.359999999999673</v>
      </c>
      <c r="G125">
        <f>-(Historical_Simulation!D126-Historical_Simulation!D127)</f>
        <v>1.1999999999999886</v>
      </c>
      <c r="J125" s="23">
        <v>43938</v>
      </c>
      <c r="K125" s="24">
        <f t="shared" si="4"/>
        <v>18.35106314583474</v>
      </c>
      <c r="L125" s="25"/>
      <c r="M125" s="25"/>
      <c r="N125" s="27"/>
      <c r="Q125" s="23">
        <v>43938</v>
      </c>
      <c r="R125" s="24">
        <f t="shared" si="5"/>
        <v>12.884903733117319</v>
      </c>
      <c r="S125" s="25"/>
      <c r="T125" s="25"/>
      <c r="U125" s="27"/>
      <c r="X125" s="47">
        <v>43938</v>
      </c>
      <c r="Y125" s="48">
        <f t="shared" si="6"/>
        <v>-21.229640386801169</v>
      </c>
      <c r="Z125" s="49"/>
      <c r="AA125" s="49"/>
      <c r="AB125" s="51"/>
      <c r="AE125" s="47">
        <v>43938</v>
      </c>
      <c r="AF125" s="48">
        <f t="shared" si="7"/>
        <v>-14.505267142555411</v>
      </c>
      <c r="AG125" s="49"/>
      <c r="AH125" s="49"/>
      <c r="AI125" s="51"/>
    </row>
    <row r="126" spans="1:35" x14ac:dyDescent="0.3">
      <c r="A126" s="20">
        <v>43935</v>
      </c>
      <c r="C126">
        <f>-(Historical_Simulation!B127-Historical_Simulation!B128)</f>
        <v>-3.4500000000000028</v>
      </c>
      <c r="E126">
        <f>-(Historical_Simulation!C127-Historical_Simulation!C128)</f>
        <v>-114.45000000000027</v>
      </c>
      <c r="G126">
        <f>-(Historical_Simulation!D127-Historical_Simulation!D128)</f>
        <v>-3.3799999999999955</v>
      </c>
      <c r="J126" s="23">
        <v>43937</v>
      </c>
      <c r="K126" s="24">
        <f t="shared" si="4"/>
        <v>-54.476709276339072</v>
      </c>
      <c r="L126" s="25"/>
      <c r="M126" s="25"/>
      <c r="N126" s="27"/>
      <c r="Q126" s="23">
        <v>43937</v>
      </c>
      <c r="R126" s="24">
        <f t="shared" si="5"/>
        <v>-37.519611348068949</v>
      </c>
      <c r="S126" s="25"/>
      <c r="T126" s="25"/>
      <c r="U126" s="27"/>
      <c r="X126" s="47">
        <v>43937</v>
      </c>
      <c r="Y126" s="48">
        <f t="shared" si="6"/>
        <v>6.6349370087165651</v>
      </c>
      <c r="Z126" s="49"/>
      <c r="AA126" s="49"/>
      <c r="AB126" s="51"/>
      <c r="AE126" s="47">
        <v>43937</v>
      </c>
      <c r="AF126" s="48">
        <f t="shared" si="7"/>
        <v>4.4542885244627444</v>
      </c>
      <c r="AG126" s="49"/>
      <c r="AH126" s="49"/>
      <c r="AI126" s="51"/>
    </row>
    <row r="127" spans="1:35" x14ac:dyDescent="0.3">
      <c r="A127" s="20">
        <v>43934</v>
      </c>
      <c r="C127">
        <f>-(Historical_Simulation!B128-Historical_Simulation!B129)</f>
        <v>-1.3149999999999977</v>
      </c>
      <c r="E127">
        <f>-(Historical_Simulation!C128-Historical_Simulation!C129)</f>
        <v>-126.1099999999999</v>
      </c>
      <c r="G127">
        <f>-(Historical_Simulation!D128-Historical_Simulation!D129)</f>
        <v>0.40000000000000568</v>
      </c>
      <c r="J127" s="23">
        <v>43936</v>
      </c>
      <c r="K127" s="24">
        <f t="shared" si="4"/>
        <v>-12.838435464981753</v>
      </c>
      <c r="L127" s="25"/>
      <c r="M127" s="25"/>
      <c r="N127" s="27"/>
      <c r="Q127" s="23">
        <v>43936</v>
      </c>
      <c r="R127" s="24">
        <f t="shared" si="5"/>
        <v>-8.5942831344432484</v>
      </c>
      <c r="S127" s="25"/>
      <c r="T127" s="25"/>
      <c r="U127" s="27"/>
      <c r="X127" s="47">
        <v>43936</v>
      </c>
      <c r="Y127" s="48">
        <f t="shared" si="6"/>
        <v>3.7086697819069636</v>
      </c>
      <c r="Z127" s="49"/>
      <c r="AA127" s="49"/>
      <c r="AB127" s="51"/>
      <c r="AE127" s="47">
        <v>43936</v>
      </c>
      <c r="AF127" s="48">
        <f t="shared" si="7"/>
        <v>2.7838033041495258</v>
      </c>
      <c r="AG127" s="49"/>
      <c r="AH127" s="49"/>
      <c r="AI127" s="51"/>
    </row>
    <row r="128" spans="1:35" x14ac:dyDescent="0.3">
      <c r="A128" s="20">
        <v>43930</v>
      </c>
      <c r="C128">
        <f>-(Historical_Simulation!B129-Historical_Simulation!B130)</f>
        <v>-0.48000000000000398</v>
      </c>
      <c r="E128">
        <f>-(Historical_Simulation!C129-Historical_Simulation!C130)</f>
        <v>0.24000000000000909</v>
      </c>
      <c r="G128">
        <f>-(Historical_Simulation!D129-Historical_Simulation!D130)</f>
        <v>-0.90999999999999659</v>
      </c>
      <c r="J128" s="23">
        <v>43935</v>
      </c>
      <c r="K128" s="24">
        <f t="shared" si="4"/>
        <v>-63.324928507415464</v>
      </c>
      <c r="L128" s="25"/>
      <c r="M128" s="25"/>
      <c r="N128" s="27"/>
      <c r="Q128" s="23">
        <v>43935</v>
      </c>
      <c r="R128" s="24">
        <f t="shared" si="5"/>
        <v>-44.492191801847554</v>
      </c>
      <c r="S128" s="25"/>
      <c r="T128" s="25"/>
      <c r="U128" s="27"/>
      <c r="X128" s="47">
        <v>43935</v>
      </c>
      <c r="Y128" s="48">
        <f t="shared" si="6"/>
        <v>-3.0577855325990591</v>
      </c>
      <c r="Z128" s="49"/>
      <c r="AA128" s="49"/>
      <c r="AB128" s="51"/>
      <c r="AE128" s="47">
        <v>43935</v>
      </c>
      <c r="AF128" s="48">
        <f t="shared" si="7"/>
        <v>-3.1765757224027809</v>
      </c>
      <c r="AG128" s="49"/>
      <c r="AH128" s="49"/>
      <c r="AI128" s="51"/>
    </row>
    <row r="129" spans="1:35" x14ac:dyDescent="0.3">
      <c r="A129" s="20">
        <v>43929</v>
      </c>
      <c r="C129">
        <f>-(Historical_Simulation!B130-Historical_Simulation!B131)</f>
        <v>-1.6599999999999966</v>
      </c>
      <c r="E129">
        <f>-(Historical_Simulation!C130-Historical_Simulation!C131)</f>
        <v>-31.400000000000091</v>
      </c>
      <c r="G129">
        <f>-(Historical_Simulation!D130-Historical_Simulation!D131)</f>
        <v>-5.4499999999999886</v>
      </c>
      <c r="J129" s="23">
        <v>43934</v>
      </c>
      <c r="K129" s="24">
        <f t="shared" si="4"/>
        <v>-68.631141469215208</v>
      </c>
      <c r="L129" s="25"/>
      <c r="M129" s="25"/>
      <c r="N129" s="27"/>
      <c r="Q129" s="23">
        <v>43934</v>
      </c>
      <c r="R129" s="24">
        <f t="shared" si="5"/>
        <v>-47.457885819022962</v>
      </c>
      <c r="S129" s="25"/>
      <c r="T129" s="25"/>
      <c r="U129" s="27"/>
      <c r="X129" s="47">
        <v>43934</v>
      </c>
      <c r="Y129" s="48">
        <f t="shared" si="6"/>
        <v>8.2942544513221534</v>
      </c>
      <c r="Z129" s="49"/>
      <c r="AA129" s="49"/>
      <c r="AB129" s="51"/>
      <c r="AE129" s="47">
        <v>43934</v>
      </c>
      <c r="AF129" s="48">
        <f t="shared" si="7"/>
        <v>5.383894801131242</v>
      </c>
      <c r="AG129" s="49"/>
      <c r="AH129" s="49"/>
      <c r="AI129" s="51"/>
    </row>
    <row r="130" spans="1:35" x14ac:dyDescent="0.3">
      <c r="A130" s="20">
        <v>43928</v>
      </c>
      <c r="C130">
        <f>-(Historical_Simulation!B131-Historical_Simulation!B132)</f>
        <v>0.76000000000000512</v>
      </c>
      <c r="E130">
        <f>-(Historical_Simulation!C131-Historical_Simulation!C132)</f>
        <v>-14.009999999999991</v>
      </c>
      <c r="G130">
        <f>-(Historical_Simulation!D131-Historical_Simulation!D132)</f>
        <v>-3.2800000000000011</v>
      </c>
      <c r="J130" s="23">
        <v>43930</v>
      </c>
      <c r="K130" s="24">
        <f t="shared" si="4"/>
        <v>-9.1622085357302929E-2</v>
      </c>
      <c r="L130" s="25"/>
      <c r="M130" s="25"/>
      <c r="N130" s="27"/>
      <c r="Q130" s="23">
        <v>43930</v>
      </c>
      <c r="R130" s="24">
        <f t="shared" si="5"/>
        <v>-0.21378037750152917</v>
      </c>
      <c r="S130" s="25"/>
      <c r="T130" s="25"/>
      <c r="U130" s="27"/>
      <c r="X130" s="47">
        <v>43930</v>
      </c>
      <c r="Y130" s="48">
        <f t="shared" si="6"/>
        <v>-2.8893174426055115</v>
      </c>
      <c r="Z130" s="49"/>
      <c r="AA130" s="49"/>
      <c r="AB130" s="51"/>
      <c r="AE130" s="47">
        <v>43930</v>
      </c>
      <c r="AF130" s="48">
        <f t="shared" si="7"/>
        <v>-2.1596062766684456</v>
      </c>
      <c r="AG130" s="49"/>
      <c r="AH130" s="49"/>
      <c r="AI130" s="51"/>
    </row>
    <row r="131" spans="1:35" x14ac:dyDescent="0.3">
      <c r="A131" s="20">
        <v>43927</v>
      </c>
      <c r="C131">
        <f>-(Historical_Simulation!B132-Historical_Simulation!B133)</f>
        <v>-5.2650000000000077</v>
      </c>
      <c r="E131">
        <f>-(Historical_Simulation!C132-Historical_Simulation!C133)</f>
        <v>-91</v>
      </c>
      <c r="G131">
        <f>-(Historical_Simulation!D132-Historical_Simulation!D133)</f>
        <v>-11.370000000000005</v>
      </c>
      <c r="J131" s="23">
        <v>43929</v>
      </c>
      <c r="K131" s="24">
        <f t="shared" si="4"/>
        <v>-17.702165529824658</v>
      </c>
      <c r="L131" s="25"/>
      <c r="M131" s="25"/>
      <c r="N131" s="27"/>
      <c r="Q131" s="23">
        <v>43929</v>
      </c>
      <c r="R131" s="24">
        <f t="shared" si="5"/>
        <v>-12.656349407089611</v>
      </c>
      <c r="S131" s="25"/>
      <c r="T131" s="25"/>
      <c r="U131" s="27"/>
      <c r="X131" s="47">
        <v>43929</v>
      </c>
      <c r="Y131" s="48">
        <f t="shared" si="6"/>
        <v>-22.895611877848861</v>
      </c>
      <c r="Z131" s="49"/>
      <c r="AA131" s="49"/>
      <c r="AB131" s="51"/>
      <c r="AE131" s="47">
        <v>43929</v>
      </c>
      <c r="AF131" s="48">
        <f t="shared" si="7"/>
        <v>-16.463971601333697</v>
      </c>
      <c r="AG131" s="49"/>
      <c r="AH131" s="49"/>
      <c r="AI131" s="51"/>
    </row>
    <row r="132" spans="1:35" x14ac:dyDescent="0.3">
      <c r="A132" s="20">
        <v>43924</v>
      </c>
      <c r="C132">
        <f>-(Historical_Simulation!B133-Historical_Simulation!B134)</f>
        <v>0.88000000000000256</v>
      </c>
      <c r="E132">
        <f>-(Historical_Simulation!C133-Historical_Simulation!C134)</f>
        <v>12.240000000000009</v>
      </c>
      <c r="G132">
        <f>-(Historical_Simulation!D133-Historical_Simulation!D134)</f>
        <v>4.0099999999999909</v>
      </c>
      <c r="J132" s="23">
        <v>43928</v>
      </c>
      <c r="K132" s="24">
        <f t="shared" si="4"/>
        <v>-7.2071413878785897</v>
      </c>
      <c r="L132" s="25"/>
      <c r="M132" s="25"/>
      <c r="N132" s="27"/>
      <c r="Q132" s="23">
        <v>43928</v>
      </c>
      <c r="R132" s="24">
        <f t="shared" si="5"/>
        <v>-4.7011997559755514</v>
      </c>
      <c r="S132" s="25"/>
      <c r="T132" s="25"/>
      <c r="U132" s="27"/>
      <c r="X132" s="47">
        <v>43928</v>
      </c>
      <c r="Y132" s="48">
        <f t="shared" si="6"/>
        <v>-21.876377832852164</v>
      </c>
      <c r="Z132" s="49"/>
      <c r="AA132" s="49"/>
      <c r="AB132" s="51"/>
      <c r="AE132" s="47">
        <v>43928</v>
      </c>
      <c r="AF132" s="48">
        <f t="shared" si="7"/>
        <v>-15.020486878466581</v>
      </c>
      <c r="AG132" s="49"/>
      <c r="AH132" s="49"/>
      <c r="AI132" s="51"/>
    </row>
    <row r="133" spans="1:35" x14ac:dyDescent="0.3">
      <c r="A133" s="20">
        <v>43923</v>
      </c>
      <c r="C133">
        <f>-(Historical_Simulation!B134-Historical_Simulation!B135)</f>
        <v>-1.0050000000000026</v>
      </c>
      <c r="E133">
        <f>-(Historical_Simulation!C134-Historical_Simulation!C135)</f>
        <v>-11.129999999999882</v>
      </c>
      <c r="G133">
        <f>-(Historical_Simulation!D134-Historical_Simulation!D135)</f>
        <v>1.4099999999999966</v>
      </c>
      <c r="J133" s="23">
        <v>43927</v>
      </c>
      <c r="K133" s="24">
        <f t="shared" si="4"/>
        <v>-51.511639599849126</v>
      </c>
      <c r="L133" s="25"/>
      <c r="M133" s="25"/>
      <c r="N133" s="27"/>
      <c r="Q133" s="23">
        <v>43927</v>
      </c>
      <c r="R133" s="24">
        <f t="shared" si="5"/>
        <v>-36.965471298481013</v>
      </c>
      <c r="S133" s="25"/>
      <c r="T133" s="25"/>
      <c r="U133" s="27"/>
      <c r="X133" s="47">
        <v>43927</v>
      </c>
      <c r="Y133" s="48">
        <f t="shared" si="6"/>
        <v>-39.471704621178773</v>
      </c>
      <c r="Z133" s="49"/>
      <c r="AA133" s="49"/>
      <c r="AB133" s="51"/>
      <c r="AE133" s="47">
        <v>43927</v>
      </c>
      <c r="AF133" s="48">
        <f t="shared" si="7"/>
        <v>-29.111503067583747</v>
      </c>
      <c r="AG133" s="49"/>
      <c r="AH133" s="49"/>
      <c r="AI133" s="51"/>
    </row>
    <row r="134" spans="1:35" x14ac:dyDescent="0.3">
      <c r="A134" s="20">
        <v>43922</v>
      </c>
      <c r="C134">
        <f>-(Historical_Simulation!B135-Historical_Simulation!B136)</f>
        <v>3.3449999999999989</v>
      </c>
      <c r="E134">
        <f>-(Historical_Simulation!C135-Historical_Simulation!C136)</f>
        <v>42.019999999999982</v>
      </c>
      <c r="G134">
        <f>-(Historical_Simulation!D135-Historical_Simulation!D136)</f>
        <v>7.2000000000000171</v>
      </c>
      <c r="J134" s="23">
        <v>43924</v>
      </c>
      <c r="K134" s="24">
        <f t="shared" ref="K134:K197" si="8">C132*$K$3+E132*(1-$K$3)</f>
        <v>7.0077404310291769</v>
      </c>
      <c r="L134" s="25"/>
      <c r="M134" s="25"/>
      <c r="N134" s="27"/>
      <c r="Q134" s="23">
        <v>43924</v>
      </c>
      <c r="R134" s="24">
        <f t="shared" si="5"/>
        <v>5.0803540438647534</v>
      </c>
      <c r="S134" s="25"/>
      <c r="T134" s="25"/>
      <c r="U134" s="27"/>
      <c r="X134" s="47">
        <v>43924</v>
      </c>
      <c r="Y134" s="48">
        <f t="shared" si="6"/>
        <v>18.417589756640329</v>
      </c>
      <c r="Z134" s="49"/>
      <c r="AA134" s="49"/>
      <c r="AB134" s="51"/>
      <c r="AE134" s="47">
        <v>43924</v>
      </c>
      <c r="AF134" s="48">
        <f t="shared" si="7"/>
        <v>13.105971269703012</v>
      </c>
      <c r="AG134" s="49"/>
      <c r="AH134" s="49"/>
      <c r="AI134" s="51"/>
    </row>
    <row r="135" spans="1:35" x14ac:dyDescent="0.3">
      <c r="A135" s="20">
        <v>43921</v>
      </c>
      <c r="C135">
        <f>-(Historical_Simulation!B136-Historical_Simulation!B137)</f>
        <v>0.13000000000000256</v>
      </c>
      <c r="E135">
        <f>-(Historical_Simulation!C136-Historical_Simulation!C137)</f>
        <v>14.230000000000018</v>
      </c>
      <c r="G135">
        <f>-(Historical_Simulation!D136-Historical_Simulation!D137)</f>
        <v>-0.85000000000002274</v>
      </c>
      <c r="J135" s="23">
        <v>43923</v>
      </c>
      <c r="K135" s="24">
        <f t="shared" si="8"/>
        <v>-6.4665644246628204</v>
      </c>
      <c r="L135" s="25"/>
      <c r="M135" s="25"/>
      <c r="N135" s="27"/>
      <c r="Q135" s="23">
        <v>43923</v>
      </c>
      <c r="R135" s="24">
        <f t="shared" ref="R135:R198" si="9">C133*$R$3+E133*(1-$R$3)</f>
        <v>-4.7487134413846919</v>
      </c>
      <c r="S135" s="25"/>
      <c r="T135" s="25"/>
      <c r="U135" s="27"/>
      <c r="X135" s="47">
        <v>43923</v>
      </c>
      <c r="Y135" s="48">
        <f t="shared" ref="Y135:Y198" si="10">C133*$Y$3+G133*(1-$Y$3)</f>
        <v>12.526399125331157</v>
      </c>
      <c r="Z135" s="49"/>
      <c r="AA135" s="49"/>
      <c r="AB135" s="51"/>
      <c r="AE135" s="47">
        <v>43923</v>
      </c>
      <c r="AF135" s="48">
        <f t="shared" ref="AF135:AF198" si="11">C133*$AF$3+G133*(1-$AF$3)</f>
        <v>8.4281375771031488</v>
      </c>
      <c r="AG135" s="49"/>
      <c r="AH135" s="49"/>
      <c r="AI135" s="51"/>
    </row>
    <row r="136" spans="1:35" x14ac:dyDescent="0.3">
      <c r="A136" s="20">
        <v>43920</v>
      </c>
      <c r="C136">
        <f>-(Historical_Simulation!B137-Historical_Simulation!B138)</f>
        <v>-1.7674999999999983</v>
      </c>
      <c r="E136">
        <f>-(Historical_Simulation!C137-Historical_Simulation!C138)</f>
        <v>-63.850000000000136</v>
      </c>
      <c r="G136">
        <f>-(Historical_Simulation!D137-Historical_Simulation!D138)</f>
        <v>-9.1599999999999966</v>
      </c>
      <c r="J136" s="23">
        <v>43922</v>
      </c>
      <c r="K136" s="24">
        <f t="shared" si="8"/>
        <v>24.206827567786362</v>
      </c>
      <c r="L136" s="25"/>
      <c r="M136" s="25"/>
      <c r="N136" s="27"/>
      <c r="Q136" s="23">
        <v>43922</v>
      </c>
      <c r="R136" s="24">
        <f t="shared" si="9"/>
        <v>17.645060972400447</v>
      </c>
      <c r="S136" s="25"/>
      <c r="T136" s="25"/>
      <c r="U136" s="27"/>
      <c r="X136" s="47">
        <v>43922</v>
      </c>
      <c r="Y136" s="48">
        <f t="shared" si="10"/>
        <v>24.94481102614985</v>
      </c>
      <c r="Z136" s="49"/>
      <c r="AA136" s="49"/>
      <c r="AB136" s="51"/>
      <c r="AE136" s="47">
        <v>43922</v>
      </c>
      <c r="AF136" s="48">
        <f t="shared" si="11"/>
        <v>18.402865573388336</v>
      </c>
      <c r="AG136" s="49"/>
      <c r="AH136" s="49"/>
      <c r="AI136" s="51"/>
    </row>
    <row r="137" spans="1:35" x14ac:dyDescent="0.3">
      <c r="A137" s="20">
        <v>43917</v>
      </c>
      <c r="C137">
        <f>-(Historical_Simulation!B138-Historical_Simulation!B139)</f>
        <v>2.6749999999999972</v>
      </c>
      <c r="E137">
        <f>-(Historical_Simulation!C138-Historical_Simulation!C139)</f>
        <v>55.3900000000001</v>
      </c>
      <c r="G137">
        <f>-(Historical_Simulation!D138-Historical_Simulation!D139)</f>
        <v>6.5500000000000114</v>
      </c>
      <c r="J137" s="23">
        <v>43921</v>
      </c>
      <c r="K137" s="24">
        <f t="shared" si="8"/>
        <v>7.7357341617527675</v>
      </c>
      <c r="L137" s="25"/>
      <c r="M137" s="25"/>
      <c r="N137" s="27"/>
      <c r="Q137" s="23">
        <v>43921</v>
      </c>
      <c r="R137" s="24">
        <f t="shared" si="9"/>
        <v>5.3434676072617124</v>
      </c>
      <c r="S137" s="25"/>
      <c r="T137" s="25"/>
      <c r="U137" s="27"/>
      <c r="X137" s="47">
        <v>43921</v>
      </c>
      <c r="Y137" s="48">
        <f t="shared" si="10"/>
        <v>-5.3610025436127859</v>
      </c>
      <c r="Z137" s="49"/>
      <c r="AA137" s="49"/>
      <c r="AB137" s="51"/>
      <c r="AE137" s="47">
        <v>43921</v>
      </c>
      <c r="AF137" s="48">
        <f t="shared" si="11"/>
        <v>-3.6979398863607971</v>
      </c>
      <c r="AG137" s="49"/>
      <c r="AH137" s="49"/>
      <c r="AI137" s="51"/>
    </row>
    <row r="138" spans="1:35" x14ac:dyDescent="0.3">
      <c r="A138" s="20">
        <v>43916</v>
      </c>
      <c r="C138">
        <f>-(Historical_Simulation!B139-Historical_Simulation!B140)</f>
        <v>-3.2299999999999969</v>
      </c>
      <c r="E138">
        <f>-(Historical_Simulation!C139-Historical_Simulation!C140)</f>
        <v>-69.650000000000091</v>
      </c>
      <c r="G138">
        <f>-(Historical_Simulation!D139-Historical_Simulation!D140)</f>
        <v>-7.1299999999999955</v>
      </c>
      <c r="J138" s="23">
        <v>43920</v>
      </c>
      <c r="K138" s="24">
        <f t="shared" si="8"/>
        <v>-35.255655396951532</v>
      </c>
      <c r="L138" s="25"/>
      <c r="M138" s="25"/>
      <c r="N138" s="27"/>
      <c r="Q138" s="23">
        <v>43920</v>
      </c>
      <c r="R138" s="24">
        <f t="shared" si="9"/>
        <v>-24.722471824668467</v>
      </c>
      <c r="S138" s="25"/>
      <c r="T138" s="25"/>
      <c r="U138" s="27"/>
      <c r="X138" s="47">
        <v>43920</v>
      </c>
      <c r="Y138" s="48">
        <f t="shared" si="10"/>
        <v>-43.188149289445384</v>
      </c>
      <c r="Z138" s="49"/>
      <c r="AA138" s="49"/>
      <c r="AB138" s="51"/>
      <c r="AE138" s="47">
        <v>43920</v>
      </c>
      <c r="AF138" s="48">
        <f t="shared" si="11"/>
        <v>-30.64305674481783</v>
      </c>
      <c r="AG138" s="49"/>
      <c r="AH138" s="49"/>
      <c r="AI138" s="51"/>
    </row>
    <row r="139" spans="1:35" x14ac:dyDescent="0.3">
      <c r="A139" s="20">
        <v>43915</v>
      </c>
      <c r="C139">
        <f>-(Historical_Simulation!B140-Historical_Simulation!B141)</f>
        <v>0.33999999999999631</v>
      </c>
      <c r="E139">
        <f>-(Historical_Simulation!C140-Historical_Simulation!C141)</f>
        <v>54.259999999999991</v>
      </c>
      <c r="G139">
        <f>-(Historical_Simulation!D140-Historical_Simulation!D141)</f>
        <v>4.7699999999999818</v>
      </c>
      <c r="J139" s="23">
        <v>43917</v>
      </c>
      <c r="K139" s="24">
        <f t="shared" si="8"/>
        <v>31.110196903318958</v>
      </c>
      <c r="L139" s="25"/>
      <c r="M139" s="25"/>
      <c r="N139" s="27"/>
      <c r="Q139" s="23">
        <v>43917</v>
      </c>
      <c r="R139" s="24">
        <f t="shared" si="9"/>
        <v>22.166343611120652</v>
      </c>
      <c r="S139" s="25"/>
      <c r="T139" s="25"/>
      <c r="U139" s="27"/>
      <c r="X139" s="47">
        <v>43917</v>
      </c>
      <c r="Y139" s="48">
        <f t="shared" si="10"/>
        <v>24.386872302550081</v>
      </c>
      <c r="Z139" s="49"/>
      <c r="AA139" s="49"/>
      <c r="AB139" s="51"/>
      <c r="AE139" s="47">
        <v>43917</v>
      </c>
      <c r="AF139" s="48">
        <f t="shared" si="11"/>
        <v>17.810986795558943</v>
      </c>
      <c r="AG139" s="49"/>
      <c r="AH139" s="49"/>
      <c r="AI139" s="51"/>
    </row>
    <row r="140" spans="1:35" x14ac:dyDescent="0.3">
      <c r="A140" s="20">
        <v>43914</v>
      </c>
      <c r="C140">
        <f>-(Historical_Simulation!B141-Historical_Simulation!B142)</f>
        <v>-5.6274999999999977</v>
      </c>
      <c r="E140">
        <f>-(Historical_Simulation!C141-Historical_Simulation!C142)</f>
        <v>-37.269999999999982</v>
      </c>
      <c r="G140">
        <f>-(Historical_Simulation!D141-Historical_Simulation!D142)</f>
        <v>-12.879999999999995</v>
      </c>
      <c r="J140" s="23">
        <v>43916</v>
      </c>
      <c r="K140" s="24">
        <f t="shared" si="8"/>
        <v>-39.057862625788566</v>
      </c>
      <c r="L140" s="25"/>
      <c r="M140" s="25"/>
      <c r="N140" s="27"/>
      <c r="Q140" s="23">
        <v>43916</v>
      </c>
      <c r="R140" s="24">
        <f t="shared" si="9"/>
        <v>-27.788760175483887</v>
      </c>
      <c r="S140" s="25"/>
      <c r="T140" s="25"/>
      <c r="U140" s="27"/>
      <c r="X140" s="47">
        <v>43916</v>
      </c>
      <c r="Y140" s="48">
        <f t="shared" si="10"/>
        <v>-25.081948898050314</v>
      </c>
      <c r="Z140" s="49"/>
      <c r="AA140" s="49"/>
      <c r="AB140" s="51"/>
      <c r="AE140" s="47">
        <v>43916</v>
      </c>
      <c r="AF140" s="48">
        <f t="shared" si="11"/>
        <v>-18.463638323272171</v>
      </c>
      <c r="AG140" s="49"/>
      <c r="AH140" s="49"/>
      <c r="AI140" s="51"/>
    </row>
    <row r="141" spans="1:35" x14ac:dyDescent="0.3">
      <c r="A141" s="20">
        <v>43913</v>
      </c>
      <c r="C141">
        <f>-(Historical_Simulation!B142-Historical_Simulation!B143)</f>
        <v>1.2175000000000011</v>
      </c>
      <c r="E141">
        <f>-(Historical_Simulation!C142-Historical_Simulation!C143)</f>
        <v>-56.740000000000009</v>
      </c>
      <c r="G141">
        <f>-(Historical_Simulation!D142-Historical_Simulation!D143)</f>
        <v>1.6299999999999955</v>
      </c>
      <c r="J141" s="23">
        <v>43915</v>
      </c>
      <c r="K141" s="24">
        <f t="shared" si="8"/>
        <v>29.425190496575077</v>
      </c>
      <c r="L141" s="25"/>
      <c r="M141" s="25"/>
      <c r="N141" s="27"/>
      <c r="Q141" s="23">
        <v>43915</v>
      </c>
      <c r="R141" s="24">
        <f t="shared" si="9"/>
        <v>20.276891729329858</v>
      </c>
      <c r="S141" s="25"/>
      <c r="T141" s="25"/>
      <c r="U141" s="27"/>
      <c r="X141" s="47">
        <v>43915</v>
      </c>
      <c r="Y141" s="48">
        <f t="shared" si="10"/>
        <v>25.16157272265708</v>
      </c>
      <c r="Z141" s="49"/>
      <c r="AA141" s="49"/>
      <c r="AB141" s="51"/>
      <c r="AE141" s="47">
        <v>43915</v>
      </c>
      <c r="AF141" s="48">
        <f t="shared" si="11"/>
        <v>17.643850710793721</v>
      </c>
      <c r="AG141" s="49"/>
      <c r="AH141" s="49"/>
      <c r="AI141" s="51"/>
    </row>
    <row r="142" spans="1:35" x14ac:dyDescent="0.3">
      <c r="A142" s="20">
        <v>43910</v>
      </c>
      <c r="C142">
        <f>-(Historical_Simulation!B143-Historical_Simulation!B144)</f>
        <v>3.884999999999998</v>
      </c>
      <c r="E142">
        <f>-(Historical_Simulation!C143-Historical_Simulation!C144)</f>
        <v>34.840000000000146</v>
      </c>
      <c r="G142">
        <f>-(Historical_Simulation!D143-Historical_Simulation!D144)</f>
        <v>3.4000000000000057</v>
      </c>
      <c r="J142" s="23">
        <v>43914</v>
      </c>
      <c r="K142" s="24">
        <f t="shared" si="8"/>
        <v>-22.695900227890881</v>
      </c>
      <c r="L142" s="25"/>
      <c r="M142" s="25"/>
      <c r="N142" s="27"/>
      <c r="Q142" s="23">
        <v>43914</v>
      </c>
      <c r="R142" s="24">
        <f t="shared" si="9"/>
        <v>-17.327297784594208</v>
      </c>
      <c r="S142" s="25"/>
      <c r="T142" s="25"/>
      <c r="U142" s="27"/>
      <c r="X142" s="47">
        <v>43914</v>
      </c>
      <c r="Y142" s="48">
        <f t="shared" si="10"/>
        <v>-46.263720354643574</v>
      </c>
      <c r="Z142" s="49"/>
      <c r="AA142" s="49"/>
      <c r="AB142" s="51"/>
      <c r="AE142" s="47">
        <v>43914</v>
      </c>
      <c r="AF142" s="48">
        <f t="shared" si="11"/>
        <v>-33.956208189623439</v>
      </c>
      <c r="AG142" s="49"/>
      <c r="AH142" s="49"/>
      <c r="AI142" s="51"/>
    </row>
    <row r="143" spans="1:35" x14ac:dyDescent="0.3">
      <c r="A143" s="20">
        <v>43909</v>
      </c>
      <c r="C143">
        <f>-(Historical_Simulation!B144-Historical_Simulation!B145)</f>
        <v>0.47249999999999659</v>
      </c>
      <c r="E143">
        <f>-(Historical_Simulation!C144-Historical_Simulation!C145)</f>
        <v>-50.930000000000064</v>
      </c>
      <c r="G143">
        <f>-(Historical_Simulation!D144-Historical_Simulation!D145)</f>
        <v>-6.1699999999999875</v>
      </c>
      <c r="J143" s="23">
        <v>43913</v>
      </c>
      <c r="K143" s="24">
        <f t="shared" si="8"/>
        <v>-30.045573594311026</v>
      </c>
      <c r="L143" s="25"/>
      <c r="M143" s="25"/>
      <c r="N143" s="27"/>
      <c r="Q143" s="23">
        <v>43913</v>
      </c>
      <c r="R143" s="24">
        <f t="shared" si="9"/>
        <v>-20.212255237437606</v>
      </c>
      <c r="S143" s="25"/>
      <c r="T143" s="25"/>
      <c r="U143" s="27"/>
      <c r="X143" s="47">
        <v>43913</v>
      </c>
      <c r="Y143" s="48">
        <f t="shared" si="10"/>
        <v>3.5287638257552931</v>
      </c>
      <c r="Z143" s="49"/>
      <c r="AA143" s="49"/>
      <c r="AB143" s="51"/>
      <c r="AE143" s="47">
        <v>43913</v>
      </c>
      <c r="AF143" s="48">
        <f t="shared" si="11"/>
        <v>2.8287502072691511</v>
      </c>
      <c r="AG143" s="49"/>
      <c r="AH143" s="49"/>
      <c r="AI143" s="51"/>
    </row>
    <row r="144" spans="1:35" x14ac:dyDescent="0.3">
      <c r="A144" s="20">
        <v>43908</v>
      </c>
      <c r="C144">
        <f>-(Historical_Simulation!B145-Historical_Simulation!B146)</f>
        <v>1.5475000000000065</v>
      </c>
      <c r="E144">
        <f>-(Historical_Simulation!C145-Historical_Simulation!C146)</f>
        <v>-22.160000000000082</v>
      </c>
      <c r="G144">
        <f>-(Historical_Simulation!D145-Historical_Simulation!D146)</f>
        <v>2.4599999999999795</v>
      </c>
      <c r="J144" s="23">
        <v>43910</v>
      </c>
      <c r="K144" s="24">
        <f t="shared" si="8"/>
        <v>20.582553260784231</v>
      </c>
      <c r="L144" s="25"/>
      <c r="M144" s="25"/>
      <c r="N144" s="27"/>
      <c r="Q144" s="23">
        <v>43910</v>
      </c>
      <c r="R144" s="24">
        <f t="shared" si="9"/>
        <v>15.330595020055799</v>
      </c>
      <c r="S144" s="25"/>
      <c r="T144" s="25"/>
      <c r="U144" s="27"/>
      <c r="X144" s="47">
        <v>43910</v>
      </c>
      <c r="Y144" s="48">
        <f t="shared" si="10"/>
        <v>1.1675140472937819</v>
      </c>
      <c r="Z144" s="49"/>
      <c r="AA144" s="49"/>
      <c r="AB144" s="51"/>
      <c r="AE144" s="47">
        <v>43910</v>
      </c>
      <c r="AF144" s="48">
        <f t="shared" si="11"/>
        <v>1.9905603623623342</v>
      </c>
      <c r="AG144" s="49"/>
      <c r="AH144" s="49"/>
      <c r="AI144" s="51"/>
    </row>
    <row r="145" spans="1:35" x14ac:dyDescent="0.3">
      <c r="A145" s="20">
        <v>43907</v>
      </c>
      <c r="C145">
        <f>-(Historical_Simulation!B146-Historical_Simulation!B147)</f>
        <v>-2.6625000000000014</v>
      </c>
      <c r="E145">
        <f>-(Historical_Simulation!C146-Historical_Simulation!C147)</f>
        <v>-118.68999999999983</v>
      </c>
      <c r="G145">
        <f>-(Historical_Simulation!D146-Historical_Simulation!D147)</f>
        <v>-3.4099999999999966</v>
      </c>
      <c r="J145" s="23">
        <v>43909</v>
      </c>
      <c r="K145" s="24">
        <f t="shared" si="8"/>
        <v>-27.254716329751531</v>
      </c>
      <c r="L145" s="25"/>
      <c r="M145" s="25"/>
      <c r="N145" s="27"/>
      <c r="Q145" s="23">
        <v>43909</v>
      </c>
      <c r="R145" s="24">
        <f t="shared" si="9"/>
        <v>-18.533547424274474</v>
      </c>
      <c r="S145" s="25"/>
      <c r="T145" s="25"/>
      <c r="U145" s="27"/>
      <c r="X145" s="47">
        <v>43909</v>
      </c>
      <c r="Y145" s="48">
        <f t="shared" si="10"/>
        <v>-36.745851424435628</v>
      </c>
      <c r="Z145" s="49"/>
      <c r="AA145" s="49"/>
      <c r="AB145" s="51"/>
      <c r="AE145" s="47">
        <v>43909</v>
      </c>
      <c r="AF145" s="48">
        <f t="shared" si="11"/>
        <v>-25.473510913419283</v>
      </c>
      <c r="AG145" s="49"/>
      <c r="AH145" s="49"/>
      <c r="AI145" s="51"/>
    </row>
    <row r="146" spans="1:35" x14ac:dyDescent="0.3">
      <c r="A146" s="20">
        <v>43906</v>
      </c>
      <c r="C146">
        <f>-(Historical_Simulation!B147-Historical_Simulation!B148)</f>
        <v>8.9400000000000048</v>
      </c>
      <c r="E146">
        <f>-(Historical_Simulation!C147-Historical_Simulation!C148)</f>
        <v>95.849999999999909</v>
      </c>
      <c r="G146">
        <f>-(Historical_Simulation!D147-Historical_Simulation!D148)</f>
        <v>24.27000000000001</v>
      </c>
      <c r="J146" s="23">
        <v>43908</v>
      </c>
      <c r="K146" s="24">
        <f t="shared" si="8"/>
        <v>-11.240651960266245</v>
      </c>
      <c r="L146" s="25"/>
      <c r="M146" s="25"/>
      <c r="N146" s="27"/>
      <c r="Q146" s="23">
        <v>43908</v>
      </c>
      <c r="R146" s="24">
        <f t="shared" si="9"/>
        <v>-7.2183356949756892</v>
      </c>
      <c r="S146" s="25"/>
      <c r="T146" s="25"/>
      <c r="U146" s="27"/>
      <c r="X146" s="47">
        <v>43908</v>
      </c>
      <c r="Y146" s="48">
        <f t="shared" si="10"/>
        <v>6.6602957357616308</v>
      </c>
      <c r="Z146" s="49"/>
      <c r="AA146" s="49"/>
      <c r="AB146" s="51"/>
      <c r="AE146" s="47">
        <v>43908</v>
      </c>
      <c r="AF146" s="48">
        <f t="shared" si="11"/>
        <v>5.111780761534737</v>
      </c>
      <c r="AG146" s="49"/>
      <c r="AH146" s="49"/>
      <c r="AI146" s="51"/>
    </row>
    <row r="147" spans="1:35" x14ac:dyDescent="0.3">
      <c r="A147" s="20">
        <v>43903</v>
      </c>
      <c r="C147">
        <f>-(Historical_Simulation!B148-Historical_Simulation!B149)</f>
        <v>-7.4350000000000094</v>
      </c>
      <c r="E147">
        <f>-(Historical_Simulation!C148-Historical_Simulation!C149)</f>
        <v>-108.3900000000001</v>
      </c>
      <c r="G147">
        <f>-(Historical_Simulation!D148-Historical_Simulation!D149)</f>
        <v>-15.810000000000002</v>
      </c>
      <c r="J147" s="23">
        <v>43907</v>
      </c>
      <c r="K147" s="24">
        <f t="shared" si="8"/>
        <v>-65.249331237784872</v>
      </c>
      <c r="L147" s="25"/>
      <c r="M147" s="25"/>
      <c r="N147" s="27"/>
      <c r="Q147" s="23">
        <v>43907</v>
      </c>
      <c r="R147" s="24">
        <f t="shared" si="9"/>
        <v>-45.563607290890531</v>
      </c>
      <c r="S147" s="25"/>
      <c r="T147" s="25"/>
      <c r="U147" s="27"/>
      <c r="X147" s="47">
        <v>43907</v>
      </c>
      <c r="Y147" s="48">
        <f t="shared" si="10"/>
        <v>-6.850790205459619</v>
      </c>
      <c r="Z147" s="49"/>
      <c r="AA147" s="49"/>
      <c r="AB147" s="51"/>
      <c r="AE147" s="47">
        <v>43907</v>
      </c>
      <c r="AF147" s="48">
        <f t="shared" si="11"/>
        <v>-5.5822806786271491</v>
      </c>
      <c r="AG147" s="49"/>
      <c r="AH147" s="49"/>
      <c r="AI147" s="51"/>
    </row>
    <row r="148" spans="1:35" x14ac:dyDescent="0.3">
      <c r="A148" s="20">
        <v>43902</v>
      </c>
      <c r="C148">
        <f>-(Historical_Simulation!B149-Historical_Simulation!B150)</f>
        <v>6.8000000000000043</v>
      </c>
      <c r="E148">
        <f>-(Historical_Simulation!C149-Historical_Simulation!C150)</f>
        <v>144.25</v>
      </c>
      <c r="G148">
        <f>-(Historical_Simulation!D149-Historical_Simulation!D150)</f>
        <v>15.77000000000001</v>
      </c>
      <c r="J148" s="23">
        <v>43906</v>
      </c>
      <c r="K148" s="24">
        <f t="shared" si="8"/>
        <v>55.820450779995134</v>
      </c>
      <c r="L148" s="25"/>
      <c r="M148" s="25"/>
      <c r="N148" s="27"/>
      <c r="Q148" s="23">
        <v>43906</v>
      </c>
      <c r="R148" s="24">
        <f t="shared" si="9"/>
        <v>41.074926932419451</v>
      </c>
      <c r="S148" s="25"/>
      <c r="T148" s="25"/>
      <c r="U148" s="27"/>
      <c r="X148" s="47">
        <v>43906</v>
      </c>
      <c r="Y148" s="48">
        <f t="shared" si="10"/>
        <v>94.834968360797859</v>
      </c>
      <c r="Z148" s="49"/>
      <c r="AA148" s="49"/>
      <c r="AB148" s="51"/>
      <c r="AE148" s="47">
        <v>43906</v>
      </c>
      <c r="AF148" s="48">
        <f t="shared" si="11"/>
        <v>68.819916793785268</v>
      </c>
      <c r="AG148" s="49"/>
      <c r="AH148" s="49"/>
      <c r="AI148" s="51"/>
    </row>
    <row r="149" spans="1:35" x14ac:dyDescent="0.3">
      <c r="A149" s="20">
        <v>43901</v>
      </c>
      <c r="C149">
        <f>-(Historical_Simulation!B150-Historical_Simulation!B151)</f>
        <v>2.477499999999992</v>
      </c>
      <c r="E149">
        <f>-(Historical_Simulation!C150-Historical_Simulation!C151)</f>
        <v>70.960000000000036</v>
      </c>
      <c r="G149">
        <f>-(Historical_Simulation!D150-Historical_Simulation!D151)</f>
        <v>7.9499999999999886</v>
      </c>
      <c r="J149" s="23">
        <v>43903</v>
      </c>
      <c r="K149" s="24">
        <f t="shared" si="8"/>
        <v>-61.891517184379452</v>
      </c>
      <c r="L149" s="25"/>
      <c r="M149" s="25"/>
      <c r="N149" s="27"/>
      <c r="Q149" s="23">
        <v>43903</v>
      </c>
      <c r="R149" s="24">
        <f t="shared" si="9"/>
        <v>-44.763058318518155</v>
      </c>
      <c r="S149" s="25"/>
      <c r="T149" s="25"/>
      <c r="U149" s="27"/>
      <c r="X149" s="47">
        <v>43903</v>
      </c>
      <c r="Y149" s="48">
        <f t="shared" si="10"/>
        <v>-54.360659492608036</v>
      </c>
      <c r="Z149" s="49"/>
      <c r="AA149" s="49"/>
      <c r="AB149" s="51"/>
      <c r="AE149" s="47">
        <v>43903</v>
      </c>
      <c r="AF149" s="48">
        <f t="shared" si="11"/>
        <v>-40.148261783949849</v>
      </c>
      <c r="AG149" s="49"/>
      <c r="AH149" s="49"/>
      <c r="AI149" s="51"/>
    </row>
    <row r="150" spans="1:35" x14ac:dyDescent="0.3">
      <c r="A150" s="20">
        <v>43900</v>
      </c>
      <c r="C150">
        <f>-(Historical_Simulation!B151-Historical_Simulation!B152)</f>
        <v>-4.7925999999999931</v>
      </c>
      <c r="E150">
        <f>-(Historical_Simulation!C151-Historical_Simulation!C152)</f>
        <v>-91.210000000000036</v>
      </c>
      <c r="G150">
        <f>-(Historical_Simulation!D151-Historical_Simulation!D152)</f>
        <v>-8.6899999999999977</v>
      </c>
      <c r="J150" s="23">
        <v>43902</v>
      </c>
      <c r="K150" s="24">
        <f t="shared" si="8"/>
        <v>80.942422732830948</v>
      </c>
      <c r="L150" s="25"/>
      <c r="M150" s="25"/>
      <c r="N150" s="27"/>
      <c r="Q150" s="23">
        <v>43902</v>
      </c>
      <c r="R150" s="24">
        <f t="shared" si="9"/>
        <v>57.622065433909306</v>
      </c>
      <c r="S150" s="25"/>
      <c r="T150" s="25"/>
      <c r="U150" s="27"/>
      <c r="X150" s="47">
        <v>43902</v>
      </c>
      <c r="Y150" s="48">
        <f t="shared" si="10"/>
        <v>57.059482465515785</v>
      </c>
      <c r="Z150" s="49"/>
      <c r="AA150" s="49"/>
      <c r="AB150" s="51"/>
      <c r="AE150" s="47">
        <v>43902</v>
      </c>
      <c r="AF150" s="48">
        <f t="shared" si="11"/>
        <v>41.837368143526035</v>
      </c>
      <c r="AG150" s="49"/>
      <c r="AH150" s="49"/>
      <c r="AI150" s="51"/>
    </row>
    <row r="151" spans="1:35" x14ac:dyDescent="0.3">
      <c r="A151" s="20">
        <v>43899</v>
      </c>
      <c r="C151">
        <f>-(Historical_Simulation!B152-Historical_Simulation!B153)</f>
        <v>5.7150999999999925</v>
      </c>
      <c r="E151">
        <f>-(Historical_Simulation!C152-Historical_Simulation!C153)</f>
        <v>100.48000000000002</v>
      </c>
      <c r="G151">
        <f>-(Historical_Simulation!D152-Historical_Simulation!D153)</f>
        <v>11.590000000000003</v>
      </c>
      <c r="J151" s="23">
        <v>43901</v>
      </c>
      <c r="K151" s="24">
        <f t="shared" si="8"/>
        <v>39.417903527108756</v>
      </c>
      <c r="L151" s="25"/>
      <c r="M151" s="25"/>
      <c r="N151" s="27"/>
      <c r="Q151" s="23">
        <v>43901</v>
      </c>
      <c r="R151" s="24">
        <f t="shared" si="9"/>
        <v>27.798868469099272</v>
      </c>
      <c r="S151" s="25"/>
      <c r="T151" s="25"/>
      <c r="U151" s="27"/>
      <c r="X151" s="47">
        <v>43901</v>
      </c>
      <c r="Y151" s="48">
        <f t="shared" si="10"/>
        <v>33.14026675502059</v>
      </c>
      <c r="Z151" s="49"/>
      <c r="AA151" s="49"/>
      <c r="AB151" s="51"/>
      <c r="AE151" s="47">
        <v>43901</v>
      </c>
      <c r="AF151" s="48">
        <f t="shared" si="11"/>
        <v>23.853419416437667</v>
      </c>
      <c r="AG151" s="49"/>
      <c r="AH151" s="49"/>
      <c r="AI151" s="51"/>
    </row>
    <row r="152" spans="1:35" x14ac:dyDescent="0.3">
      <c r="A152" s="20">
        <v>43896</v>
      </c>
      <c r="C152">
        <f>-(Historical_Simulation!B153-Historical_Simulation!B154)</f>
        <v>0.9725000000000108</v>
      </c>
      <c r="E152">
        <f>-(Historical_Simulation!C153-Historical_Simulation!C154)</f>
        <v>22.940000000000055</v>
      </c>
      <c r="G152">
        <f>-(Historical_Simulation!D153-Historical_Simulation!D154)</f>
        <v>4.0799999999999841</v>
      </c>
      <c r="J152" s="23">
        <v>43900</v>
      </c>
      <c r="K152" s="24">
        <f t="shared" si="8"/>
        <v>-51.407335556727155</v>
      </c>
      <c r="L152" s="25"/>
      <c r="M152" s="25"/>
      <c r="N152" s="27"/>
      <c r="Q152" s="23">
        <v>43900</v>
      </c>
      <c r="R152" s="24">
        <f t="shared" si="9"/>
        <v>-36.745388340693452</v>
      </c>
      <c r="S152" s="25"/>
      <c r="T152" s="25"/>
      <c r="U152" s="27"/>
      <c r="X152" s="47">
        <v>43900</v>
      </c>
      <c r="Y152" s="48">
        <f t="shared" si="10"/>
        <v>-26.629980932118311</v>
      </c>
      <c r="Z152" s="49"/>
      <c r="AA152" s="49"/>
      <c r="AB152" s="51"/>
      <c r="AE152" s="47">
        <v>43900</v>
      </c>
      <c r="AF152" s="48">
        <f t="shared" si="11"/>
        <v>-20.016082564390011</v>
      </c>
      <c r="AG152" s="49"/>
      <c r="AH152" s="49"/>
      <c r="AI152" s="51"/>
    </row>
    <row r="153" spans="1:35" x14ac:dyDescent="0.3">
      <c r="A153" s="20">
        <v>43895</v>
      </c>
      <c r="C153">
        <f>-(Historical_Simulation!B154-Historical_Simulation!B155)</f>
        <v>2.4549999999999983</v>
      </c>
      <c r="E153">
        <f>-(Historical_Simulation!C154-Historical_Simulation!C155)</f>
        <v>51.799999999999955</v>
      </c>
      <c r="G153">
        <f>-(Historical_Simulation!D154-Historical_Simulation!D155)</f>
        <v>6.5900000000000034</v>
      </c>
      <c r="J153" s="23">
        <v>43899</v>
      </c>
      <c r="K153" s="24">
        <f t="shared" si="8"/>
        <v>56.832592004615876</v>
      </c>
      <c r="L153" s="25"/>
      <c r="M153" s="25"/>
      <c r="N153" s="27"/>
      <c r="Q153" s="23">
        <v>43899</v>
      </c>
      <c r="R153" s="24">
        <f t="shared" si="9"/>
        <v>40.75437208903508</v>
      </c>
      <c r="S153" s="25"/>
      <c r="T153" s="25"/>
      <c r="U153" s="27"/>
      <c r="X153" s="47">
        <v>43899</v>
      </c>
      <c r="Y153" s="48">
        <f t="shared" si="10"/>
        <v>38.632539636193869</v>
      </c>
      <c r="Z153" s="49"/>
      <c r="AA153" s="49"/>
      <c r="AB153" s="51"/>
      <c r="AE153" s="47">
        <v>43899</v>
      </c>
      <c r="AF153" s="48">
        <f t="shared" si="11"/>
        <v>28.662818406510731</v>
      </c>
      <c r="AG153" s="49"/>
      <c r="AH153" s="49"/>
      <c r="AI153" s="51"/>
    </row>
    <row r="154" spans="1:35" x14ac:dyDescent="0.3">
      <c r="A154" s="20">
        <v>43894</v>
      </c>
      <c r="C154">
        <f>-(Historical_Simulation!B155-Historical_Simulation!B156)</f>
        <v>-3.355000000000004</v>
      </c>
      <c r="E154">
        <f>-(Historical_Simulation!C155-Historical_Simulation!C156)</f>
        <v>-66.839999999999918</v>
      </c>
      <c r="G154">
        <f>-(Historical_Simulation!D155-Historical_Simulation!D156)</f>
        <v>-5.8700000000000045</v>
      </c>
      <c r="J154" s="23">
        <v>43896</v>
      </c>
      <c r="K154" s="24">
        <f t="shared" si="8"/>
        <v>12.822071999879729</v>
      </c>
      <c r="L154" s="25"/>
      <c r="M154" s="25"/>
      <c r="N154" s="27"/>
      <c r="Q154" s="23">
        <v>43896</v>
      </c>
      <c r="R154" s="24">
        <f t="shared" si="9"/>
        <v>9.094971607271054</v>
      </c>
      <c r="S154" s="25"/>
      <c r="T154" s="25"/>
      <c r="U154" s="27"/>
      <c r="X154" s="47">
        <v>43896</v>
      </c>
      <c r="Y154" s="48">
        <f t="shared" si="10"/>
        <v>18.384020820689962</v>
      </c>
      <c r="Z154" s="49"/>
      <c r="AA154" s="49"/>
      <c r="AB154" s="51"/>
      <c r="AE154" s="47">
        <v>43896</v>
      </c>
      <c r="AF154" s="48">
        <f t="shared" si="11"/>
        <v>13.110584894761006</v>
      </c>
      <c r="AG154" s="49"/>
      <c r="AH154" s="49"/>
      <c r="AI154" s="51"/>
    </row>
    <row r="155" spans="1:35" x14ac:dyDescent="0.3">
      <c r="A155" s="20">
        <v>43893</v>
      </c>
      <c r="C155">
        <f>-(Historical_Simulation!B156-Historical_Simulation!B157)</f>
        <v>2.3725000000000023</v>
      </c>
      <c r="E155">
        <f>-(Historical_Simulation!C156-Historical_Simulation!C157)</f>
        <v>44.960000000000036</v>
      </c>
      <c r="G155">
        <f>-(Historical_Simulation!D156-Historical_Simulation!D157)</f>
        <v>10.550000000000011</v>
      </c>
      <c r="J155" s="23">
        <v>43895</v>
      </c>
      <c r="K155" s="24">
        <f t="shared" si="8"/>
        <v>29.072372497282934</v>
      </c>
      <c r="L155" s="25"/>
      <c r="M155" s="25"/>
      <c r="N155" s="27"/>
      <c r="Q155" s="23">
        <v>43895</v>
      </c>
      <c r="R155" s="24">
        <f t="shared" si="9"/>
        <v>20.700287878037482</v>
      </c>
      <c r="S155" s="25"/>
      <c r="T155" s="25"/>
      <c r="U155" s="27"/>
      <c r="X155" s="47">
        <v>43895</v>
      </c>
      <c r="Y155" s="48">
        <f t="shared" si="10"/>
        <v>25.623668895753383</v>
      </c>
      <c r="Z155" s="49"/>
      <c r="AA155" s="49"/>
      <c r="AB155" s="51"/>
      <c r="AE155" s="47">
        <v>43895</v>
      </c>
      <c r="AF155" s="48">
        <f t="shared" si="11"/>
        <v>18.606562683777057</v>
      </c>
      <c r="AG155" s="49"/>
      <c r="AH155" s="49"/>
      <c r="AI155" s="51"/>
    </row>
    <row r="156" spans="1:35" x14ac:dyDescent="0.3">
      <c r="A156" s="20">
        <v>43892</v>
      </c>
      <c r="C156">
        <f>-(Historical_Simulation!B157-Historical_Simulation!B158)</f>
        <v>-6.3624999999999972</v>
      </c>
      <c r="E156">
        <f>-(Historical_Simulation!C157-Historical_Simulation!C158)</f>
        <v>-70.200000000000045</v>
      </c>
      <c r="G156">
        <f>-(Historical_Simulation!D157-Historical_Simulation!D158)</f>
        <v>-3.9699999999999989</v>
      </c>
      <c r="J156" s="23">
        <v>43894</v>
      </c>
      <c r="K156" s="24">
        <f t="shared" si="8"/>
        <v>-37.599683209849161</v>
      </c>
      <c r="L156" s="25"/>
      <c r="M156" s="25"/>
      <c r="N156" s="27"/>
      <c r="Q156" s="23">
        <v>43894</v>
      </c>
      <c r="R156" s="24">
        <f t="shared" si="9"/>
        <v>-26.828545464326869</v>
      </c>
      <c r="S156" s="25"/>
      <c r="T156" s="25"/>
      <c r="U156" s="27"/>
      <c r="X156" s="47">
        <v>43894</v>
      </c>
      <c r="Y156" s="48">
        <f t="shared" si="10"/>
        <v>-17.446705507332464</v>
      </c>
      <c r="Z156" s="49"/>
      <c r="AA156" s="49"/>
      <c r="AB156" s="51"/>
      <c r="AE156" s="47">
        <v>43894</v>
      </c>
      <c r="AF156" s="48">
        <f t="shared" si="11"/>
        <v>-13.178743687956295</v>
      </c>
      <c r="AG156" s="49"/>
      <c r="AH156" s="49"/>
      <c r="AI156" s="51"/>
    </row>
    <row r="157" spans="1:35" x14ac:dyDescent="0.3">
      <c r="A157" s="20">
        <v>43889</v>
      </c>
      <c r="C157">
        <f>-(Historical_Simulation!B158-Historical_Simulation!B159)</f>
        <v>3.9999999999992042E-2</v>
      </c>
      <c r="E157">
        <f>-(Historical_Simulation!C158-Historical_Simulation!C159)</f>
        <v>0.54999999999995453</v>
      </c>
      <c r="G157">
        <f>-(Historical_Simulation!D158-Historical_Simulation!D159)</f>
        <v>-2.7199999999999989</v>
      </c>
      <c r="J157" s="23">
        <v>43893</v>
      </c>
      <c r="K157" s="24">
        <f t="shared" si="8"/>
        <v>25.344783944230198</v>
      </c>
      <c r="L157" s="25"/>
      <c r="M157" s="25"/>
      <c r="N157" s="27"/>
      <c r="Q157" s="23">
        <v>43893</v>
      </c>
      <c r="R157" s="24">
        <f t="shared" si="9"/>
        <v>18.119205796046668</v>
      </c>
      <c r="S157" s="25"/>
      <c r="T157" s="25"/>
      <c r="U157" s="27"/>
      <c r="X157" s="47">
        <v>43893</v>
      </c>
      <c r="Y157" s="48">
        <f t="shared" si="10"/>
        <v>48.191554388155581</v>
      </c>
      <c r="Z157" s="49"/>
      <c r="AA157" s="49"/>
      <c r="AB157" s="51"/>
      <c r="AE157" s="47">
        <v>43893</v>
      </c>
      <c r="AF157" s="48">
        <f t="shared" si="11"/>
        <v>34.314314715014966</v>
      </c>
      <c r="AG157" s="49"/>
      <c r="AH157" s="49"/>
      <c r="AI157" s="51"/>
    </row>
    <row r="158" spans="1:35" x14ac:dyDescent="0.3">
      <c r="A158" s="20">
        <v>43888</v>
      </c>
      <c r="C158">
        <f>-(Historical_Simulation!B159-Historical_Simulation!B160)</f>
        <v>4.7824000000000098</v>
      </c>
      <c r="E158">
        <f>-(Historical_Simulation!C159-Historical_Simulation!C160)</f>
        <v>95.289999999999964</v>
      </c>
      <c r="G158">
        <f>-(Historical_Simulation!D159-Historical_Simulation!D160)</f>
        <v>7.4499999999999886</v>
      </c>
      <c r="J158" s="23">
        <v>43892</v>
      </c>
      <c r="K158" s="24">
        <f t="shared" si="8"/>
        <v>-40.797326563893044</v>
      </c>
      <c r="L158" s="25"/>
      <c r="M158" s="25"/>
      <c r="N158" s="27"/>
      <c r="Q158" s="23">
        <v>43892</v>
      </c>
      <c r="R158" s="24">
        <f t="shared" si="9"/>
        <v>-29.966382154508459</v>
      </c>
      <c r="S158" s="25"/>
      <c r="T158" s="25"/>
      <c r="U158" s="27"/>
      <c r="X158" s="47">
        <v>43892</v>
      </c>
      <c r="Y158" s="48">
        <f t="shared" si="10"/>
        <v>7.0428301893808651</v>
      </c>
      <c r="Z158" s="49"/>
      <c r="AA158" s="49"/>
      <c r="AB158" s="51"/>
      <c r="AE158" s="47">
        <v>43892</v>
      </c>
      <c r="AF158" s="48">
        <f t="shared" si="11"/>
        <v>2.9827512021611966</v>
      </c>
      <c r="AG158" s="49"/>
      <c r="AH158" s="49"/>
      <c r="AI158" s="51"/>
    </row>
    <row r="159" spans="1:35" x14ac:dyDescent="0.3">
      <c r="A159" s="20">
        <v>43887</v>
      </c>
      <c r="C159">
        <f>-(Historical_Simulation!B160-Historical_Simulation!B161)</f>
        <v>-1.1424000000000092</v>
      </c>
      <c r="E159">
        <f>-(Historical_Simulation!C160-Historical_Simulation!C161)</f>
        <v>-6.8499999999999091</v>
      </c>
      <c r="G159">
        <f>-(Historical_Simulation!D160-Historical_Simulation!D161)</f>
        <v>-0.4299999999999784</v>
      </c>
      <c r="J159" s="23">
        <v>43889</v>
      </c>
      <c r="K159" s="24">
        <f t="shared" si="8"/>
        <v>0.31510102287188002</v>
      </c>
      <c r="L159" s="25"/>
      <c r="M159" s="25"/>
      <c r="N159" s="27"/>
      <c r="Q159" s="23">
        <v>43889</v>
      </c>
      <c r="R159" s="24">
        <f t="shared" si="9"/>
        <v>0.22857223260306109</v>
      </c>
      <c r="S159" s="25"/>
      <c r="T159" s="25"/>
      <c r="U159" s="27"/>
      <c r="X159" s="47">
        <v>43889</v>
      </c>
      <c r="Y159" s="48">
        <f t="shared" si="10"/>
        <v>-15.424456143235574</v>
      </c>
      <c r="Z159" s="49"/>
      <c r="AA159" s="49"/>
      <c r="AB159" s="51"/>
      <c r="AE159" s="47">
        <v>43889</v>
      </c>
      <c r="AF159" s="48">
        <f t="shared" si="11"/>
        <v>-10.740728659546436</v>
      </c>
      <c r="AG159" s="49"/>
      <c r="AH159" s="49"/>
      <c r="AI159" s="51"/>
    </row>
    <row r="160" spans="1:35" x14ac:dyDescent="0.3">
      <c r="A160" s="20">
        <v>43886</v>
      </c>
      <c r="C160">
        <f>-(Historical_Simulation!B161-Historical_Simulation!B162)</f>
        <v>2.5250000000000057</v>
      </c>
      <c r="E160">
        <f>-(Historical_Simulation!C161-Historical_Simulation!C162)</f>
        <v>36.549999999999955</v>
      </c>
      <c r="G160">
        <f>-(Historical_Simulation!D161-Historical_Simulation!D162)</f>
        <v>3.9499999999999886</v>
      </c>
      <c r="J160" s="23">
        <v>43888</v>
      </c>
      <c r="K160" s="24">
        <f t="shared" si="8"/>
        <v>53.603445760159829</v>
      </c>
      <c r="L160" s="25"/>
      <c r="M160" s="25"/>
      <c r="N160" s="27"/>
      <c r="Q160" s="23">
        <v>43888</v>
      </c>
      <c r="R160" s="24">
        <f t="shared" si="9"/>
        <v>38.247537646170159</v>
      </c>
      <c r="S160" s="25"/>
      <c r="T160" s="25"/>
      <c r="U160" s="27"/>
      <c r="X160" s="47">
        <v>43888</v>
      </c>
      <c r="Y160" s="48">
        <f t="shared" si="10"/>
        <v>19.729133046266316</v>
      </c>
      <c r="Z160" s="49"/>
      <c r="AA160" s="49"/>
      <c r="AB160" s="51"/>
      <c r="AE160" s="47">
        <v>43888</v>
      </c>
      <c r="AF160" s="48">
        <f t="shared" si="11"/>
        <v>15.202208613118097</v>
      </c>
      <c r="AG160" s="49"/>
      <c r="AH160" s="49"/>
      <c r="AI160" s="51"/>
    </row>
    <row r="161" spans="1:35" x14ac:dyDescent="0.3">
      <c r="A161" s="20">
        <v>43885</v>
      </c>
      <c r="C161">
        <f>-(Historical_Simulation!B162-Historical_Simulation!B163)</f>
        <v>3.7175000000000011</v>
      </c>
      <c r="E161">
        <f>-(Historical_Simulation!C162-Historical_Simulation!C163)</f>
        <v>86.679999999999836</v>
      </c>
      <c r="G161">
        <f>-(Historical_Simulation!D162-Historical_Simulation!D163)</f>
        <v>9.460000000000008</v>
      </c>
      <c r="J161" s="23">
        <v>43887</v>
      </c>
      <c r="K161" s="24">
        <f t="shared" si="8"/>
        <v>-4.2211580355758445</v>
      </c>
      <c r="L161" s="25"/>
      <c r="M161" s="25"/>
      <c r="N161" s="27"/>
      <c r="Q161" s="23">
        <v>43887</v>
      </c>
      <c r="R161" s="24">
        <f t="shared" si="9"/>
        <v>-3.2527821074614547</v>
      </c>
      <c r="S161" s="25"/>
      <c r="T161" s="25"/>
      <c r="U161" s="27"/>
      <c r="X161" s="47">
        <v>43887</v>
      </c>
      <c r="Y161" s="48">
        <f t="shared" si="10"/>
        <v>2.8492226653773565</v>
      </c>
      <c r="Z161" s="49"/>
      <c r="AA161" s="49"/>
      <c r="AB161" s="51"/>
      <c r="AE161" s="47">
        <v>43887</v>
      </c>
      <c r="AF161" s="48">
        <f t="shared" si="11"/>
        <v>1.6402779337178288</v>
      </c>
      <c r="AG161" s="49"/>
      <c r="AH161" s="49"/>
      <c r="AI161" s="51"/>
    </row>
    <row r="162" spans="1:35" x14ac:dyDescent="0.3">
      <c r="A162" s="20">
        <v>43882</v>
      </c>
      <c r="C162">
        <f>-(Historical_Simulation!B163-Historical_Simulation!B164)</f>
        <v>1.8125</v>
      </c>
      <c r="E162">
        <f>-(Historical_Simulation!C163-Historical_Simulation!C164)</f>
        <v>57.130000000000109</v>
      </c>
      <c r="G162">
        <f>-(Historical_Simulation!D163-Historical_Simulation!D164)</f>
        <v>4.4000000000000057</v>
      </c>
      <c r="J162" s="23">
        <v>43886</v>
      </c>
      <c r="K162" s="24">
        <f t="shared" si="8"/>
        <v>20.878553535718954</v>
      </c>
      <c r="L162" s="25"/>
      <c r="M162" s="25"/>
      <c r="N162" s="27"/>
      <c r="Q162" s="23">
        <v>43886</v>
      </c>
      <c r="R162" s="24">
        <f t="shared" si="9"/>
        <v>15.105725910431156</v>
      </c>
      <c r="S162" s="25"/>
      <c r="T162" s="25"/>
      <c r="U162" s="27"/>
      <c r="X162" s="47">
        <v>43886</v>
      </c>
      <c r="Y162" s="48">
        <f t="shared" si="10"/>
        <v>10.509365943518297</v>
      </c>
      <c r="Z162" s="49"/>
      <c r="AA162" s="49"/>
      <c r="AB162" s="51"/>
      <c r="AE162" s="47">
        <v>43886</v>
      </c>
      <c r="AF162" s="48">
        <f t="shared" si="11"/>
        <v>8.0911370796570807</v>
      </c>
      <c r="AG162" s="49"/>
      <c r="AH162" s="49"/>
      <c r="AI162" s="51"/>
    </row>
    <row r="163" spans="1:35" x14ac:dyDescent="0.3">
      <c r="A163" s="20">
        <v>43881</v>
      </c>
      <c r="C163">
        <f>-(Historical_Simulation!B164-Historical_Simulation!B165)</f>
        <v>0.82999999999999829</v>
      </c>
      <c r="E163">
        <f>-(Historical_Simulation!C164-Historical_Simulation!C165)</f>
        <v>17.119999999999891</v>
      </c>
      <c r="G163">
        <f>-(Historical_Simulation!D164-Historical_Simulation!D165)</f>
        <v>2.9099999999999966</v>
      </c>
      <c r="J163" s="23">
        <v>43885</v>
      </c>
      <c r="K163" s="24">
        <f t="shared" si="8"/>
        <v>48.468614921589491</v>
      </c>
      <c r="L163" s="25"/>
      <c r="M163" s="25"/>
      <c r="N163" s="27"/>
      <c r="Q163" s="23">
        <v>43885</v>
      </c>
      <c r="R163" s="24">
        <f t="shared" si="9"/>
        <v>34.392840877123987</v>
      </c>
      <c r="S163" s="25"/>
      <c r="T163" s="25"/>
      <c r="U163" s="27"/>
      <c r="X163" s="47">
        <v>43885</v>
      </c>
      <c r="Y163" s="48">
        <f t="shared" si="10"/>
        <v>35.893093986424148</v>
      </c>
      <c r="Z163" s="49"/>
      <c r="AA163" s="49"/>
      <c r="AB163" s="51"/>
      <c r="AE163" s="47">
        <v>43885</v>
      </c>
      <c r="AF163" s="48">
        <f t="shared" si="11"/>
        <v>26.148055915741175</v>
      </c>
      <c r="AG163" s="49"/>
      <c r="AH163" s="49"/>
      <c r="AI163" s="51"/>
    </row>
    <row r="164" spans="1:35" x14ac:dyDescent="0.3">
      <c r="A164" s="20">
        <v>43880</v>
      </c>
      <c r="C164">
        <f>-(Historical_Simulation!B165-Historical_Simulation!B166)</f>
        <v>-1.1550000000000011</v>
      </c>
      <c r="E164">
        <f>-(Historical_Simulation!C165-Historical_Simulation!C166)</f>
        <v>-14.549999999999727</v>
      </c>
      <c r="G164">
        <f>-(Historical_Simulation!D165-Historical_Simulation!D166)</f>
        <v>0.31000000000000227</v>
      </c>
      <c r="J164" s="23">
        <v>43882</v>
      </c>
      <c r="K164" s="24">
        <f t="shared" si="8"/>
        <v>31.6515212406212</v>
      </c>
      <c r="L164" s="25"/>
      <c r="M164" s="25"/>
      <c r="N164" s="27"/>
      <c r="Q164" s="23">
        <v>43882</v>
      </c>
      <c r="R164" s="24">
        <f t="shared" si="9"/>
        <v>22.266116621609921</v>
      </c>
      <c r="S164" s="25"/>
      <c r="T164" s="25"/>
      <c r="U164" s="27"/>
      <c r="X164" s="47">
        <v>43882</v>
      </c>
      <c r="Y164" s="48">
        <f t="shared" si="10"/>
        <v>16.310427634283421</v>
      </c>
      <c r="Z164" s="49"/>
      <c r="AA164" s="49"/>
      <c r="AB164" s="51"/>
      <c r="AE164" s="47">
        <v>43882</v>
      </c>
      <c r="AF164" s="48">
        <f t="shared" si="11"/>
        <v>11.919433118324832</v>
      </c>
      <c r="AG164" s="49"/>
      <c r="AH164" s="49"/>
      <c r="AI164" s="51"/>
    </row>
    <row r="165" spans="1:35" x14ac:dyDescent="0.3">
      <c r="A165" s="20">
        <v>43879</v>
      </c>
      <c r="C165">
        <f>-(Historical_Simulation!B166-Historical_Simulation!B167)</f>
        <v>1.4874999999999972</v>
      </c>
      <c r="E165">
        <f>-(Historical_Simulation!C166-Historical_Simulation!C167)</f>
        <v>-20.800000000000182</v>
      </c>
      <c r="G165">
        <f>-(Historical_Simulation!D166-Historical_Simulation!D167)</f>
        <v>-3.6200000000000045</v>
      </c>
      <c r="J165" s="23">
        <v>43881</v>
      </c>
      <c r="K165" s="24">
        <f t="shared" si="8"/>
        <v>9.6170503187908913</v>
      </c>
      <c r="L165" s="25"/>
      <c r="M165" s="25"/>
      <c r="N165" s="27"/>
      <c r="Q165" s="23">
        <v>43881</v>
      </c>
      <c r="R165" s="24">
        <f t="shared" si="9"/>
        <v>6.8532189590278421</v>
      </c>
      <c r="S165" s="25"/>
      <c r="T165" s="25"/>
      <c r="U165" s="27"/>
      <c r="X165" s="47">
        <v>43881</v>
      </c>
      <c r="Y165" s="48">
        <f t="shared" si="10"/>
        <v>12.484372745626828</v>
      </c>
      <c r="Z165" s="49"/>
      <c r="AA165" s="49"/>
      <c r="AB165" s="51"/>
      <c r="AE165" s="47">
        <v>43881</v>
      </c>
      <c r="AF165" s="48">
        <f t="shared" si="11"/>
        <v>8.9546071057451524</v>
      </c>
      <c r="AG165" s="49"/>
      <c r="AH165" s="49"/>
      <c r="AI165" s="51"/>
    </row>
    <row r="166" spans="1:35" x14ac:dyDescent="0.3">
      <c r="A166" s="20">
        <v>43875</v>
      </c>
      <c r="C166">
        <f>-(Historical_Simulation!B167-Historical_Simulation!B168)</f>
        <v>-1.9999999999996021E-2</v>
      </c>
      <c r="E166">
        <f>-(Historical_Simulation!C167-Historical_Simulation!C168)</f>
        <v>15</v>
      </c>
      <c r="G166">
        <f>-(Historical_Simulation!D167-Historical_Simulation!D168)</f>
        <v>-1.0400000000000205</v>
      </c>
      <c r="J166" s="23">
        <v>43880</v>
      </c>
      <c r="K166" s="24">
        <f t="shared" si="8"/>
        <v>-8.3804474536649725</v>
      </c>
      <c r="L166" s="25"/>
      <c r="M166" s="25"/>
      <c r="N166" s="27"/>
      <c r="Q166" s="23">
        <v>43880</v>
      </c>
      <c r="R166" s="24">
        <f t="shared" si="9"/>
        <v>-6.1077942268985188</v>
      </c>
      <c r="S166" s="25"/>
      <c r="T166" s="25"/>
      <c r="U166" s="27"/>
      <c r="X166" s="47">
        <v>43880</v>
      </c>
      <c r="Y166" s="48">
        <f t="shared" si="10"/>
        <v>7.0534884963189226</v>
      </c>
      <c r="Z166" s="49"/>
      <c r="AA166" s="49"/>
      <c r="AB166" s="51"/>
      <c r="AE166" s="47">
        <v>43880</v>
      </c>
      <c r="AF166" s="48">
        <f t="shared" si="11"/>
        <v>4.5673795239984063</v>
      </c>
      <c r="AG166" s="49"/>
      <c r="AH166" s="49"/>
      <c r="AI166" s="51"/>
    </row>
    <row r="167" spans="1:35" x14ac:dyDescent="0.3">
      <c r="A167" s="20">
        <v>43874</v>
      </c>
      <c r="C167">
        <f>-(Historical_Simulation!B168-Historical_Simulation!B169)</f>
        <v>0.58249999999999602</v>
      </c>
      <c r="E167">
        <f>-(Historical_Simulation!C168-Historical_Simulation!C169)</f>
        <v>10.130000000000109</v>
      </c>
      <c r="G167">
        <f>-(Historical_Simulation!D168-Historical_Simulation!D169)</f>
        <v>-2.3799999999999955</v>
      </c>
      <c r="J167" s="23">
        <v>43879</v>
      </c>
      <c r="K167" s="24">
        <f t="shared" si="8"/>
        <v>-10.534684406387656</v>
      </c>
      <c r="L167" s="25"/>
      <c r="M167" s="25"/>
      <c r="N167" s="27"/>
      <c r="Q167" s="23">
        <v>43879</v>
      </c>
      <c r="R167" s="24">
        <f t="shared" si="9"/>
        <v>-6.7532914394926378</v>
      </c>
      <c r="S167" s="25"/>
      <c r="T167" s="25"/>
      <c r="U167" s="27"/>
      <c r="X167" s="47">
        <v>43879</v>
      </c>
      <c r="Y167" s="48">
        <f t="shared" si="10"/>
        <v>-27.130148460715922</v>
      </c>
      <c r="Z167" s="49"/>
      <c r="AA167" s="49"/>
      <c r="AB167" s="51"/>
      <c r="AE167" s="47">
        <v>43879</v>
      </c>
      <c r="AF167" s="48">
        <f t="shared" si="11"/>
        <v>-18.462707111823764</v>
      </c>
      <c r="AG167" s="49"/>
      <c r="AH167" s="49"/>
      <c r="AI167" s="51"/>
    </row>
    <row r="168" spans="1:35" x14ac:dyDescent="0.3">
      <c r="A168" s="20">
        <v>43873</v>
      </c>
      <c r="C168">
        <f>-(Historical_Simulation!B169-Historical_Simulation!B170)</f>
        <v>-1.8974999999999937</v>
      </c>
      <c r="E168">
        <f>-(Historical_Simulation!C169-Historical_Simulation!C170)</f>
        <v>-9.1999999999998181</v>
      </c>
      <c r="G168">
        <f>-(Historical_Simulation!D169-Historical_Simulation!D170)</f>
        <v>-3.5699999999999932</v>
      </c>
      <c r="J168" s="23">
        <v>43875</v>
      </c>
      <c r="K168" s="24">
        <f t="shared" si="8"/>
        <v>8.0819948304628664</v>
      </c>
      <c r="L168" s="25"/>
      <c r="M168" s="25"/>
      <c r="N168" s="27"/>
      <c r="Q168" s="23">
        <v>43875</v>
      </c>
      <c r="R168" s="24">
        <f t="shared" si="9"/>
        <v>5.5336371248986396</v>
      </c>
      <c r="S168" s="25"/>
      <c r="T168" s="25"/>
      <c r="U168" s="27"/>
      <c r="X168" s="47">
        <v>43875</v>
      </c>
      <c r="Y168" s="48">
        <f t="shared" si="10"/>
        <v>-5.7351250964132952</v>
      </c>
      <c r="Z168" s="49"/>
      <c r="AA168" s="49"/>
      <c r="AB168" s="51"/>
      <c r="AE168" s="47">
        <v>43875</v>
      </c>
      <c r="AF168" s="48">
        <f t="shared" si="11"/>
        <v>-4.0041823307020454</v>
      </c>
      <c r="AG168" s="49"/>
      <c r="AH168" s="49"/>
      <c r="AI168" s="51"/>
    </row>
    <row r="169" spans="1:35" x14ac:dyDescent="0.3">
      <c r="A169" s="20">
        <v>43872</v>
      </c>
      <c r="C169">
        <f>-(Historical_Simulation!B170-Historical_Simulation!B171)</f>
        <v>0.48499999999999943</v>
      </c>
      <c r="E169">
        <f>-(Historical_Simulation!C170-Historical_Simulation!C171)</f>
        <v>-16.890000000000327</v>
      </c>
      <c r="G169">
        <f>-(Historical_Simulation!D170-Historical_Simulation!D171)</f>
        <v>5.8700000000000045</v>
      </c>
      <c r="J169" s="23">
        <v>43874</v>
      </c>
      <c r="K169" s="24">
        <f t="shared" si="8"/>
        <v>5.7325529722932798</v>
      </c>
      <c r="L169" s="25"/>
      <c r="M169" s="25"/>
      <c r="N169" s="27"/>
      <c r="Q169" s="23">
        <v>43874</v>
      </c>
      <c r="R169" s="24">
        <f t="shared" si="9"/>
        <v>4.1126831191724573</v>
      </c>
      <c r="S169" s="25"/>
      <c r="T169" s="25"/>
      <c r="U169" s="27"/>
      <c r="X169" s="47">
        <v>43874</v>
      </c>
      <c r="Y169" s="48">
        <f t="shared" si="10"/>
        <v>-16.016576566788185</v>
      </c>
      <c r="Z169" s="49"/>
      <c r="AA169" s="49"/>
      <c r="AB169" s="51"/>
      <c r="AE169" s="47">
        <v>43874</v>
      </c>
      <c r="AF169" s="48">
        <f t="shared" si="11"/>
        <v>-10.989206034024027</v>
      </c>
      <c r="AG169" s="49"/>
      <c r="AH169" s="49"/>
      <c r="AI169" s="51"/>
    </row>
    <row r="170" spans="1:35" x14ac:dyDescent="0.3">
      <c r="A170" s="20">
        <v>43871</v>
      </c>
      <c r="C170">
        <f>-(Historical_Simulation!B171-Historical_Simulation!B172)</f>
        <v>-0.38000000000000966</v>
      </c>
      <c r="E170">
        <f>-(Historical_Simulation!C171-Historical_Simulation!C172)</f>
        <v>-54.629999999999654</v>
      </c>
      <c r="G170">
        <f>-(Historical_Simulation!D171-Historical_Simulation!D172)</f>
        <v>-0.72999999999998977</v>
      </c>
      <c r="J170" s="23">
        <v>43873</v>
      </c>
      <c r="K170" s="24">
        <f t="shared" si="8"/>
        <v>-5.8365690578863889</v>
      </c>
      <c r="L170" s="25"/>
      <c r="M170" s="25"/>
      <c r="N170" s="27"/>
      <c r="Q170" s="23">
        <v>43873</v>
      </c>
      <c r="R170" s="24">
        <f t="shared" si="9"/>
        <v>-4.5975955462430917</v>
      </c>
      <c r="S170" s="25"/>
      <c r="T170" s="25"/>
      <c r="U170" s="27"/>
      <c r="X170" s="47">
        <v>43873</v>
      </c>
      <c r="Y170" s="48">
        <f t="shared" si="10"/>
        <v>-11.268624238971572</v>
      </c>
      <c r="Z170" s="49"/>
      <c r="AA170" s="49"/>
      <c r="AB170" s="51"/>
      <c r="AE170" s="47">
        <v>43873</v>
      </c>
      <c r="AF170" s="48">
        <f t="shared" si="11"/>
        <v>-8.4303872040186363</v>
      </c>
      <c r="AG170" s="49"/>
      <c r="AH170" s="49"/>
      <c r="AI170" s="51"/>
    </row>
    <row r="171" spans="1:35" x14ac:dyDescent="0.3">
      <c r="A171" s="20">
        <v>43868</v>
      </c>
      <c r="C171">
        <f>-(Historical_Simulation!B172-Historical_Simulation!B173)</f>
        <v>1.2950000000000017</v>
      </c>
      <c r="E171">
        <f>-(Historical_Simulation!C172-Historical_Simulation!C173)</f>
        <v>-29.050000000000182</v>
      </c>
      <c r="G171">
        <f>-(Historical_Simulation!D172-Historical_Simulation!D173)</f>
        <v>-1.4800000000000182</v>
      </c>
      <c r="J171" s="23">
        <v>43872</v>
      </c>
      <c r="K171" s="24">
        <f t="shared" si="8"/>
        <v>-8.8873142596068533</v>
      </c>
      <c r="L171" s="25"/>
      <c r="M171" s="25"/>
      <c r="N171" s="27"/>
      <c r="Q171" s="23">
        <v>43872</v>
      </c>
      <c r="R171" s="24">
        <f t="shared" si="9"/>
        <v>-5.9393971401541714</v>
      </c>
      <c r="S171" s="25"/>
      <c r="T171" s="25"/>
      <c r="U171" s="27"/>
      <c r="X171" s="47">
        <v>43872</v>
      </c>
      <c r="Y171" s="48">
        <f t="shared" si="10"/>
        <v>30.65749867076952</v>
      </c>
      <c r="Z171" s="49"/>
      <c r="AA171" s="49"/>
      <c r="AB171" s="51"/>
      <c r="AE171" s="47">
        <v>43872</v>
      </c>
      <c r="AF171" s="48">
        <f t="shared" si="11"/>
        <v>21.519139069441216</v>
      </c>
      <c r="AG171" s="49"/>
      <c r="AH171" s="49"/>
      <c r="AI171" s="51"/>
    </row>
    <row r="172" spans="1:35" x14ac:dyDescent="0.3">
      <c r="A172" s="20">
        <v>43867</v>
      </c>
      <c r="C172">
        <f>-(Historical_Simulation!B173-Historical_Simulation!B174)</f>
        <v>-0.93999999999999773</v>
      </c>
      <c r="E172">
        <f>-(Historical_Simulation!C173-Historical_Simulation!C174)</f>
        <v>-10.360000000000127</v>
      </c>
      <c r="G172">
        <f>-(Historical_Simulation!D173-Historical_Simulation!D174)</f>
        <v>-0.73999999999998067</v>
      </c>
      <c r="J172" s="23">
        <v>43871</v>
      </c>
      <c r="K172" s="24">
        <f t="shared" si="8"/>
        <v>-29.643197040786134</v>
      </c>
      <c r="L172" s="25"/>
      <c r="M172" s="25"/>
      <c r="N172" s="27"/>
      <c r="Q172" s="23">
        <v>43871</v>
      </c>
      <c r="R172" s="24">
        <f t="shared" si="9"/>
        <v>-20.438909056308205</v>
      </c>
      <c r="S172" s="25"/>
      <c r="T172" s="25"/>
      <c r="U172" s="27"/>
      <c r="X172" s="47">
        <v>43871</v>
      </c>
      <c r="Y172" s="48">
        <f t="shared" si="10"/>
        <v>-2.3410723370044151</v>
      </c>
      <c r="Z172" s="49"/>
      <c r="AA172" s="49"/>
      <c r="AB172" s="51"/>
      <c r="AE172" s="47">
        <v>43871</v>
      </c>
      <c r="AF172" s="48">
        <f t="shared" si="11"/>
        <v>-1.7471213879858964</v>
      </c>
      <c r="AG172" s="49"/>
      <c r="AH172" s="49"/>
      <c r="AI172" s="51"/>
    </row>
    <row r="173" spans="1:35" x14ac:dyDescent="0.3">
      <c r="A173" s="20">
        <v>43866</v>
      </c>
      <c r="C173">
        <f>-(Historical_Simulation!B174-Historical_Simulation!B175)</f>
        <v>-0.64999999999999147</v>
      </c>
      <c r="E173">
        <f>-(Historical_Simulation!C174-Historical_Simulation!C175)</f>
        <v>9.8000000000001819</v>
      </c>
      <c r="G173">
        <f>-(Historical_Simulation!D174-Historical_Simulation!D175)</f>
        <v>-0.28000000000000114</v>
      </c>
      <c r="J173" s="23">
        <v>43868</v>
      </c>
      <c r="K173" s="24">
        <f t="shared" si="8"/>
        <v>-15.073510860878637</v>
      </c>
      <c r="L173" s="25"/>
      <c r="M173" s="25"/>
      <c r="N173" s="27"/>
      <c r="Q173" s="23">
        <v>43868</v>
      </c>
      <c r="R173" s="24">
        <f t="shared" si="9"/>
        <v>-9.9250478398834989</v>
      </c>
      <c r="S173" s="25"/>
      <c r="T173" s="25"/>
      <c r="U173" s="27"/>
      <c r="X173" s="47">
        <v>43868</v>
      </c>
      <c r="Y173" s="48">
        <f t="shared" si="10"/>
        <v>-14.25350210053592</v>
      </c>
      <c r="Z173" s="49"/>
      <c r="AA173" s="49"/>
      <c r="AB173" s="51"/>
      <c r="AE173" s="47">
        <v>43868</v>
      </c>
      <c r="AF173" s="48">
        <f t="shared" si="11"/>
        <v>-9.5443195761745088</v>
      </c>
      <c r="AG173" s="49"/>
      <c r="AH173" s="49"/>
      <c r="AI173" s="51"/>
    </row>
    <row r="174" spans="1:35" x14ac:dyDescent="0.3">
      <c r="A174" s="20">
        <v>43865</v>
      </c>
      <c r="C174">
        <f>-(Historical_Simulation!B175-Historical_Simulation!B176)</f>
        <v>-2.5474999999999994</v>
      </c>
      <c r="E174">
        <f>-(Historical_Simulation!C175-Historical_Simulation!C176)</f>
        <v>-45.470000000000027</v>
      </c>
      <c r="G174">
        <f>-(Historical_Simulation!D175-Historical_Simulation!D176)</f>
        <v>-5.6400000000000148</v>
      </c>
      <c r="J174" s="23">
        <v>43867</v>
      </c>
      <c r="K174" s="24">
        <f t="shared" si="8"/>
        <v>-6.0212777165753142</v>
      </c>
      <c r="L174" s="25"/>
      <c r="M174" s="25"/>
      <c r="N174" s="27"/>
      <c r="Q174" s="23">
        <v>43867</v>
      </c>
      <c r="R174" s="24">
        <f t="shared" si="9"/>
        <v>-4.4230400610216947</v>
      </c>
      <c r="S174" s="25"/>
      <c r="T174" s="25"/>
      <c r="U174" s="27"/>
      <c r="X174" s="47">
        <v>43867</v>
      </c>
      <c r="Y174" s="48">
        <f t="shared" si="10"/>
        <v>0.18061276400267801</v>
      </c>
      <c r="Z174" s="49"/>
      <c r="AA174" s="49"/>
      <c r="AB174" s="51"/>
      <c r="AE174" s="47">
        <v>43867</v>
      </c>
      <c r="AF174" s="48">
        <f t="shared" si="11"/>
        <v>-0.15878777829366575</v>
      </c>
      <c r="AG174" s="49"/>
      <c r="AH174" s="49"/>
      <c r="AI174" s="51"/>
    </row>
    <row r="175" spans="1:35" x14ac:dyDescent="0.3">
      <c r="A175" s="20">
        <v>43864</v>
      </c>
      <c r="C175">
        <f>-(Historical_Simulation!B176-Historical_Simulation!B177)</f>
        <v>0.21249999999999147</v>
      </c>
      <c r="E175">
        <f>-(Historical_Simulation!C176-Historical_Simulation!C177)</f>
        <v>4.5199999999999818</v>
      </c>
      <c r="G175">
        <f>-(Historical_Simulation!D176-Historical_Simulation!D177)</f>
        <v>-2.2800000000000011</v>
      </c>
      <c r="J175" s="23">
        <v>43866</v>
      </c>
      <c r="K175" s="24">
        <f t="shared" si="8"/>
        <v>4.9868739000225357</v>
      </c>
      <c r="L175" s="25"/>
      <c r="M175" s="25"/>
      <c r="N175" s="27"/>
      <c r="Q175" s="23">
        <v>43866</v>
      </c>
      <c r="R175" s="24">
        <f t="shared" si="9"/>
        <v>3.2138820209848107</v>
      </c>
      <c r="S175" s="25"/>
      <c r="T175" s="25"/>
      <c r="U175" s="27"/>
      <c r="X175" s="47">
        <v>43866</v>
      </c>
      <c r="Y175" s="48">
        <f t="shared" si="10"/>
        <v>1.423133613404729</v>
      </c>
      <c r="Z175" s="49"/>
      <c r="AA175" s="49"/>
      <c r="AB175" s="51"/>
      <c r="AE175" s="47">
        <v>43866</v>
      </c>
      <c r="AF175" s="48">
        <f t="shared" si="11"/>
        <v>0.79524261015656195</v>
      </c>
      <c r="AG175" s="49"/>
      <c r="AH175" s="49"/>
      <c r="AI175" s="51"/>
    </row>
    <row r="176" spans="1:35" x14ac:dyDescent="0.3">
      <c r="A176" s="20">
        <v>43861</v>
      </c>
      <c r="C176">
        <f>-(Historical_Simulation!B177-Historical_Simulation!B178)</f>
        <v>3.5900000000000034</v>
      </c>
      <c r="E176">
        <f>-(Historical_Simulation!C177-Historical_Simulation!C178)</f>
        <v>-138.03999999999996</v>
      </c>
      <c r="G176">
        <f>-(Historical_Simulation!D177-Historical_Simulation!D178)</f>
        <v>7.6200000000000045</v>
      </c>
      <c r="J176" s="23">
        <v>43865</v>
      </c>
      <c r="K176" s="24">
        <f t="shared" si="8"/>
        <v>-25.700487557293116</v>
      </c>
      <c r="L176" s="25"/>
      <c r="M176" s="25"/>
      <c r="N176" s="27"/>
      <c r="Q176" s="23">
        <v>43865</v>
      </c>
      <c r="R176" s="24">
        <f t="shared" si="9"/>
        <v>-18.418071870403587</v>
      </c>
      <c r="S176" s="25"/>
      <c r="T176" s="25"/>
      <c r="U176" s="27"/>
      <c r="X176" s="47">
        <v>43865</v>
      </c>
      <c r="Y176" s="48">
        <f t="shared" si="10"/>
        <v>-19.874974863389994</v>
      </c>
      <c r="Z176" s="49"/>
      <c r="AA176" s="49"/>
      <c r="AB176" s="51"/>
      <c r="AE176" s="47">
        <v>43865</v>
      </c>
      <c r="AF176" s="48">
        <f t="shared" si="11"/>
        <v>-14.626993978133189</v>
      </c>
      <c r="AG176" s="49"/>
      <c r="AH176" s="49"/>
      <c r="AI176" s="51"/>
    </row>
    <row r="177" spans="1:35" x14ac:dyDescent="0.3">
      <c r="A177" s="20">
        <v>43860</v>
      </c>
      <c r="C177">
        <f>-(Historical_Simulation!B178-Historical_Simulation!B179)</f>
        <v>0.11749999999999261</v>
      </c>
      <c r="E177">
        <f>-(Historical_Simulation!C178-Historical_Simulation!C179)</f>
        <v>-12.680000000000064</v>
      </c>
      <c r="G177">
        <f>-(Historical_Simulation!D178-Historical_Simulation!D179)</f>
        <v>13.699999999999989</v>
      </c>
      <c r="J177" s="23">
        <v>43864</v>
      </c>
      <c r="K177" s="24">
        <f t="shared" si="8"/>
        <v>2.5360248157269365</v>
      </c>
      <c r="L177" s="25"/>
      <c r="M177" s="25"/>
      <c r="N177" s="27"/>
      <c r="Q177" s="23">
        <v>43864</v>
      </c>
      <c r="R177" s="24">
        <f t="shared" si="9"/>
        <v>1.8051958665446537</v>
      </c>
      <c r="S177" s="25"/>
      <c r="T177" s="25"/>
      <c r="U177" s="27"/>
      <c r="X177" s="47">
        <v>43864</v>
      </c>
      <c r="Y177" s="48">
        <f t="shared" si="10"/>
        <v>-13.753136571382131</v>
      </c>
      <c r="Z177" s="49"/>
      <c r="AA177" s="49"/>
      <c r="AB177" s="51"/>
      <c r="AE177" s="47">
        <v>43864</v>
      </c>
      <c r="AF177" s="48">
        <f t="shared" si="11"/>
        <v>-9.5233573130143121</v>
      </c>
      <c r="AG177" s="49"/>
      <c r="AH177" s="49"/>
      <c r="AI177" s="51"/>
    </row>
    <row r="178" spans="1:35" x14ac:dyDescent="0.3">
      <c r="A178" s="20">
        <v>43859</v>
      </c>
      <c r="C178">
        <f>-(Historical_Simulation!B179-Historical_Simulation!B180)</f>
        <v>-1.6624999999999943</v>
      </c>
      <c r="E178">
        <f>-(Historical_Simulation!C179-Historical_Simulation!C180)</f>
        <v>-4.75</v>
      </c>
      <c r="G178">
        <f>-(Historical_Simulation!D179-Historical_Simulation!D180)</f>
        <v>-5.4399999999999977</v>
      </c>
      <c r="J178" s="23">
        <v>43861</v>
      </c>
      <c r="K178" s="24">
        <f t="shared" si="8"/>
        <v>-72.807172292839894</v>
      </c>
      <c r="L178" s="25"/>
      <c r="M178" s="25"/>
      <c r="N178" s="27"/>
      <c r="Q178" s="23">
        <v>43861</v>
      </c>
      <c r="R178" s="24">
        <f t="shared" si="9"/>
        <v>-48.777618242303184</v>
      </c>
      <c r="S178" s="25"/>
      <c r="T178" s="25"/>
      <c r="U178" s="27"/>
      <c r="X178" s="47">
        <v>43861</v>
      </c>
      <c r="Y178" s="48">
        <f t="shared" si="10"/>
        <v>26.170347194652017</v>
      </c>
      <c r="Z178" s="49"/>
      <c r="AA178" s="49"/>
      <c r="AB178" s="51"/>
      <c r="AE178" s="47">
        <v>43861</v>
      </c>
      <c r="AF178" s="48">
        <f t="shared" si="11"/>
        <v>19.331426267381254</v>
      </c>
      <c r="AG178" s="49"/>
      <c r="AH178" s="49"/>
      <c r="AI178" s="51"/>
    </row>
    <row r="179" spans="1:35" x14ac:dyDescent="0.3">
      <c r="A179" s="20">
        <v>43858</v>
      </c>
      <c r="C179">
        <f>-(Historical_Simulation!B180-Historical_Simulation!B181)</f>
        <v>-2.1850000000000023</v>
      </c>
      <c r="E179">
        <f>-(Historical_Simulation!C180-Historical_Simulation!C181)</f>
        <v>-24.910000000000082</v>
      </c>
      <c r="G179">
        <f>-(Historical_Simulation!D180-Historical_Simulation!D181)</f>
        <v>-2.9199999999999875</v>
      </c>
      <c r="J179" s="23">
        <v>43860</v>
      </c>
      <c r="K179" s="24">
        <f t="shared" si="8"/>
        <v>-6.7856477258887544</v>
      </c>
      <c r="L179" s="25"/>
      <c r="M179" s="25"/>
      <c r="N179" s="27"/>
      <c r="Q179" s="23">
        <v>43860</v>
      </c>
      <c r="R179" s="24">
        <f t="shared" si="9"/>
        <v>-4.614368915172486</v>
      </c>
      <c r="S179" s="25"/>
      <c r="T179" s="25"/>
      <c r="U179" s="27"/>
      <c r="X179" s="47">
        <v>43860</v>
      </c>
      <c r="Y179" s="48">
        <f t="shared" si="10"/>
        <v>76.22111433532524</v>
      </c>
      <c r="Z179" s="49"/>
      <c r="AA179" s="49"/>
      <c r="AB179" s="51"/>
      <c r="AE179" s="47">
        <v>43860</v>
      </c>
      <c r="AF179" s="48">
        <f t="shared" si="11"/>
        <v>53.171575006626732</v>
      </c>
      <c r="AG179" s="49"/>
      <c r="AH179" s="49"/>
      <c r="AI179" s="51"/>
    </row>
    <row r="180" spans="1:35" x14ac:dyDescent="0.3">
      <c r="A180" s="20">
        <v>43857</v>
      </c>
      <c r="C180">
        <f>-(Historical_Simulation!B181-Historical_Simulation!B182)</f>
        <v>2.3400000000000034</v>
      </c>
      <c r="E180">
        <f>-(Historical_Simulation!C181-Historical_Simulation!C182)</f>
        <v>33.300000000000182</v>
      </c>
      <c r="G180">
        <f>-(Historical_Simulation!D181-Historical_Simulation!D182)</f>
        <v>3.0699999999999932</v>
      </c>
      <c r="J180" s="23">
        <v>43859</v>
      </c>
      <c r="K180" s="24">
        <f t="shared" si="8"/>
        <v>-3.3279400159157162</v>
      </c>
      <c r="L180" s="25"/>
      <c r="M180" s="25"/>
      <c r="N180" s="27"/>
      <c r="Q180" s="23">
        <v>43859</v>
      </c>
      <c r="R180" s="24">
        <f t="shared" si="9"/>
        <v>-2.8041015062000323</v>
      </c>
      <c r="S180" s="25"/>
      <c r="T180" s="25"/>
      <c r="U180" s="27"/>
      <c r="X180" s="47">
        <v>43859</v>
      </c>
      <c r="Y180" s="48">
        <f t="shared" si="10"/>
        <v>-22.82807358009876</v>
      </c>
      <c r="Z180" s="49"/>
      <c r="AA180" s="49"/>
      <c r="AB180" s="51"/>
      <c r="AE180" s="47">
        <v>43859</v>
      </c>
      <c r="AF180" s="48">
        <f t="shared" si="11"/>
        <v>-16.417645837477096</v>
      </c>
      <c r="AG180" s="49"/>
      <c r="AH180" s="49"/>
      <c r="AI180" s="51"/>
    </row>
    <row r="181" spans="1:35" x14ac:dyDescent="0.3">
      <c r="A181" s="20">
        <v>43854</v>
      </c>
      <c r="C181">
        <f>-(Historical_Simulation!B182-Historical_Simulation!B183)</f>
        <v>0.23000000000000398</v>
      </c>
      <c r="E181">
        <f>-(Historical_Simulation!C182-Historical_Simulation!C183)</f>
        <v>22.939999999999827</v>
      </c>
      <c r="G181">
        <f>-(Historical_Simulation!D182-Historical_Simulation!D183)</f>
        <v>1.8199999999999932</v>
      </c>
      <c r="J181" s="23">
        <v>43858</v>
      </c>
      <c r="K181" s="24">
        <f t="shared" si="8"/>
        <v>-14.443177930910073</v>
      </c>
      <c r="L181" s="25"/>
      <c r="M181" s="25"/>
      <c r="N181" s="27"/>
      <c r="Q181" s="23">
        <v>43858</v>
      </c>
      <c r="R181" s="24">
        <f t="shared" si="9"/>
        <v>-10.587556835107991</v>
      </c>
      <c r="S181" s="25"/>
      <c r="T181" s="25"/>
      <c r="U181" s="27"/>
      <c r="X181" s="47">
        <v>43858</v>
      </c>
      <c r="Y181" s="48">
        <f t="shared" si="10"/>
        <v>-6.3032519077094058</v>
      </c>
      <c r="Z181" s="49"/>
      <c r="AA181" s="49"/>
      <c r="AB181" s="51"/>
      <c r="AE181" s="47">
        <v>43858</v>
      </c>
      <c r="AF181" s="48">
        <f t="shared" si="11"/>
        <v>-5.0559549147704708</v>
      </c>
      <c r="AG181" s="49"/>
      <c r="AH181" s="49"/>
      <c r="AI181" s="51"/>
    </row>
    <row r="182" spans="1:35" x14ac:dyDescent="0.3">
      <c r="A182" s="20">
        <v>43853</v>
      </c>
      <c r="C182">
        <f>-(Historical_Simulation!B183-Historical_Simulation!B184)</f>
        <v>-0.38250000000000739</v>
      </c>
      <c r="E182">
        <f>-(Historical_Simulation!C183-Historical_Simulation!C184)</f>
        <v>2.8800000000001091</v>
      </c>
      <c r="G182">
        <f>-(Historical_Simulation!D183-Historical_Simulation!D184)</f>
        <v>1.5600000000000023</v>
      </c>
      <c r="J182" s="23">
        <v>43857</v>
      </c>
      <c r="K182" s="24">
        <f t="shared" si="8"/>
        <v>19.040250329635942</v>
      </c>
      <c r="L182" s="25"/>
      <c r="M182" s="25"/>
      <c r="N182" s="27"/>
      <c r="Q182" s="23">
        <v>43857</v>
      </c>
      <c r="R182" s="24">
        <f t="shared" si="9"/>
        <v>13.787443767434278</v>
      </c>
      <c r="S182" s="25"/>
      <c r="T182" s="25"/>
      <c r="U182" s="27"/>
      <c r="X182" s="47">
        <v>43857</v>
      </c>
      <c r="Y182" s="48">
        <f t="shared" si="10"/>
        <v>6.4302365886093646</v>
      </c>
      <c r="Z182" s="49"/>
      <c r="AA182" s="49"/>
      <c r="AB182" s="51"/>
      <c r="AE182" s="47">
        <v>43857</v>
      </c>
      <c r="AF182" s="48">
        <f t="shared" si="11"/>
        <v>5.1914246092278331</v>
      </c>
      <c r="AG182" s="49"/>
      <c r="AH182" s="49"/>
      <c r="AI182" s="51"/>
    </row>
    <row r="183" spans="1:35" x14ac:dyDescent="0.3">
      <c r="A183" s="20">
        <v>43852</v>
      </c>
      <c r="C183">
        <f>-(Historical_Simulation!B184-Historical_Simulation!B185)</f>
        <v>-0.28249999999999886</v>
      </c>
      <c r="E183">
        <f>-(Historical_Simulation!C184-Historical_Simulation!C185)</f>
        <v>4.5399999999999636</v>
      </c>
      <c r="G183">
        <f>-(Historical_Simulation!D184-Historical_Simulation!D185)</f>
        <v>0.12000000000000455</v>
      </c>
      <c r="J183" s="23">
        <v>43854</v>
      </c>
      <c r="K183" s="24">
        <f t="shared" si="8"/>
        <v>12.480086724354882</v>
      </c>
      <c r="L183" s="25"/>
      <c r="M183" s="25"/>
      <c r="N183" s="27"/>
      <c r="Q183" s="23">
        <v>43854</v>
      </c>
      <c r="R183" s="24">
        <f t="shared" si="9"/>
        <v>8.627010592972514</v>
      </c>
      <c r="S183" s="25"/>
      <c r="T183" s="25"/>
      <c r="U183" s="27"/>
      <c r="X183" s="47">
        <v>43854</v>
      </c>
      <c r="Y183" s="48">
        <f t="shared" si="10"/>
        <v>9.1388714738204619</v>
      </c>
      <c r="Z183" s="49"/>
      <c r="AA183" s="49"/>
      <c r="AB183" s="51"/>
      <c r="AE183" s="47">
        <v>43854</v>
      </c>
      <c r="AF183" s="48">
        <f t="shared" si="11"/>
        <v>6.440637162564772</v>
      </c>
      <c r="AG183" s="49"/>
      <c r="AH183" s="49"/>
      <c r="AI183" s="51"/>
    </row>
    <row r="184" spans="1:35" x14ac:dyDescent="0.3">
      <c r="A184" s="20">
        <v>43851</v>
      </c>
      <c r="C184">
        <f>-(Historical_Simulation!B185-Historical_Simulation!B186)</f>
        <v>0.54000000000000625</v>
      </c>
      <c r="E184">
        <f>-(Historical_Simulation!C185-Historical_Simulation!C186)</f>
        <v>-27.279999999999973</v>
      </c>
      <c r="G184">
        <f>-(Historical_Simulation!D185-Historical_Simulation!D186)</f>
        <v>0.69999999999998863</v>
      </c>
      <c r="J184" s="23">
        <v>43853</v>
      </c>
      <c r="K184" s="24">
        <f t="shared" si="8"/>
        <v>1.3773374257247624</v>
      </c>
      <c r="L184" s="25"/>
      <c r="M184" s="25"/>
      <c r="N184" s="27"/>
      <c r="Q184" s="23">
        <v>43853</v>
      </c>
      <c r="R184" s="24">
        <f t="shared" si="9"/>
        <v>0.82380766444622777</v>
      </c>
      <c r="S184" s="25"/>
      <c r="T184" s="25"/>
      <c r="U184" s="27"/>
      <c r="X184" s="47">
        <v>43853</v>
      </c>
      <c r="Y184" s="48">
        <f t="shared" si="10"/>
        <v>10.501451470375114</v>
      </c>
      <c r="Z184" s="49"/>
      <c r="AA184" s="49"/>
      <c r="AB184" s="51"/>
      <c r="AE184" s="47">
        <v>43853</v>
      </c>
      <c r="AF184" s="48">
        <f t="shared" si="11"/>
        <v>7.2050237033221336</v>
      </c>
      <c r="AG184" s="49"/>
      <c r="AH184" s="49"/>
      <c r="AI184" s="51"/>
    </row>
    <row r="185" spans="1:35" x14ac:dyDescent="0.3">
      <c r="A185" s="20">
        <v>43847</v>
      </c>
      <c r="C185">
        <f>-(Historical_Simulation!B186-Historical_Simulation!B187)</f>
        <v>-0.87250000000000227</v>
      </c>
      <c r="E185">
        <f>-(Historical_Simulation!C186-Historical_Simulation!C187)</f>
        <v>13.220000000000027</v>
      </c>
      <c r="G185">
        <f>-(Historical_Simulation!D186-Historical_Simulation!D187)</f>
        <v>-0.36999999999997613</v>
      </c>
      <c r="J185" s="23">
        <v>43852</v>
      </c>
      <c r="K185" s="24">
        <f t="shared" si="8"/>
        <v>2.3188229074505244</v>
      </c>
      <c r="L185" s="25"/>
      <c r="M185" s="25"/>
      <c r="N185" s="27"/>
      <c r="Q185" s="23">
        <v>43852</v>
      </c>
      <c r="R185" s="24">
        <f t="shared" si="9"/>
        <v>1.5006168465261975</v>
      </c>
      <c r="S185" s="25"/>
      <c r="T185" s="25"/>
      <c r="U185" s="27"/>
      <c r="X185" s="47">
        <v>43852</v>
      </c>
      <c r="Y185" s="48">
        <f t="shared" si="10"/>
        <v>1.9727331875552143</v>
      </c>
      <c r="Z185" s="49"/>
      <c r="AA185" s="49"/>
      <c r="AB185" s="51"/>
      <c r="AE185" s="47">
        <v>43852</v>
      </c>
      <c r="AF185" s="48">
        <f t="shared" si="11"/>
        <v>1.2896895961838737</v>
      </c>
      <c r="AG185" s="49"/>
      <c r="AH185" s="49"/>
      <c r="AI185" s="51"/>
    </row>
    <row r="186" spans="1:35" x14ac:dyDescent="0.3">
      <c r="A186" s="20">
        <v>43846</v>
      </c>
      <c r="C186">
        <f>-(Historical_Simulation!B187-Historical_Simulation!B188)</f>
        <v>-0.97500000000000853</v>
      </c>
      <c r="E186">
        <f>-(Historical_Simulation!C187-Historical_Simulation!C188)</f>
        <v>-15.920000000000073</v>
      </c>
      <c r="G186">
        <f>-(Historical_Simulation!D187-Historical_Simulation!D188)</f>
        <v>-0.62000000000000455</v>
      </c>
      <c r="J186" s="23">
        <v>43851</v>
      </c>
      <c r="K186" s="24">
        <f t="shared" si="8"/>
        <v>-14.466491090777406</v>
      </c>
      <c r="L186" s="25"/>
      <c r="M186" s="25"/>
      <c r="N186" s="27"/>
      <c r="Q186" s="23">
        <v>43851</v>
      </c>
      <c r="R186" s="24">
        <f t="shared" si="9"/>
        <v>-9.7464304137603115</v>
      </c>
      <c r="S186" s="25"/>
      <c r="T186" s="25"/>
      <c r="U186" s="27"/>
      <c r="X186" s="47">
        <v>43851</v>
      </c>
      <c r="Y186" s="48">
        <f t="shared" si="10"/>
        <v>1.4364902112019724</v>
      </c>
      <c r="Z186" s="49"/>
      <c r="AA186" s="49"/>
      <c r="AB186" s="51"/>
      <c r="AE186" s="47">
        <v>43851</v>
      </c>
      <c r="AF186" s="48">
        <f t="shared" si="11"/>
        <v>1.1649697773649497</v>
      </c>
      <c r="AG186" s="49"/>
      <c r="AH186" s="49"/>
      <c r="AI186" s="51"/>
    </row>
    <row r="187" spans="1:35" x14ac:dyDescent="0.3">
      <c r="A187" s="20">
        <v>43845</v>
      </c>
      <c r="C187">
        <f>-(Historical_Simulation!B188-Historical_Simulation!B189)</f>
        <v>0.33500000000000796</v>
      </c>
      <c r="E187">
        <f>-(Historical_Simulation!C188-Historical_Simulation!C189)</f>
        <v>7.4200000000000728</v>
      </c>
      <c r="G187">
        <f>-(Historical_Simulation!D188-Historical_Simulation!D189)</f>
        <v>-2.0900000000000034</v>
      </c>
      <c r="J187" s="23">
        <v>43847</v>
      </c>
      <c r="K187" s="24">
        <f t="shared" si="8"/>
        <v>6.7291885584752427</v>
      </c>
      <c r="L187" s="25"/>
      <c r="M187" s="25"/>
      <c r="N187" s="27"/>
      <c r="Q187" s="23">
        <v>43847</v>
      </c>
      <c r="R187" s="24">
        <f t="shared" si="9"/>
        <v>4.3381944861940198</v>
      </c>
      <c r="S187" s="25"/>
      <c r="T187" s="25"/>
      <c r="U187" s="27"/>
      <c r="X187" s="47">
        <v>43847</v>
      </c>
      <c r="Y187" s="48">
        <f t="shared" si="10"/>
        <v>1.9430395695566287</v>
      </c>
      <c r="Z187" s="49"/>
      <c r="AA187" s="49"/>
      <c r="AB187" s="51"/>
      <c r="AE187" s="47">
        <v>43847</v>
      </c>
      <c r="AF187" s="48">
        <f t="shared" si="11"/>
        <v>1.0902957070370916</v>
      </c>
      <c r="AG187" s="49"/>
      <c r="AH187" s="49"/>
      <c r="AI187" s="51"/>
    </row>
    <row r="188" spans="1:35" x14ac:dyDescent="0.3">
      <c r="A188" s="20">
        <v>43844</v>
      </c>
      <c r="C188">
        <f>-(Historical_Simulation!B189-Historical_Simulation!B190)</f>
        <v>1.0699999999999932</v>
      </c>
      <c r="E188">
        <f>-(Historical_Simulation!C189-Historical_Simulation!C190)</f>
        <v>21.8599999999999</v>
      </c>
      <c r="G188">
        <f>-(Historical_Simulation!D189-Historical_Simulation!D190)</f>
        <v>2.8499999999999943</v>
      </c>
      <c r="J188" s="23">
        <v>43846</v>
      </c>
      <c r="K188" s="24">
        <f t="shared" si="8"/>
        <v>-9.0365387976876281</v>
      </c>
      <c r="L188" s="25"/>
      <c r="M188" s="25"/>
      <c r="N188" s="27"/>
      <c r="Q188" s="23">
        <v>43846</v>
      </c>
      <c r="R188" s="24">
        <f t="shared" si="9"/>
        <v>-6.5009059142217458</v>
      </c>
      <c r="S188" s="25"/>
      <c r="T188" s="25"/>
      <c r="U188" s="27"/>
      <c r="X188" s="47">
        <v>43846</v>
      </c>
      <c r="Y188" s="48">
        <f t="shared" si="10"/>
        <v>1.0140876561045951</v>
      </c>
      <c r="Z188" s="49"/>
      <c r="AA188" s="49"/>
      <c r="AB188" s="51"/>
      <c r="AE188" s="47">
        <v>43846</v>
      </c>
      <c r="AF188" s="48">
        <f t="shared" si="11"/>
        <v>0.41165169352862829</v>
      </c>
      <c r="AG188" s="49"/>
      <c r="AH188" s="49"/>
      <c r="AI188" s="51"/>
    </row>
    <row r="189" spans="1:35" x14ac:dyDescent="0.3">
      <c r="A189" s="20">
        <v>43843</v>
      </c>
      <c r="C189">
        <f>-(Historical_Simulation!B190-Historical_Simulation!B191)</f>
        <v>-1.6574999999999989</v>
      </c>
      <c r="E189">
        <f>-(Historical_Simulation!C190-Historical_Simulation!C191)</f>
        <v>-8.1399999999998727</v>
      </c>
      <c r="G189">
        <f>-(Historical_Simulation!D190-Historical_Simulation!D191)</f>
        <v>-3.8499999999999943</v>
      </c>
      <c r="J189" s="23">
        <v>43845</v>
      </c>
      <c r="K189" s="24">
        <f t="shared" si="8"/>
        <v>4.1567465628382188</v>
      </c>
      <c r="L189" s="25"/>
      <c r="M189" s="25"/>
      <c r="N189" s="27"/>
      <c r="Q189" s="23">
        <v>43845</v>
      </c>
      <c r="R189" s="24">
        <f t="shared" si="9"/>
        <v>2.9546750352801148</v>
      </c>
      <c r="S189" s="25"/>
      <c r="T189" s="25"/>
      <c r="U189" s="27"/>
      <c r="X189" s="47">
        <v>43845</v>
      </c>
      <c r="Y189" s="48">
        <f t="shared" si="10"/>
        <v>-13.252429763531349</v>
      </c>
      <c r="Z189" s="49"/>
      <c r="AA189" s="49"/>
      <c r="AB189" s="51"/>
      <c r="AE189" s="47">
        <v>43845</v>
      </c>
      <c r="AF189" s="48">
        <f t="shared" si="11"/>
        <v>-9.1371981881885045</v>
      </c>
      <c r="AG189" s="49"/>
      <c r="AH189" s="49"/>
      <c r="AI189" s="51"/>
    </row>
    <row r="190" spans="1:35" x14ac:dyDescent="0.3">
      <c r="A190" s="20">
        <v>43840</v>
      </c>
      <c r="C190">
        <f>-(Historical_Simulation!B191-Historical_Simulation!B192)</f>
        <v>-0.17499999999999716</v>
      </c>
      <c r="E190">
        <f>-(Historical_Simulation!C191-Historical_Simulation!C192)</f>
        <v>17.889999999999873</v>
      </c>
      <c r="G190">
        <f>-(Historical_Simulation!D191-Historical_Simulation!D192)</f>
        <v>0.24000000000000909</v>
      </c>
      <c r="J190" s="23">
        <v>43844</v>
      </c>
      <c r="K190" s="24">
        <f t="shared" si="8"/>
        <v>12.284412285307729</v>
      </c>
      <c r="L190" s="25"/>
      <c r="M190" s="25"/>
      <c r="N190" s="27"/>
      <c r="Q190" s="23">
        <v>43844</v>
      </c>
      <c r="R190" s="24">
        <f t="shared" si="9"/>
        <v>8.7570915996432781</v>
      </c>
      <c r="S190" s="25"/>
      <c r="T190" s="25"/>
      <c r="U190" s="27"/>
      <c r="X190" s="47">
        <v>43844</v>
      </c>
      <c r="Y190" s="48">
        <f t="shared" si="10"/>
        <v>11.043453599622971</v>
      </c>
      <c r="Z190" s="49"/>
      <c r="AA190" s="49"/>
      <c r="AB190" s="51"/>
      <c r="AE190" s="47">
        <v>43844</v>
      </c>
      <c r="AF190" s="48">
        <f t="shared" si="11"/>
        <v>8.0227887731857592</v>
      </c>
      <c r="AG190" s="49"/>
      <c r="AH190" s="49"/>
      <c r="AI190" s="51"/>
    </row>
    <row r="191" spans="1:35" x14ac:dyDescent="0.3">
      <c r="A191" s="20">
        <v>43839</v>
      </c>
      <c r="C191">
        <f>-(Historical_Simulation!B192-Historical_Simulation!B193)</f>
        <v>-1.6099999999999994</v>
      </c>
      <c r="E191">
        <f>-(Historical_Simulation!C192-Historical_Simulation!C193)</f>
        <v>-9.0799999999999272</v>
      </c>
      <c r="G191">
        <f>-(Historical_Simulation!D192-Historical_Simulation!D193)</f>
        <v>-3.0800000000000125</v>
      </c>
      <c r="J191" s="23">
        <v>43843</v>
      </c>
      <c r="K191" s="24">
        <f t="shared" si="8"/>
        <v>-5.1542497662100182</v>
      </c>
      <c r="L191" s="25"/>
      <c r="M191" s="25"/>
      <c r="N191" s="27"/>
      <c r="Q191" s="23">
        <v>43843</v>
      </c>
      <c r="R191" s="24">
        <f t="shared" si="9"/>
        <v>-4.0544009761754127</v>
      </c>
      <c r="S191" s="25"/>
      <c r="T191" s="25"/>
      <c r="U191" s="27"/>
      <c r="X191" s="47">
        <v>43843</v>
      </c>
      <c r="Y191" s="48">
        <f t="shared" si="10"/>
        <v>-13.942217425378265</v>
      </c>
      <c r="Z191" s="49"/>
      <c r="AA191" s="49"/>
      <c r="AB191" s="51"/>
      <c r="AE191" s="47">
        <v>43843</v>
      </c>
      <c r="AF191" s="48">
        <f t="shared" si="11"/>
        <v>-10.221538980454916</v>
      </c>
      <c r="AG191" s="49"/>
      <c r="AH191" s="49"/>
      <c r="AI191" s="51"/>
    </row>
    <row r="192" spans="1:35" x14ac:dyDescent="0.3">
      <c r="A192" s="20">
        <v>43838</v>
      </c>
      <c r="C192">
        <f>-(Historical_Simulation!B193-Historical_Simulation!B194)</f>
        <v>-1.2000000000000028</v>
      </c>
      <c r="E192">
        <f>-(Historical_Simulation!C193-Historical_Simulation!C194)</f>
        <v>14.889999999999873</v>
      </c>
      <c r="G192">
        <f>-(Historical_Simulation!D193-Historical_Simulation!D194)</f>
        <v>-2.1599999999999966</v>
      </c>
      <c r="J192" s="23">
        <v>43840</v>
      </c>
      <c r="K192" s="24">
        <f t="shared" si="8"/>
        <v>9.5695097611391908</v>
      </c>
      <c r="L192" s="25"/>
      <c r="M192" s="25"/>
      <c r="N192" s="27"/>
      <c r="Q192" s="23">
        <v>43840</v>
      </c>
      <c r="R192" s="24">
        <f t="shared" si="9"/>
        <v>6.5045242783817052</v>
      </c>
      <c r="S192" s="25"/>
      <c r="T192" s="25"/>
      <c r="U192" s="27"/>
      <c r="X192" s="47">
        <v>43840</v>
      </c>
      <c r="Y192" s="48">
        <f t="shared" si="10"/>
        <v>2.1502714853053932</v>
      </c>
      <c r="Z192" s="49"/>
      <c r="AA192" s="49"/>
      <c r="AB192" s="51"/>
      <c r="AE192" s="47">
        <v>43840</v>
      </c>
      <c r="AF192" s="48">
        <f t="shared" si="11"/>
        <v>1.4460153600405281</v>
      </c>
      <c r="AG192" s="49"/>
      <c r="AH192" s="49"/>
      <c r="AI192" s="51"/>
    </row>
    <row r="193" spans="1:35" x14ac:dyDescent="0.3">
      <c r="A193" s="20">
        <v>43837</v>
      </c>
      <c r="C193">
        <f>-(Historical_Simulation!B194-Historical_Simulation!B195)</f>
        <v>0.35250000000000625</v>
      </c>
      <c r="E193">
        <f>-(Historical_Simulation!C194-Historical_Simulation!C195)</f>
        <v>-3.9799999999997908</v>
      </c>
      <c r="G193">
        <f>-(Historical_Simulation!D194-Historical_Simulation!D195)</f>
        <v>-0.46000000000000796</v>
      </c>
      <c r="J193" s="23">
        <v>43839</v>
      </c>
      <c r="K193" s="24">
        <f t="shared" si="8"/>
        <v>-5.63942086441791</v>
      </c>
      <c r="L193" s="25"/>
      <c r="M193" s="25"/>
      <c r="N193" s="27"/>
      <c r="Q193" s="23">
        <v>43839</v>
      </c>
      <c r="R193" s="24">
        <f t="shared" si="9"/>
        <v>-4.3720285834215993</v>
      </c>
      <c r="S193" s="25"/>
      <c r="T193" s="25"/>
      <c r="U193" s="27"/>
      <c r="X193" s="47">
        <v>43839</v>
      </c>
      <c r="Y193" s="48">
        <f t="shared" si="10"/>
        <v>-9.846503815419041</v>
      </c>
      <c r="Z193" s="49"/>
      <c r="AA193" s="49"/>
      <c r="AB193" s="51"/>
      <c r="AE193" s="47">
        <v>43839</v>
      </c>
      <c r="AF193" s="48">
        <f t="shared" si="11"/>
        <v>-7.3519098295411016</v>
      </c>
      <c r="AG193" s="49"/>
      <c r="AH193" s="49"/>
      <c r="AI193" s="51"/>
    </row>
    <row r="194" spans="1:35" x14ac:dyDescent="0.3">
      <c r="A194" s="20">
        <v>43836</v>
      </c>
      <c r="C194">
        <f>-(Historical_Simulation!B195-Historical_Simulation!B196)</f>
        <v>-0.59250000000000114</v>
      </c>
      <c r="E194">
        <f>-(Historical_Simulation!C195-Historical_Simulation!C196)</f>
        <v>-27.910000000000082</v>
      </c>
      <c r="G194">
        <f>-(Historical_Simulation!D195-Historical_Simulation!D196)</f>
        <v>-3.9300000000000068</v>
      </c>
      <c r="J194" s="23">
        <v>43838</v>
      </c>
      <c r="K194" s="24">
        <f t="shared" si="8"/>
        <v>7.4791675647234657</v>
      </c>
      <c r="L194" s="25"/>
      <c r="M194" s="25"/>
      <c r="N194" s="27"/>
      <c r="Q194" s="23">
        <v>43838</v>
      </c>
      <c r="R194" s="24">
        <f t="shared" si="9"/>
        <v>4.7492690638893702</v>
      </c>
      <c r="S194" s="25"/>
      <c r="T194" s="25"/>
      <c r="U194" s="27"/>
      <c r="X194" s="47">
        <v>43838</v>
      </c>
      <c r="Y194" s="48">
        <f t="shared" si="10"/>
        <v>-6.5789412672123566</v>
      </c>
      <c r="Z194" s="49"/>
      <c r="AA194" s="49"/>
      <c r="AB194" s="51"/>
      <c r="AE194" s="47">
        <v>43838</v>
      </c>
      <c r="AF194" s="48">
        <f t="shared" si="11"/>
        <v>-4.9498186641900528</v>
      </c>
      <c r="AG194" s="49"/>
      <c r="AH194" s="49"/>
      <c r="AI194" s="51"/>
    </row>
    <row r="195" spans="1:35" x14ac:dyDescent="0.3">
      <c r="A195" s="20">
        <v>43833</v>
      </c>
      <c r="C195">
        <f>-(Historical_Simulation!B196-Historical_Simulation!B197)</f>
        <v>0.73000000000000398</v>
      </c>
      <c r="E195">
        <f>-(Historical_Simulation!C196-Historical_Simulation!C197)</f>
        <v>23.039999999999964</v>
      </c>
      <c r="G195">
        <f>-(Historical_Simulation!D196-Historical_Simulation!D197)</f>
        <v>1.1100000000000136</v>
      </c>
      <c r="J195" s="23">
        <v>43837</v>
      </c>
      <c r="K195" s="24">
        <f t="shared" si="8"/>
        <v>-1.9845101599852613</v>
      </c>
      <c r="L195" s="25"/>
      <c r="M195" s="25"/>
      <c r="N195" s="27"/>
      <c r="Q195" s="23">
        <v>43837</v>
      </c>
      <c r="R195" s="24">
        <f t="shared" si="9"/>
        <v>-1.2494396034368924</v>
      </c>
      <c r="S195" s="25"/>
      <c r="T195" s="25"/>
      <c r="U195" s="27"/>
      <c r="X195" s="47">
        <v>43837</v>
      </c>
      <c r="Y195" s="48">
        <f t="shared" si="10"/>
        <v>-4.1999893537605582</v>
      </c>
      <c r="Z195" s="49"/>
      <c r="AA195" s="49"/>
      <c r="AB195" s="51"/>
      <c r="AE195" s="47">
        <v>43837</v>
      </c>
      <c r="AF195" s="48">
        <f t="shared" si="11"/>
        <v>-2.8211746506817525</v>
      </c>
      <c r="AG195" s="49"/>
      <c r="AH195" s="49"/>
      <c r="AI195" s="51"/>
    </row>
    <row r="196" spans="1:35" x14ac:dyDescent="0.3">
      <c r="A196" s="20">
        <v>43832</v>
      </c>
      <c r="C196">
        <f>-(Historical_Simulation!B197-Historical_Simulation!B198)</f>
        <v>-1.6750000000000114</v>
      </c>
      <c r="E196">
        <f>-(Historical_Simulation!C197-Historical_Simulation!C198)</f>
        <v>-50.170000000000073</v>
      </c>
      <c r="G196">
        <f>-(Historical_Simulation!D197-Historical_Simulation!D198)</f>
        <v>-4.5300000000000011</v>
      </c>
      <c r="J196" s="23">
        <v>43836</v>
      </c>
      <c r="K196" s="24">
        <f t="shared" si="8"/>
        <v>-15.32793567118309</v>
      </c>
      <c r="L196" s="25"/>
      <c r="M196" s="25"/>
      <c r="N196" s="27"/>
      <c r="Q196" s="23">
        <v>43836</v>
      </c>
      <c r="R196" s="24">
        <f t="shared" si="9"/>
        <v>-10.693131302224966</v>
      </c>
      <c r="S196" s="25"/>
      <c r="T196" s="25"/>
      <c r="U196" s="27"/>
      <c r="X196" s="47">
        <v>43836</v>
      </c>
      <c r="Y196" s="48">
        <f t="shared" si="10"/>
        <v>-19.292725499293102</v>
      </c>
      <c r="Z196" s="49"/>
      <c r="AA196" s="49"/>
      <c r="AB196" s="51"/>
      <c r="AE196" s="47">
        <v>43836</v>
      </c>
      <c r="AF196" s="48">
        <f t="shared" si="11"/>
        <v>-13.628978949723328</v>
      </c>
      <c r="AG196" s="49"/>
      <c r="AH196" s="49"/>
      <c r="AI196" s="51"/>
    </row>
    <row r="197" spans="1:35" x14ac:dyDescent="0.3">
      <c r="A197" s="20">
        <v>43831</v>
      </c>
      <c r="C197">
        <f>-(Historical_Simulation!B198-Historical_Simulation!B199)</f>
        <v>0</v>
      </c>
      <c r="E197">
        <f>-(Historical_Simulation!C198-Historical_Simulation!C199)</f>
        <v>0</v>
      </c>
      <c r="G197">
        <f>-(Historical_Simulation!D198-Historical_Simulation!D199)</f>
        <v>0</v>
      </c>
      <c r="J197" s="23">
        <v>43833</v>
      </c>
      <c r="K197" s="24">
        <f t="shared" si="8"/>
        <v>12.764321216220123</v>
      </c>
      <c r="L197" s="25"/>
      <c r="M197" s="25"/>
      <c r="N197" s="27"/>
      <c r="Q197" s="23">
        <v>43833</v>
      </c>
      <c r="R197" s="24">
        <f t="shared" si="9"/>
        <v>8.9791108026956366</v>
      </c>
      <c r="S197" s="25"/>
      <c r="T197" s="25"/>
      <c r="U197" s="27"/>
      <c r="X197" s="47">
        <v>43833</v>
      </c>
      <c r="Y197" s="48">
        <f t="shared" si="10"/>
        <v>2.859164251604962</v>
      </c>
      <c r="Z197" s="49"/>
      <c r="AA197" s="49"/>
      <c r="AB197" s="51"/>
      <c r="AE197" s="47">
        <v>43833</v>
      </c>
      <c r="AF197" s="48">
        <f t="shared" si="11"/>
        <v>2.2143032212419462</v>
      </c>
      <c r="AG197" s="49"/>
      <c r="AH197" s="49"/>
      <c r="AI197" s="51"/>
    </row>
    <row r="198" spans="1:35" x14ac:dyDescent="0.3">
      <c r="A198" s="20">
        <v>43830</v>
      </c>
      <c r="C198">
        <f>-(Historical_Simulation!B199-Historical_Simulation!B200)</f>
        <v>-0.53249999999999886</v>
      </c>
      <c r="E198">
        <f>-(Historical_Simulation!C199-Historical_Simulation!C200)</f>
        <v>-0.9499999999998181</v>
      </c>
      <c r="G198">
        <f>-(Historical_Simulation!D199-Historical_Simulation!D200)</f>
        <v>-0.84000000000000341</v>
      </c>
      <c r="J198" s="23">
        <v>43832</v>
      </c>
      <c r="K198" s="24">
        <f t="shared" ref="K198:K261" si="12">C196*$K$3+E196*(1-$K$3)</f>
        <v>-27.833870792496494</v>
      </c>
      <c r="L198" s="25"/>
      <c r="M198" s="25"/>
      <c r="N198" s="27"/>
      <c r="Q198" s="23">
        <v>43832</v>
      </c>
      <c r="R198" s="24">
        <f t="shared" si="9"/>
        <v>-19.606000823699066</v>
      </c>
      <c r="S198" s="25"/>
      <c r="T198" s="25"/>
      <c r="U198" s="27"/>
      <c r="X198" s="47">
        <v>43832</v>
      </c>
      <c r="Y198" s="48">
        <f t="shared" si="10"/>
        <v>-17.671747206136796</v>
      </c>
      <c r="Z198" s="49"/>
      <c r="AA198" s="49"/>
      <c r="AB198" s="51"/>
      <c r="AE198" s="47">
        <v>43832</v>
      </c>
      <c r="AF198" s="48">
        <f t="shared" si="11"/>
        <v>-12.82680446485691</v>
      </c>
      <c r="AG198" s="49"/>
      <c r="AH198" s="49"/>
      <c r="AI198" s="51"/>
    </row>
    <row r="199" spans="1:35" x14ac:dyDescent="0.3">
      <c r="A199" s="20">
        <v>43829</v>
      </c>
      <c r="C199">
        <f>-(Historical_Simulation!B200-Historical_Simulation!B201)</f>
        <v>-0.42999999999999261</v>
      </c>
      <c r="E199">
        <f>-(Historical_Simulation!C200-Historical_Simulation!C201)</f>
        <v>22.909999999999854</v>
      </c>
      <c r="G199">
        <f>-(Historical_Simulation!D200-Historical_Simulation!D201)</f>
        <v>3.6899999999999977</v>
      </c>
      <c r="J199" s="23">
        <v>43831</v>
      </c>
      <c r="K199" s="24">
        <f t="shared" si="12"/>
        <v>0</v>
      </c>
      <c r="L199" s="25"/>
      <c r="M199" s="25"/>
      <c r="N199" s="27"/>
      <c r="Q199" s="23">
        <v>43831</v>
      </c>
      <c r="R199" s="24">
        <f t="shared" ref="R199:R262" si="13">C197*$R$3+E197*(1-$R$3)</f>
        <v>0</v>
      </c>
      <c r="S199" s="25"/>
      <c r="T199" s="25"/>
      <c r="U199" s="27"/>
      <c r="X199" s="47">
        <v>43831</v>
      </c>
      <c r="Y199" s="48">
        <f t="shared" ref="Y199:Y262" si="14">C197*$Y$3+G197*(1-$Y$3)</f>
        <v>0</v>
      </c>
      <c r="Z199" s="49"/>
      <c r="AA199" s="49"/>
      <c r="AB199" s="51"/>
      <c r="AE199" s="47">
        <v>43831</v>
      </c>
      <c r="AF199" s="48">
        <f t="shared" ref="AF199:AF262" si="15">C197*$AF$3+G197*(1-$AF$3)</f>
        <v>0</v>
      </c>
      <c r="AG199" s="49"/>
      <c r="AH199" s="49"/>
      <c r="AI199" s="51"/>
    </row>
    <row r="200" spans="1:35" x14ac:dyDescent="0.3">
      <c r="A200" s="20">
        <v>43826</v>
      </c>
      <c r="C200">
        <f>-(Historical_Simulation!B201-Historical_Simulation!B202)</f>
        <v>2.7500000000003411E-2</v>
      </c>
      <c r="E200">
        <f>-(Historical_Simulation!C201-Historical_Simulation!C202)</f>
        <v>-1.0299999999999727</v>
      </c>
      <c r="G200">
        <f>-(Historical_Simulation!D201-Historical_Simulation!D202)</f>
        <v>-0.31000000000000227</v>
      </c>
      <c r="J200" s="23">
        <v>43830</v>
      </c>
      <c r="K200" s="24">
        <f t="shared" si="12"/>
        <v>-0.7577052491156302</v>
      </c>
      <c r="L200" s="25"/>
      <c r="M200" s="25"/>
      <c r="N200" s="27"/>
      <c r="Q200" s="23">
        <v>43830</v>
      </c>
      <c r="R200" s="24">
        <f t="shared" si="13"/>
        <v>-0.68687040610147543</v>
      </c>
      <c r="S200" s="25"/>
      <c r="T200" s="25"/>
      <c r="U200" s="27"/>
      <c r="X200" s="47">
        <v>43830</v>
      </c>
      <c r="Y200" s="48">
        <f t="shared" si="14"/>
        <v>-2.2554421246539929</v>
      </c>
      <c r="Z200" s="49"/>
      <c r="AA200" s="49"/>
      <c r="AB200" s="51"/>
      <c r="AE200" s="47">
        <v>43830</v>
      </c>
      <c r="AF200" s="48">
        <f t="shared" si="15"/>
        <v>-1.7336137908733997</v>
      </c>
      <c r="AG200" s="49"/>
      <c r="AH200" s="49"/>
      <c r="AI200" s="51"/>
    </row>
    <row r="201" spans="1:35" x14ac:dyDescent="0.3">
      <c r="A201" s="20">
        <v>43825</v>
      </c>
      <c r="C201">
        <f>-(Historical_Simulation!B202-Historical_Simulation!B203)</f>
        <v>-1.4100000000000108</v>
      </c>
      <c r="E201">
        <f>-(Historical_Simulation!C202-Historical_Simulation!C203)</f>
        <v>-79.559999999999945</v>
      </c>
      <c r="G201">
        <f>-(Historical_Simulation!D202-Historical_Simulation!D203)</f>
        <v>-2.6699999999999875</v>
      </c>
      <c r="J201" s="23">
        <v>43829</v>
      </c>
      <c r="K201" s="24">
        <f t="shared" si="12"/>
        <v>12.159917399667254</v>
      </c>
      <c r="L201" s="25"/>
      <c r="M201" s="25"/>
      <c r="N201" s="27"/>
      <c r="Q201" s="23">
        <v>43829</v>
      </c>
      <c r="R201" s="24">
        <f t="shared" si="13"/>
        <v>8.1999527626586861</v>
      </c>
      <c r="S201" s="25"/>
      <c r="T201" s="25"/>
      <c r="U201" s="27"/>
      <c r="X201" s="47">
        <v>43829</v>
      </c>
      <c r="Y201" s="48">
        <f t="shared" si="14"/>
        <v>22.654622938453116</v>
      </c>
      <c r="Z201" s="49"/>
      <c r="AA201" s="49"/>
      <c r="AB201" s="51"/>
      <c r="AE201" s="47">
        <v>43829</v>
      </c>
      <c r="AF201" s="48">
        <f t="shared" si="15"/>
        <v>15.662971767149038</v>
      </c>
      <c r="AG201" s="49"/>
      <c r="AH201" s="49"/>
      <c r="AI201" s="51"/>
    </row>
    <row r="202" spans="1:35" x14ac:dyDescent="0.3">
      <c r="A202" s="20">
        <v>43824</v>
      </c>
      <c r="C202">
        <f>-(Historical_Simulation!B203-Historical_Simulation!B204)</f>
        <v>0</v>
      </c>
      <c r="E202">
        <f>-(Historical_Simulation!C203-Historical_Simulation!C204)</f>
        <v>0</v>
      </c>
      <c r="G202">
        <f>-(Historical_Simulation!D203-Historical_Simulation!D204)</f>
        <v>0</v>
      </c>
      <c r="J202" s="23">
        <v>43826</v>
      </c>
      <c r="K202" s="24">
        <f t="shared" si="12"/>
        <v>-0.54293006213144046</v>
      </c>
      <c r="L202" s="25"/>
      <c r="M202" s="25"/>
      <c r="N202" s="27"/>
      <c r="Q202" s="23">
        <v>43826</v>
      </c>
      <c r="R202" s="24">
        <f t="shared" si="13"/>
        <v>-0.36351007054461554</v>
      </c>
      <c r="S202" s="25"/>
      <c r="T202" s="25"/>
      <c r="U202" s="27"/>
      <c r="X202" s="47">
        <v>43826</v>
      </c>
      <c r="Y202" s="48">
        <f t="shared" si="14"/>
        <v>-1.8635340392543838</v>
      </c>
      <c r="Z202" s="49"/>
      <c r="AA202" s="49"/>
      <c r="AB202" s="51"/>
      <c r="AE202" s="47">
        <v>43826</v>
      </c>
      <c r="AF202" s="48">
        <f t="shared" si="15"/>
        <v>-1.2907956241293417</v>
      </c>
      <c r="AG202" s="49"/>
      <c r="AH202" s="49"/>
      <c r="AI202" s="51"/>
    </row>
    <row r="203" spans="1:35" x14ac:dyDescent="0.3">
      <c r="A203" s="20">
        <v>43823</v>
      </c>
      <c r="C203">
        <f>-(Historical_Simulation!B204-Historical_Simulation!B205)</f>
        <v>-6.7499999999995453E-2</v>
      </c>
      <c r="E203">
        <f>-(Historical_Simulation!C204-Historical_Simulation!C205)</f>
        <v>3.7899999999999636</v>
      </c>
      <c r="G203">
        <f>-(Historical_Simulation!D204-Historical_Simulation!D205)</f>
        <v>1.0600000000000023</v>
      </c>
      <c r="J203" s="23">
        <v>43825</v>
      </c>
      <c r="K203" s="24">
        <f t="shared" si="12"/>
        <v>-43.565186151842383</v>
      </c>
      <c r="L203" s="25"/>
      <c r="M203" s="25"/>
      <c r="N203" s="27"/>
      <c r="Q203" s="23">
        <v>43825</v>
      </c>
      <c r="R203" s="24">
        <f t="shared" si="13"/>
        <v>-30.305921525354748</v>
      </c>
      <c r="S203" s="25"/>
      <c r="T203" s="25"/>
      <c r="U203" s="27"/>
      <c r="X203" s="47">
        <v>43825</v>
      </c>
      <c r="Y203" s="48">
        <f t="shared" si="14"/>
        <v>-8.4698604132161392</v>
      </c>
      <c r="Z203" s="49"/>
      <c r="AA203" s="49"/>
      <c r="AB203" s="51"/>
      <c r="AE203" s="47">
        <v>43825</v>
      </c>
      <c r="AF203" s="48">
        <f t="shared" si="15"/>
        <v>-6.3316369967493928</v>
      </c>
      <c r="AG203" s="49"/>
      <c r="AH203" s="49"/>
      <c r="AI203" s="51"/>
    </row>
    <row r="204" spans="1:35" x14ac:dyDescent="0.3">
      <c r="A204" s="20">
        <v>43822</v>
      </c>
      <c r="C204">
        <f>-(Historical_Simulation!B205-Historical_Simulation!B206)</f>
        <v>-1.1400000000000006</v>
      </c>
      <c r="E204">
        <f>-(Historical_Simulation!C205-Historical_Simulation!C206)</f>
        <v>-6.5</v>
      </c>
      <c r="G204">
        <f>-(Historical_Simulation!D205-Historical_Simulation!D206)</f>
        <v>0.12000000000000455</v>
      </c>
      <c r="J204" s="23">
        <v>43824</v>
      </c>
      <c r="K204" s="24">
        <f t="shared" si="12"/>
        <v>0</v>
      </c>
      <c r="L204" s="25"/>
      <c r="M204" s="25"/>
      <c r="N204" s="27"/>
      <c r="Q204" s="23">
        <v>43824</v>
      </c>
      <c r="R204" s="24">
        <f t="shared" si="13"/>
        <v>0</v>
      </c>
      <c r="S204" s="25"/>
      <c r="T204" s="25"/>
      <c r="U204" s="27"/>
      <c r="X204" s="47">
        <v>43824</v>
      </c>
      <c r="Y204" s="48">
        <f t="shared" si="14"/>
        <v>0</v>
      </c>
      <c r="Z204" s="49"/>
      <c r="AA204" s="49"/>
      <c r="AB204" s="51"/>
      <c r="AE204" s="47">
        <v>43824</v>
      </c>
      <c r="AF204" s="48">
        <f t="shared" si="15"/>
        <v>0</v>
      </c>
      <c r="AG204" s="49"/>
      <c r="AH204" s="49"/>
      <c r="AI204" s="51"/>
    </row>
    <row r="205" spans="1:35" x14ac:dyDescent="0.3">
      <c r="A205" s="20">
        <v>43819</v>
      </c>
      <c r="C205">
        <f>-(Historical_Simulation!B206-Historical_Simulation!B207)</f>
        <v>0.14499999999999602</v>
      </c>
      <c r="E205">
        <f>-(Historical_Simulation!C206-Historical_Simulation!C207)</f>
        <v>5.7799999999999727</v>
      </c>
      <c r="G205">
        <f>-(Historical_Simulation!D206-Historical_Simulation!D207)</f>
        <v>-0.24000000000000909</v>
      </c>
      <c r="J205" s="23">
        <v>43823</v>
      </c>
      <c r="K205" s="24">
        <f t="shared" si="12"/>
        <v>2.013288619075249</v>
      </c>
      <c r="L205" s="25"/>
      <c r="M205" s="25"/>
      <c r="N205" s="27"/>
      <c r="Q205" s="23">
        <v>43823</v>
      </c>
      <c r="R205" s="24">
        <f t="shared" si="13"/>
        <v>1.3588086024831116</v>
      </c>
      <c r="S205" s="25"/>
      <c r="T205" s="25"/>
      <c r="U205" s="27"/>
      <c r="X205" s="47">
        <v>43823</v>
      </c>
      <c r="Y205" s="48">
        <f t="shared" si="14"/>
        <v>6.2499544570645416</v>
      </c>
      <c r="Z205" s="49"/>
      <c r="AA205" s="49"/>
      <c r="AB205" s="51"/>
      <c r="AE205" s="47">
        <v>43823</v>
      </c>
      <c r="AF205" s="48">
        <f t="shared" si="15"/>
        <v>4.3365838998690673</v>
      </c>
      <c r="AG205" s="49"/>
      <c r="AH205" s="49"/>
      <c r="AI205" s="51"/>
    </row>
    <row r="206" spans="1:35" x14ac:dyDescent="0.3">
      <c r="A206" s="20">
        <v>43818</v>
      </c>
      <c r="C206">
        <f>-(Historical_Simulation!B207-Historical_Simulation!B208)</f>
        <v>-6.9999999999993179E-2</v>
      </c>
      <c r="E206">
        <f>-(Historical_Simulation!C207-Historical_Simulation!C208)</f>
        <v>-8.25</v>
      </c>
      <c r="G206">
        <f>-(Historical_Simulation!D207-Historical_Simulation!D208)</f>
        <v>-3.5600000000000023</v>
      </c>
      <c r="J206" s="23">
        <v>43822</v>
      </c>
      <c r="K206" s="24">
        <f t="shared" si="12"/>
        <v>-4.0312578090067213</v>
      </c>
      <c r="L206" s="25"/>
      <c r="M206" s="25"/>
      <c r="N206" s="27"/>
      <c r="Q206" s="23">
        <v>43822</v>
      </c>
      <c r="R206" s="24">
        <f t="shared" si="13"/>
        <v>-3.1218571897108327</v>
      </c>
      <c r="S206" s="25"/>
      <c r="T206" s="25"/>
      <c r="U206" s="27"/>
      <c r="X206" s="47">
        <v>43822</v>
      </c>
      <c r="Y206" s="48">
        <f t="shared" si="14"/>
        <v>5.9198604132162869</v>
      </c>
      <c r="Z206" s="49"/>
      <c r="AA206" s="49"/>
      <c r="AB206" s="51"/>
      <c r="AE206" s="47">
        <v>43822</v>
      </c>
      <c r="AF206" s="48">
        <f t="shared" si="15"/>
        <v>3.7816369967494916</v>
      </c>
      <c r="AG206" s="49"/>
      <c r="AH206" s="49"/>
      <c r="AI206" s="51"/>
    </row>
    <row r="207" spans="1:35" x14ac:dyDescent="0.3">
      <c r="A207" s="20">
        <v>43817</v>
      </c>
      <c r="C207">
        <f>-(Historical_Simulation!B208-Historical_Simulation!B209)</f>
        <v>0.16750000000000398</v>
      </c>
      <c r="E207">
        <f>-(Historical_Simulation!C208-Historical_Simulation!C209)</f>
        <v>6.6300000000001091</v>
      </c>
      <c r="G207">
        <f>-(Historical_Simulation!D208-Historical_Simulation!D209)</f>
        <v>-4.1100000000000136</v>
      </c>
      <c r="J207" s="23">
        <v>43819</v>
      </c>
      <c r="K207" s="24">
        <f t="shared" si="12"/>
        <v>3.1845965958494009</v>
      </c>
      <c r="L207" s="25"/>
      <c r="M207" s="25"/>
      <c r="N207" s="27"/>
      <c r="Q207" s="23">
        <v>43819</v>
      </c>
      <c r="R207" s="24">
        <f t="shared" si="13"/>
        <v>2.2285382955262074</v>
      </c>
      <c r="S207" s="25"/>
      <c r="T207" s="25"/>
      <c r="U207" s="27"/>
      <c r="X207" s="47">
        <v>43819</v>
      </c>
      <c r="Y207" s="48">
        <f t="shared" si="14"/>
        <v>-2.0121795707050008</v>
      </c>
      <c r="Z207" s="49"/>
      <c r="AA207" s="49"/>
      <c r="AB207" s="51"/>
      <c r="AE207" s="47">
        <v>43819</v>
      </c>
      <c r="AF207" s="48">
        <f t="shared" si="15"/>
        <v>-1.358833526784585</v>
      </c>
      <c r="AG207" s="49"/>
      <c r="AH207" s="49"/>
      <c r="AI207" s="51"/>
    </row>
    <row r="208" spans="1:35" x14ac:dyDescent="0.3">
      <c r="A208" s="20">
        <v>43816</v>
      </c>
      <c r="C208">
        <f>-(Historical_Simulation!B209-Historical_Simulation!B210)</f>
        <v>-0.13750000000000284</v>
      </c>
      <c r="E208">
        <f>-(Historical_Simulation!C209-Historical_Simulation!C210)</f>
        <v>-21.450000000000045</v>
      </c>
      <c r="G208">
        <f>-(Historical_Simulation!D209-Historical_Simulation!D210)</f>
        <v>-0.46999999999999886</v>
      </c>
      <c r="J208" s="23">
        <v>43818</v>
      </c>
      <c r="K208" s="24">
        <f t="shared" si="12"/>
        <v>-4.4824046413572693</v>
      </c>
      <c r="L208" s="25"/>
      <c r="M208" s="25"/>
      <c r="N208" s="27"/>
      <c r="Q208" s="23">
        <v>43818</v>
      </c>
      <c r="R208" s="24">
        <f t="shared" si="13"/>
        <v>-3.0945507111631687</v>
      </c>
      <c r="S208" s="25"/>
      <c r="T208" s="25"/>
      <c r="U208" s="27"/>
      <c r="X208" s="47">
        <v>43818</v>
      </c>
      <c r="Y208" s="48">
        <f t="shared" si="14"/>
        <v>-19.62469273184508</v>
      </c>
      <c r="Z208" s="49"/>
      <c r="AA208" s="49"/>
      <c r="AB208" s="51"/>
      <c r="AE208" s="47">
        <v>43818</v>
      </c>
      <c r="AF208" s="48">
        <f t="shared" si="15"/>
        <v>-13.70215326877436</v>
      </c>
      <c r="AG208" s="49"/>
      <c r="AH208" s="49"/>
      <c r="AI208" s="51"/>
    </row>
    <row r="209" spans="1:35" x14ac:dyDescent="0.3">
      <c r="A209" s="20">
        <v>43815</v>
      </c>
      <c r="C209">
        <f>-(Historical_Simulation!B210-Historical_Simulation!B211)</f>
        <v>-1.1775000000000091</v>
      </c>
      <c r="E209">
        <f>-(Historical_Simulation!C210-Historical_Simulation!C211)</f>
        <v>-8.2699999999999818</v>
      </c>
      <c r="G209">
        <f>-(Historical_Simulation!D210-Historical_Simulation!D211)</f>
        <v>-3.8099999999999739</v>
      </c>
      <c r="J209" s="23">
        <v>43817</v>
      </c>
      <c r="K209" s="24">
        <f t="shared" si="12"/>
        <v>3.6534614908034078</v>
      </c>
      <c r="L209" s="25"/>
      <c r="M209" s="25"/>
      <c r="N209" s="27"/>
      <c r="Q209" s="23">
        <v>43817</v>
      </c>
      <c r="R209" s="24">
        <f t="shared" si="13"/>
        <v>2.557005986661657</v>
      </c>
      <c r="S209" s="25"/>
      <c r="T209" s="25"/>
      <c r="U209" s="27"/>
      <c r="X209" s="47">
        <v>43817</v>
      </c>
      <c r="Y209" s="48">
        <f t="shared" si="14"/>
        <v>-23.799605490105293</v>
      </c>
      <c r="Z209" s="49"/>
      <c r="AA209" s="49"/>
      <c r="AB209" s="51"/>
      <c r="AE209" s="47">
        <v>43817</v>
      </c>
      <c r="AF209" s="48">
        <f t="shared" si="15"/>
        <v>-16.540676391742817</v>
      </c>
      <c r="AG209" s="49"/>
      <c r="AH209" s="49"/>
      <c r="AI209" s="51"/>
    </row>
    <row r="210" spans="1:35" x14ac:dyDescent="0.3">
      <c r="A210" s="20">
        <v>43812</v>
      </c>
      <c r="C210">
        <f>-(Historical_Simulation!B211-Historical_Simulation!B212)</f>
        <v>-0.92249999999999943</v>
      </c>
      <c r="E210">
        <f>-(Historical_Simulation!C211-Historical_Simulation!C212)</f>
        <v>-0.61000000000012733</v>
      </c>
      <c r="G210">
        <f>-(Historical_Simulation!D211-Historical_Simulation!D212)</f>
        <v>2.6399999999999864</v>
      </c>
      <c r="J210" s="23">
        <v>43816</v>
      </c>
      <c r="K210" s="24">
        <f t="shared" si="12"/>
        <v>-11.633755980308935</v>
      </c>
      <c r="L210" s="25"/>
      <c r="M210" s="25"/>
      <c r="N210" s="27"/>
      <c r="Q210" s="23">
        <v>43816</v>
      </c>
      <c r="R210" s="24">
        <f t="shared" si="13"/>
        <v>-8.0177857006925759</v>
      </c>
      <c r="S210" s="25"/>
      <c r="T210" s="25"/>
      <c r="U210" s="27"/>
      <c r="X210" s="47">
        <v>43816</v>
      </c>
      <c r="Y210" s="48">
        <f t="shared" si="14"/>
        <v>-2.0005187201542709</v>
      </c>
      <c r="Z210" s="49"/>
      <c r="AA210" s="49"/>
      <c r="AB210" s="51"/>
      <c r="AE210" s="47">
        <v>43816</v>
      </c>
      <c r="AF210" s="48">
        <f t="shared" si="15"/>
        <v>-1.4362653185866536</v>
      </c>
      <c r="AG210" s="49"/>
      <c r="AH210" s="49"/>
      <c r="AI210" s="51"/>
    </row>
    <row r="211" spans="1:35" x14ac:dyDescent="0.3">
      <c r="A211" s="20">
        <v>43811</v>
      </c>
      <c r="C211">
        <f>-(Historical_Simulation!B212-Historical_Simulation!B213)</f>
        <v>-0.17249999999999943</v>
      </c>
      <c r="E211">
        <f>-(Historical_Simulation!C212-Historical_Simulation!C213)</f>
        <v>-11.6099999999999</v>
      </c>
      <c r="G211">
        <f>-(Historical_Simulation!D212-Historical_Simulation!D213)</f>
        <v>5.5099999999999909</v>
      </c>
      <c r="J211" s="23">
        <v>43815</v>
      </c>
      <c r="K211" s="24">
        <f t="shared" si="12"/>
        <v>-5.0032921661156982</v>
      </c>
      <c r="L211" s="25"/>
      <c r="M211" s="25"/>
      <c r="N211" s="27"/>
      <c r="Q211" s="23">
        <v>43815</v>
      </c>
      <c r="R211" s="24">
        <f t="shared" si="13"/>
        <v>-3.7999481563477744</v>
      </c>
      <c r="S211" s="25"/>
      <c r="T211" s="25"/>
      <c r="U211" s="27"/>
      <c r="X211" s="47">
        <v>43815</v>
      </c>
      <c r="Y211" s="48">
        <f t="shared" si="14"/>
        <v>-15.927565506183782</v>
      </c>
      <c r="Z211" s="49"/>
      <c r="AA211" s="49"/>
      <c r="AB211" s="51"/>
      <c r="AE211" s="47">
        <v>43815</v>
      </c>
      <c r="AF211" s="48">
        <f t="shared" si="15"/>
        <v>-11.460205868208591</v>
      </c>
      <c r="AG211" s="49"/>
      <c r="AH211" s="49"/>
      <c r="AI211" s="51"/>
    </row>
    <row r="212" spans="1:35" x14ac:dyDescent="0.3">
      <c r="A212" s="20">
        <v>43810</v>
      </c>
      <c r="C212">
        <f>-(Historical_Simulation!B213-Historical_Simulation!B214)</f>
        <v>-0.57249999999999091</v>
      </c>
      <c r="E212">
        <f>-(Historical_Simulation!C213-Historical_Simulation!C214)</f>
        <v>-9.5099999999999909</v>
      </c>
      <c r="G212">
        <f>-(Historical_Simulation!D213-Historical_Simulation!D214)</f>
        <v>-1.3899999999999864</v>
      </c>
      <c r="J212" s="23">
        <v>43812</v>
      </c>
      <c r="K212" s="24">
        <f t="shared" si="12"/>
        <v>-0.75393319676973247</v>
      </c>
      <c r="L212" s="25"/>
      <c r="M212" s="25"/>
      <c r="N212" s="27"/>
      <c r="Q212" s="23">
        <v>43812</v>
      </c>
      <c r="R212" s="24">
        <f t="shared" si="13"/>
        <v>-0.80695328884619699</v>
      </c>
      <c r="S212" s="25"/>
      <c r="T212" s="25"/>
      <c r="U212" s="27"/>
      <c r="X212" s="47">
        <v>43812</v>
      </c>
      <c r="Y212" s="48">
        <f t="shared" si="14"/>
        <v>19.038414858795893</v>
      </c>
      <c r="Z212" s="49"/>
      <c r="AA212" s="49"/>
      <c r="AB212" s="51"/>
      <c r="AE212" s="47">
        <v>43812</v>
      </c>
      <c r="AF212" s="48">
        <f t="shared" si="15"/>
        <v>12.992842699142798</v>
      </c>
      <c r="AG212" s="49"/>
      <c r="AH212" s="49"/>
      <c r="AI212" s="51"/>
    </row>
    <row r="213" spans="1:35" x14ac:dyDescent="0.3">
      <c r="A213" s="20">
        <v>43809</v>
      </c>
      <c r="C213">
        <f>-(Historical_Simulation!B214-Historical_Simulation!B215)</f>
        <v>-0.39000000000000057</v>
      </c>
      <c r="E213">
        <f>-(Historical_Simulation!C214-Historical_Simulation!C215)</f>
        <v>10.299999999999955</v>
      </c>
      <c r="G213">
        <f>-(Historical_Simulation!D214-Historical_Simulation!D215)</f>
        <v>0.46999999999999886</v>
      </c>
      <c r="J213" s="23">
        <v>43811</v>
      </c>
      <c r="K213" s="24">
        <f t="shared" si="12"/>
        <v>-6.3420449982302403</v>
      </c>
      <c r="L213" s="25"/>
      <c r="M213" s="25"/>
      <c r="N213" s="27"/>
      <c r="Q213" s="23">
        <v>43811</v>
      </c>
      <c r="R213" s="24">
        <f t="shared" si="13"/>
        <v>-4.4015096282308663</v>
      </c>
      <c r="S213" s="25"/>
      <c r="T213" s="25"/>
      <c r="U213" s="27"/>
      <c r="X213" s="47">
        <v>43811</v>
      </c>
      <c r="Y213" s="48">
        <f t="shared" si="14"/>
        <v>31.666910157223274</v>
      </c>
      <c r="Z213" s="49"/>
      <c r="AA213" s="49"/>
      <c r="AB213" s="51"/>
      <c r="AE213" s="47">
        <v>43811</v>
      </c>
      <c r="AF213" s="48">
        <f t="shared" si="15"/>
        <v>22.023692249229228</v>
      </c>
      <c r="AG213" s="49"/>
      <c r="AH213" s="49"/>
      <c r="AI213" s="51"/>
    </row>
    <row r="214" spans="1:35" x14ac:dyDescent="0.3">
      <c r="A214" s="20">
        <v>43808</v>
      </c>
      <c r="C214">
        <f>-(Historical_Simulation!B215-Historical_Simulation!B216)</f>
        <v>0.94749999999999091</v>
      </c>
      <c r="E214">
        <f>-(Historical_Simulation!C215-Historical_Simulation!C216)</f>
        <v>2.0899999999999181</v>
      </c>
      <c r="G214">
        <f>-(Historical_Simulation!D215-Historical_Simulation!D216)</f>
        <v>-0.28999999999999204</v>
      </c>
      <c r="J214" s="23">
        <v>43810</v>
      </c>
      <c r="K214" s="24">
        <f t="shared" si="12"/>
        <v>-5.3935105723875987</v>
      </c>
      <c r="L214" s="25"/>
      <c r="M214" s="25"/>
      <c r="N214" s="27"/>
      <c r="Q214" s="23">
        <v>43810</v>
      </c>
      <c r="R214" s="24">
        <f t="shared" si="13"/>
        <v>-3.8771359390000959</v>
      </c>
      <c r="S214" s="25"/>
      <c r="T214" s="25"/>
      <c r="U214" s="27"/>
      <c r="X214" s="47">
        <v>43810</v>
      </c>
      <c r="Y214" s="48">
        <f t="shared" si="14"/>
        <v>-5.153004672860515</v>
      </c>
      <c r="Z214" s="49"/>
      <c r="AA214" s="49"/>
      <c r="AB214" s="51"/>
      <c r="AE214" s="47">
        <v>43810</v>
      </c>
      <c r="AF214" s="48">
        <f t="shared" si="15"/>
        <v>-3.765704956224333</v>
      </c>
      <c r="AG214" s="49"/>
      <c r="AH214" s="49"/>
      <c r="AI214" s="51"/>
    </row>
    <row r="215" spans="1:35" x14ac:dyDescent="0.3">
      <c r="A215" s="20">
        <v>43805</v>
      </c>
      <c r="C215">
        <f>-(Historical_Simulation!B216-Historical_Simulation!B217)</f>
        <v>-1.2824999999999989</v>
      </c>
      <c r="E215">
        <f>-(Historical_Simulation!C216-Historical_Simulation!C217)</f>
        <v>-11.119999999999891</v>
      </c>
      <c r="G215">
        <f>-(Historical_Simulation!D216-Historical_Simulation!D217)</f>
        <v>-1.6899999999999977</v>
      </c>
      <c r="J215" s="23">
        <v>43809</v>
      </c>
      <c r="K215" s="24">
        <f t="shared" si="12"/>
        <v>5.3763332049033057</v>
      </c>
      <c r="L215" s="25"/>
      <c r="M215" s="25"/>
      <c r="N215" s="27"/>
      <c r="Q215" s="23">
        <v>43809</v>
      </c>
      <c r="R215" s="24">
        <f t="shared" si="13"/>
        <v>3.5626218951508775</v>
      </c>
      <c r="S215" s="25"/>
      <c r="T215" s="25"/>
      <c r="U215" s="27"/>
      <c r="X215" s="47">
        <v>43809</v>
      </c>
      <c r="Y215" s="48">
        <f t="shared" si="14"/>
        <v>4.4286348852110944</v>
      </c>
      <c r="Z215" s="49"/>
      <c r="AA215" s="49"/>
      <c r="AB215" s="51"/>
      <c r="AE215" s="47">
        <v>43809</v>
      </c>
      <c r="AF215" s="48">
        <f t="shared" si="15"/>
        <v>2.9692125533369387</v>
      </c>
      <c r="AG215" s="49"/>
      <c r="AH215" s="49"/>
      <c r="AI215" s="51"/>
    </row>
    <row r="216" spans="1:35" x14ac:dyDescent="0.3">
      <c r="A216" s="20">
        <v>43804</v>
      </c>
      <c r="C216">
        <f>-(Historical_Simulation!B217-Historical_Simulation!B218)</f>
        <v>-0.95999999999999375</v>
      </c>
      <c r="E216">
        <f>-(Historical_Simulation!C217-Historical_Simulation!C218)</f>
        <v>20.210000000000036</v>
      </c>
      <c r="G216">
        <f>-(Historical_Simulation!D217-Historical_Simulation!D218)</f>
        <v>-0.65000000000000568</v>
      </c>
      <c r="J216" s="23">
        <v>43808</v>
      </c>
      <c r="K216" s="24">
        <f t="shared" si="12"/>
        <v>1.5637802326100596</v>
      </c>
      <c r="L216" s="25"/>
      <c r="M216" s="25"/>
      <c r="N216" s="27"/>
      <c r="Q216" s="23">
        <v>43808</v>
      </c>
      <c r="R216" s="24">
        <f t="shared" si="13"/>
        <v>1.3699387759784389</v>
      </c>
      <c r="S216" s="25"/>
      <c r="T216" s="25"/>
      <c r="U216" s="27"/>
      <c r="X216" s="47">
        <v>43808</v>
      </c>
      <c r="Y216" s="48">
        <f t="shared" si="14"/>
        <v>-5.9862914772658833</v>
      </c>
      <c r="Z216" s="49"/>
      <c r="AA216" s="49"/>
      <c r="AB216" s="51"/>
      <c r="AE216" s="47">
        <v>43808</v>
      </c>
      <c r="AF216" s="48">
        <f t="shared" si="15"/>
        <v>-3.8862506218074602</v>
      </c>
      <c r="AG216" s="49"/>
      <c r="AH216" s="49"/>
      <c r="AI216" s="51"/>
    </row>
    <row r="217" spans="1:35" x14ac:dyDescent="0.3">
      <c r="A217" s="20">
        <v>43803</v>
      </c>
      <c r="C217">
        <f>-(Historical_Simulation!B218-Historical_Simulation!B219)</f>
        <v>-0.57250000000000512</v>
      </c>
      <c r="E217">
        <f>-(Historical_Simulation!C218-Historical_Simulation!C219)</f>
        <v>9.2699999999999818</v>
      </c>
      <c r="G217">
        <f>-(Historical_Simulation!D218-Historical_Simulation!D219)</f>
        <v>0.10999999999998522</v>
      </c>
      <c r="J217" s="23">
        <v>43805</v>
      </c>
      <c r="K217" s="24">
        <f t="shared" si="12"/>
        <v>-6.5889829656909153</v>
      </c>
      <c r="L217" s="25"/>
      <c r="M217" s="25"/>
      <c r="N217" s="27"/>
      <c r="Q217" s="23">
        <v>43805</v>
      </c>
      <c r="R217" s="24">
        <f t="shared" si="13"/>
        <v>-4.9199104671231515</v>
      </c>
      <c r="S217" s="25"/>
      <c r="T217" s="25"/>
      <c r="U217" s="27"/>
      <c r="X217" s="47">
        <v>43805</v>
      </c>
      <c r="Y217" s="48">
        <f t="shared" si="14"/>
        <v>-3.5657485066552512</v>
      </c>
      <c r="Z217" s="49"/>
      <c r="AA217" s="49"/>
      <c r="AB217" s="51"/>
      <c r="AE217" s="47">
        <v>43805</v>
      </c>
      <c r="AF217" s="48">
        <f t="shared" si="15"/>
        <v>-2.87421990172651</v>
      </c>
      <c r="AG217" s="49"/>
      <c r="AH217" s="49"/>
      <c r="AI217" s="51"/>
    </row>
    <row r="218" spans="1:35" x14ac:dyDescent="0.3">
      <c r="A218" s="20">
        <v>43802</v>
      </c>
      <c r="C218">
        <f>-(Historical_Simulation!B219-Historical_Simulation!B220)</f>
        <v>1.1775000000000091</v>
      </c>
      <c r="E218">
        <f>-(Historical_Simulation!C219-Historical_Simulation!C220)</f>
        <v>11.639999999999873</v>
      </c>
      <c r="G218">
        <f>-(Historical_Simulation!D219-Historical_Simulation!D220)</f>
        <v>0.87999999999999545</v>
      </c>
      <c r="J218" s="23">
        <v>43804</v>
      </c>
      <c r="K218" s="24">
        <f t="shared" si="12"/>
        <v>10.459389518035898</v>
      </c>
      <c r="L218" s="25"/>
      <c r="M218" s="25"/>
      <c r="N218" s="27"/>
      <c r="Q218" s="23">
        <v>43804</v>
      </c>
      <c r="R218" s="24">
        <f t="shared" si="13"/>
        <v>6.8675964004064189</v>
      </c>
      <c r="S218" s="25"/>
      <c r="T218" s="25"/>
      <c r="U218" s="27"/>
      <c r="X218" s="47">
        <v>43804</v>
      </c>
      <c r="Y218" s="48">
        <f t="shared" si="14"/>
        <v>0.77694978420393923</v>
      </c>
      <c r="Z218" s="49"/>
      <c r="AA218" s="49"/>
      <c r="AB218" s="51"/>
      <c r="AE218" s="47">
        <v>43804</v>
      </c>
      <c r="AF218" s="48">
        <f t="shared" si="15"/>
        <v>0.25087894364467145</v>
      </c>
      <c r="AG218" s="49"/>
      <c r="AH218" s="49"/>
      <c r="AI218" s="51"/>
    </row>
    <row r="219" spans="1:35" x14ac:dyDescent="0.3">
      <c r="A219" s="20">
        <v>43801</v>
      </c>
      <c r="C219">
        <f>-(Historical_Simulation!B220-Historical_Simulation!B221)</f>
        <v>0.77249999999999375</v>
      </c>
      <c r="E219">
        <f>-(Historical_Simulation!C220-Historical_Simulation!C221)</f>
        <v>19.200000000000045</v>
      </c>
      <c r="G219">
        <f>-(Historical_Simulation!D220-Historical_Simulation!D221)</f>
        <v>1.9399999999999977</v>
      </c>
      <c r="J219" s="23">
        <v>43803</v>
      </c>
      <c r="K219" s="24">
        <f t="shared" si="12"/>
        <v>4.7366800345426476</v>
      </c>
      <c r="L219" s="25"/>
      <c r="M219" s="25"/>
      <c r="N219" s="27"/>
      <c r="Q219" s="23">
        <v>43803</v>
      </c>
      <c r="R219" s="24">
        <f t="shared" si="13"/>
        <v>3.0667592145016438</v>
      </c>
      <c r="S219" s="25"/>
      <c r="T219" s="25"/>
      <c r="U219" s="27"/>
      <c r="X219" s="47">
        <v>43803</v>
      </c>
      <c r="Y219" s="48">
        <f t="shared" si="14"/>
        <v>3.2515910571587479</v>
      </c>
      <c r="Z219" s="49"/>
      <c r="AA219" s="49"/>
      <c r="AB219" s="51"/>
      <c r="AE219" s="47">
        <v>43803</v>
      </c>
      <c r="AF219" s="48">
        <f t="shared" si="15"/>
        <v>2.0933867065725877</v>
      </c>
      <c r="AG219" s="49"/>
      <c r="AH219" s="49"/>
      <c r="AI219" s="51"/>
    </row>
    <row r="220" spans="1:35" x14ac:dyDescent="0.3">
      <c r="A220" s="20">
        <v>43798</v>
      </c>
      <c r="C220">
        <f>-(Historical_Simulation!B221-Historical_Simulation!B222)</f>
        <v>0.14749999999999375</v>
      </c>
      <c r="E220">
        <f>-(Historical_Simulation!C221-Historical_Simulation!C222)</f>
        <v>17.710000000000036</v>
      </c>
      <c r="G220">
        <f>-(Historical_Simulation!D221-Historical_Simulation!D222)</f>
        <v>0.36000000000001364</v>
      </c>
      <c r="J220" s="23">
        <v>43802</v>
      </c>
      <c r="K220" s="24">
        <f t="shared" si="12"/>
        <v>6.8211165721515821</v>
      </c>
      <c r="L220" s="25"/>
      <c r="M220" s="25"/>
      <c r="N220" s="27"/>
      <c r="Q220" s="23">
        <v>43802</v>
      </c>
      <c r="R220" s="24">
        <f t="shared" si="13"/>
        <v>5.0460038894308505</v>
      </c>
      <c r="S220" s="25"/>
      <c r="T220" s="25"/>
      <c r="U220" s="27"/>
      <c r="X220" s="47">
        <v>43802</v>
      </c>
      <c r="Y220" s="48">
        <f t="shared" si="14"/>
        <v>-0.48941148645390609</v>
      </c>
      <c r="Z220" s="49"/>
      <c r="AA220" s="49"/>
      <c r="AB220" s="51"/>
      <c r="AE220" s="47">
        <v>43802</v>
      </c>
      <c r="AF220" s="48">
        <f t="shared" si="15"/>
        <v>1.5446820211886259E-2</v>
      </c>
      <c r="AG220" s="49"/>
      <c r="AH220" s="49"/>
      <c r="AI220" s="51"/>
    </row>
    <row r="221" spans="1:35" x14ac:dyDescent="0.3">
      <c r="A221" s="20">
        <v>43797</v>
      </c>
      <c r="C221">
        <f>-(Historical_Simulation!B222-Historical_Simulation!B223)</f>
        <v>0</v>
      </c>
      <c r="E221">
        <f>-(Historical_Simulation!C222-Historical_Simulation!C223)</f>
        <v>0</v>
      </c>
      <c r="G221">
        <f>-(Historical_Simulation!D222-Historical_Simulation!D223)</f>
        <v>0</v>
      </c>
      <c r="J221" s="23">
        <v>43801</v>
      </c>
      <c r="K221" s="24">
        <f t="shared" si="12"/>
        <v>10.71254725288647</v>
      </c>
      <c r="L221" s="25"/>
      <c r="M221" s="25"/>
      <c r="N221" s="27"/>
      <c r="Q221" s="23">
        <v>43801</v>
      </c>
      <c r="R221" s="24">
        <f t="shared" si="13"/>
        <v>7.5860584633202288</v>
      </c>
      <c r="S221" s="25"/>
      <c r="T221" s="25"/>
      <c r="U221" s="27"/>
      <c r="X221" s="47">
        <v>43801</v>
      </c>
      <c r="Y221" s="48">
        <f t="shared" si="14"/>
        <v>7.3140770098650822</v>
      </c>
      <c r="Z221" s="49"/>
      <c r="AA221" s="49"/>
      <c r="AB221" s="51"/>
      <c r="AE221" s="47">
        <v>43801</v>
      </c>
      <c r="AF221" s="48">
        <f t="shared" si="15"/>
        <v>5.3328263442103339</v>
      </c>
      <c r="AG221" s="49"/>
      <c r="AH221" s="49"/>
      <c r="AI221" s="51"/>
    </row>
    <row r="222" spans="1:35" x14ac:dyDescent="0.3">
      <c r="A222" s="20">
        <v>43796</v>
      </c>
      <c r="C222">
        <f>-(Historical_Simulation!B223-Historical_Simulation!B224)</f>
        <v>-0.88749999999998863</v>
      </c>
      <c r="E222">
        <f>-(Historical_Simulation!C223-Historical_Simulation!C224)</f>
        <v>-21.569999999999936</v>
      </c>
      <c r="G222">
        <f>-(Historical_Simulation!D223-Historical_Simulation!D224)</f>
        <v>-3.0300000000000011</v>
      </c>
      <c r="J222" s="23">
        <v>43798</v>
      </c>
      <c r="K222" s="24">
        <f t="shared" si="12"/>
        <v>9.6209543415448948</v>
      </c>
      <c r="L222" s="25"/>
      <c r="M222" s="25"/>
      <c r="N222" s="27"/>
      <c r="Q222" s="23">
        <v>43798</v>
      </c>
      <c r="R222" s="24">
        <f t="shared" si="13"/>
        <v>6.64122516684637</v>
      </c>
      <c r="S222" s="25"/>
      <c r="T222" s="25"/>
      <c r="U222" s="27"/>
      <c r="X222" s="47">
        <v>43798</v>
      </c>
      <c r="Y222" s="48">
        <f t="shared" si="14"/>
        <v>1.3381510617528471</v>
      </c>
      <c r="Z222" s="49"/>
      <c r="AA222" s="49"/>
      <c r="AB222" s="51"/>
      <c r="AE222" s="47">
        <v>43798</v>
      </c>
      <c r="AF222" s="48">
        <f t="shared" si="15"/>
        <v>0.97753798556297844</v>
      </c>
      <c r="AG222" s="49"/>
      <c r="AH222" s="49"/>
      <c r="AI222" s="51"/>
    </row>
    <row r="223" spans="1:35" x14ac:dyDescent="0.3">
      <c r="A223" s="20">
        <v>43795</v>
      </c>
      <c r="C223">
        <f>-(Historical_Simulation!B224-Historical_Simulation!B225)</f>
        <v>0.51999999999999602</v>
      </c>
      <c r="E223">
        <f>-(Historical_Simulation!C224-Historical_Simulation!C225)</f>
        <v>-23.100000000000136</v>
      </c>
      <c r="G223">
        <f>-(Historical_Simulation!D224-Historical_Simulation!D225)</f>
        <v>0.81999999999999318</v>
      </c>
      <c r="J223" s="23">
        <v>43797</v>
      </c>
      <c r="K223" s="24">
        <f t="shared" si="12"/>
        <v>0</v>
      </c>
      <c r="L223" s="25"/>
      <c r="M223" s="25"/>
      <c r="N223" s="27"/>
      <c r="Q223" s="23">
        <v>43797</v>
      </c>
      <c r="R223" s="24">
        <f t="shared" si="13"/>
        <v>0</v>
      </c>
      <c r="S223" s="25"/>
      <c r="T223" s="25"/>
      <c r="U223" s="27"/>
      <c r="X223" s="47">
        <v>43797</v>
      </c>
      <c r="Y223" s="48">
        <f t="shared" si="14"/>
        <v>0</v>
      </c>
      <c r="Z223" s="49"/>
      <c r="AA223" s="49"/>
      <c r="AB223" s="51"/>
      <c r="AE223" s="47">
        <v>43797</v>
      </c>
      <c r="AF223" s="48">
        <f t="shared" si="15"/>
        <v>0</v>
      </c>
      <c r="AG223" s="49"/>
      <c r="AH223" s="49"/>
      <c r="AI223" s="51"/>
    </row>
    <row r="224" spans="1:35" x14ac:dyDescent="0.3">
      <c r="A224" s="20">
        <v>43794</v>
      </c>
      <c r="C224">
        <f>-(Historical_Simulation!B225-Historical_Simulation!B226)</f>
        <v>-1.147500000000008</v>
      </c>
      <c r="E224">
        <f>-(Historical_Simulation!C225-Historical_Simulation!C226)</f>
        <v>-28.119999999999891</v>
      </c>
      <c r="G224">
        <f>-(Historical_Simulation!D225-Historical_Simulation!D226)</f>
        <v>-0.96999999999999886</v>
      </c>
      <c r="J224" s="23">
        <v>43796</v>
      </c>
      <c r="K224" s="24">
        <f t="shared" si="12"/>
        <v>-12.043925304996513</v>
      </c>
      <c r="L224" s="25"/>
      <c r="M224" s="25"/>
      <c r="N224" s="27"/>
      <c r="Q224" s="23">
        <v>43796</v>
      </c>
      <c r="R224" s="24">
        <f t="shared" si="13"/>
        <v>-8.5348435310063664</v>
      </c>
      <c r="S224" s="25"/>
      <c r="T224" s="25"/>
      <c r="U224" s="27"/>
      <c r="X224" s="47">
        <v>43796</v>
      </c>
      <c r="Y224" s="48">
        <f t="shared" si="14"/>
        <v>-12.892064234377706</v>
      </c>
      <c r="Z224" s="49"/>
      <c r="AA224" s="49"/>
      <c r="AB224" s="51"/>
      <c r="AE224" s="47">
        <v>43796</v>
      </c>
      <c r="AF224" s="48">
        <f t="shared" si="15"/>
        <v>-9.2562359250284061</v>
      </c>
      <c r="AG224" s="49"/>
      <c r="AH224" s="49"/>
      <c r="AI224" s="51"/>
    </row>
    <row r="225" spans="1:35" x14ac:dyDescent="0.3">
      <c r="A225" s="20">
        <v>43791</v>
      </c>
      <c r="C225">
        <f>-(Historical_Simulation!B226-Historical_Simulation!B227)</f>
        <v>5.7500000000004547E-2</v>
      </c>
      <c r="E225">
        <f>-(Historical_Simulation!C226-Historical_Simulation!C227)</f>
        <v>-11.009999999999991</v>
      </c>
      <c r="G225">
        <f>-(Historical_Simulation!D226-Historical_Simulation!D227)</f>
        <v>-0.88999999999998636</v>
      </c>
      <c r="J225" s="23">
        <v>43795</v>
      </c>
      <c r="K225" s="24">
        <f t="shared" si="12"/>
        <v>-12.220953255361787</v>
      </c>
      <c r="L225" s="25"/>
      <c r="M225" s="25"/>
      <c r="N225" s="27"/>
      <c r="Q225" s="23">
        <v>43795</v>
      </c>
      <c r="R225" s="24">
        <f t="shared" si="13"/>
        <v>-8.2134826158526373</v>
      </c>
      <c r="S225" s="25"/>
      <c r="T225" s="25"/>
      <c r="U225" s="27"/>
      <c r="X225" s="47">
        <v>43795</v>
      </c>
      <c r="Y225" s="48">
        <f t="shared" si="14"/>
        <v>2.2009191460038515</v>
      </c>
      <c r="Z225" s="49"/>
      <c r="AA225" s="49"/>
      <c r="AB225" s="51"/>
      <c r="AE225" s="47">
        <v>43795</v>
      </c>
      <c r="AF225" s="48">
        <f t="shared" si="15"/>
        <v>1.6918183325593834</v>
      </c>
      <c r="AG225" s="49"/>
      <c r="AH225" s="49"/>
      <c r="AI225" s="51"/>
    </row>
    <row r="226" spans="1:35" x14ac:dyDescent="0.3">
      <c r="A226" s="20">
        <v>43790</v>
      </c>
      <c r="C226">
        <f>-(Historical_Simulation!B227-Historical_Simulation!B228)</f>
        <v>0.29500000000000171</v>
      </c>
      <c r="E226">
        <f>-(Historical_Simulation!C227-Historical_Simulation!C228)</f>
        <v>10.819999999999936</v>
      </c>
      <c r="G226">
        <f>-(Historical_Simulation!D227-Historical_Simulation!D228)</f>
        <v>-0.42000000000001592</v>
      </c>
      <c r="J226" s="23">
        <v>43794</v>
      </c>
      <c r="K226" s="24">
        <f t="shared" si="12"/>
        <v>-15.696837920416698</v>
      </c>
      <c r="L226" s="25"/>
      <c r="M226" s="25"/>
      <c r="N226" s="27"/>
      <c r="Q226" s="23">
        <v>43794</v>
      </c>
      <c r="R226" s="24">
        <f t="shared" si="13"/>
        <v>-11.12056773311105</v>
      </c>
      <c r="S226" s="25"/>
      <c r="T226" s="25"/>
      <c r="U226" s="27"/>
      <c r="X226" s="47">
        <v>43794</v>
      </c>
      <c r="Y226" s="48">
        <f t="shared" si="14"/>
        <v>-0.15295617194766642</v>
      </c>
      <c r="Z226" s="49"/>
      <c r="AA226" s="49"/>
      <c r="AB226" s="51"/>
      <c r="AE226" s="47">
        <v>43794</v>
      </c>
      <c r="AF226" s="48">
        <f t="shared" si="15"/>
        <v>-0.45417415323566201</v>
      </c>
      <c r="AG226" s="49"/>
      <c r="AH226" s="49"/>
      <c r="AI226" s="51"/>
    </row>
    <row r="227" spans="1:35" x14ac:dyDescent="0.3">
      <c r="A227" s="20">
        <v>43789</v>
      </c>
      <c r="C227">
        <f>-(Historical_Simulation!B228-Historical_Simulation!B229)</f>
        <v>0.77500000000000568</v>
      </c>
      <c r="E227">
        <f>-(Historical_Simulation!C228-Historical_Simulation!C229)</f>
        <v>7.2599999999999909</v>
      </c>
      <c r="G227">
        <f>-(Historical_Simulation!D228-Historical_Simulation!D229)</f>
        <v>1.8100000000000023</v>
      </c>
      <c r="J227" s="23">
        <v>43791</v>
      </c>
      <c r="K227" s="24">
        <f t="shared" si="12"/>
        <v>-5.9124619032055703</v>
      </c>
      <c r="L227" s="25"/>
      <c r="M227" s="25"/>
      <c r="N227" s="27"/>
      <c r="Q227" s="23">
        <v>43791</v>
      </c>
      <c r="R227" s="24">
        <f t="shared" si="13"/>
        <v>-4.0347023222247396</v>
      </c>
      <c r="S227" s="25"/>
      <c r="T227" s="25"/>
      <c r="U227" s="27"/>
      <c r="X227" s="47">
        <v>43791</v>
      </c>
      <c r="Y227" s="48">
        <f t="shared" si="14"/>
        <v>-5.2514029694621716</v>
      </c>
      <c r="Z227" s="49"/>
      <c r="AA227" s="49"/>
      <c r="AB227" s="51"/>
      <c r="AE227" s="47">
        <v>43791</v>
      </c>
      <c r="AF227" s="48">
        <f t="shared" si="15"/>
        <v>-3.6434929003333925</v>
      </c>
      <c r="AG227" s="49"/>
      <c r="AH227" s="49"/>
      <c r="AI227" s="51"/>
    </row>
    <row r="228" spans="1:35" x14ac:dyDescent="0.3">
      <c r="A228" s="20">
        <v>43788</v>
      </c>
      <c r="C228">
        <f>-(Historical_Simulation!B229-Historical_Simulation!B230)</f>
        <v>0.20250000000000057</v>
      </c>
      <c r="E228">
        <f>-(Historical_Simulation!C229-Historical_Simulation!C230)</f>
        <v>-0.25999999999999091</v>
      </c>
      <c r="G228">
        <f>-(Historical_Simulation!D229-Historical_Simulation!D230)</f>
        <v>-1.9199999999999875</v>
      </c>
      <c r="J228" s="23">
        <v>43790</v>
      </c>
      <c r="K228" s="24">
        <f t="shared" si="12"/>
        <v>5.9723299327976802</v>
      </c>
      <c r="L228" s="25"/>
      <c r="M228" s="25"/>
      <c r="N228" s="27"/>
      <c r="Q228" s="23">
        <v>43790</v>
      </c>
      <c r="R228" s="24">
        <f t="shared" si="13"/>
        <v>4.1866132316616396</v>
      </c>
      <c r="S228" s="25"/>
      <c r="T228" s="25"/>
      <c r="U228" s="27"/>
      <c r="X228" s="47">
        <v>43790</v>
      </c>
      <c r="Y228" s="48">
        <f t="shared" si="14"/>
        <v>-3.7111906313093237</v>
      </c>
      <c r="Z228" s="49"/>
      <c r="AA228" s="49"/>
      <c r="AB228" s="51"/>
      <c r="AE228" s="47">
        <v>43790</v>
      </c>
      <c r="AF228" s="48">
        <f t="shared" si="15"/>
        <v>-2.4978336925999658</v>
      </c>
      <c r="AG228" s="49"/>
      <c r="AH228" s="49"/>
      <c r="AI228" s="51"/>
    </row>
    <row r="229" spans="1:35" x14ac:dyDescent="0.3">
      <c r="A229" s="20">
        <v>43787</v>
      </c>
      <c r="C229">
        <f>-(Historical_Simulation!B230-Historical_Simulation!B231)</f>
        <v>-0.33500000000000796</v>
      </c>
      <c r="E229">
        <f>-(Historical_Simulation!C230-Historical_Simulation!C231)</f>
        <v>-13.039999999999964</v>
      </c>
      <c r="G229">
        <f>-(Historical_Simulation!D230-Historical_Simulation!D231)</f>
        <v>-2.3000000000000114</v>
      </c>
      <c r="J229" s="23">
        <v>43789</v>
      </c>
      <c r="K229" s="24">
        <f t="shared" si="12"/>
        <v>4.2730983006359287</v>
      </c>
      <c r="L229" s="25"/>
      <c r="M229" s="25"/>
      <c r="N229" s="27"/>
      <c r="Q229" s="23">
        <v>43789</v>
      </c>
      <c r="R229" s="24">
        <f t="shared" si="13"/>
        <v>3.1728253498646914</v>
      </c>
      <c r="S229" s="25"/>
      <c r="T229" s="25"/>
      <c r="U229" s="27"/>
      <c r="X229" s="47">
        <v>43789</v>
      </c>
      <c r="Y229" s="48">
        <f t="shared" si="14"/>
        <v>6.5741710537133429</v>
      </c>
      <c r="Z229" s="49"/>
      <c r="AA229" s="49"/>
      <c r="AB229" s="51"/>
      <c r="AE229" s="47">
        <v>43789</v>
      </c>
      <c r="AF229" s="48">
        <f t="shared" si="15"/>
        <v>4.8177732473299164</v>
      </c>
      <c r="AG229" s="49"/>
      <c r="AH229" s="49"/>
      <c r="AI229" s="51"/>
    </row>
    <row r="230" spans="1:35" x14ac:dyDescent="0.3">
      <c r="A230" s="20">
        <v>43784</v>
      </c>
      <c r="C230">
        <f>-(Historical_Simulation!B231-Historical_Simulation!B232)</f>
        <v>-0.78000000000000114</v>
      </c>
      <c r="E230">
        <f>-(Historical_Simulation!C231-Historical_Simulation!C232)</f>
        <v>15.1099999999999</v>
      </c>
      <c r="G230">
        <f>-(Historical_Simulation!D231-Historical_Simulation!D232)</f>
        <v>-1.9499999999999886</v>
      </c>
      <c r="J230" s="23">
        <v>43788</v>
      </c>
      <c r="K230" s="24">
        <f t="shared" si="12"/>
        <v>-4.6978868780891997E-2</v>
      </c>
      <c r="L230" s="25"/>
      <c r="M230" s="25"/>
      <c r="N230" s="27"/>
      <c r="Q230" s="23">
        <v>43788</v>
      </c>
      <c r="R230" s="24">
        <f t="shared" si="13"/>
        <v>3.1490867492306007E-2</v>
      </c>
      <c r="S230" s="25"/>
      <c r="T230" s="25"/>
      <c r="U230" s="27"/>
      <c r="X230" s="47">
        <v>43788</v>
      </c>
      <c r="Y230" s="48">
        <f t="shared" si="14"/>
        <v>-11.690002957977322</v>
      </c>
      <c r="Z230" s="49"/>
      <c r="AA230" s="49"/>
      <c r="AB230" s="51"/>
      <c r="AE230" s="47">
        <v>43788</v>
      </c>
      <c r="AF230" s="48">
        <f t="shared" si="15"/>
        <v>-8.0881147028576947</v>
      </c>
      <c r="AG230" s="49"/>
      <c r="AH230" s="49"/>
      <c r="AI230" s="51"/>
    </row>
    <row r="231" spans="1:35" x14ac:dyDescent="0.3">
      <c r="A231" s="20">
        <v>43783</v>
      </c>
      <c r="C231">
        <f>-(Historical_Simulation!B232-Historical_Simulation!B233)</f>
        <v>0.45750000000001023</v>
      </c>
      <c r="E231">
        <f>-(Historical_Simulation!C232-Historical_Simulation!C233)</f>
        <v>-1.4900000000000091</v>
      </c>
      <c r="G231">
        <f>-(Historical_Simulation!D232-Historical_Simulation!D233)</f>
        <v>3.9999999999992042E-2</v>
      </c>
      <c r="J231" s="23">
        <v>43787</v>
      </c>
      <c r="K231" s="24">
        <f t="shared" si="12"/>
        <v>-7.1882519521325214</v>
      </c>
      <c r="L231" s="25"/>
      <c r="M231" s="25"/>
      <c r="N231" s="27"/>
      <c r="Q231" s="23">
        <v>43787</v>
      </c>
      <c r="R231" s="24">
        <f t="shared" si="13"/>
        <v>-5.0326670886709097</v>
      </c>
      <c r="S231" s="25"/>
      <c r="T231" s="25"/>
      <c r="U231" s="27"/>
      <c r="X231" s="47">
        <v>43787</v>
      </c>
      <c r="Y231" s="48">
        <f t="shared" si="14"/>
        <v>-11.345020406325384</v>
      </c>
      <c r="Z231" s="49"/>
      <c r="AA231" s="49"/>
      <c r="AB231" s="51"/>
      <c r="AE231" s="47">
        <v>43787</v>
      </c>
      <c r="AF231" s="48">
        <f t="shared" si="15"/>
        <v>-8.0104100782640799</v>
      </c>
      <c r="AG231" s="49"/>
      <c r="AH231" s="49"/>
      <c r="AI231" s="51"/>
    </row>
    <row r="232" spans="1:35" x14ac:dyDescent="0.3">
      <c r="A232" s="20">
        <v>43782</v>
      </c>
      <c r="C232">
        <f>-(Historical_Simulation!B233-Historical_Simulation!B234)</f>
        <v>-0.62750000000001194</v>
      </c>
      <c r="E232">
        <f>-(Historical_Simulation!C233-Historical_Simulation!C234)</f>
        <v>24.8900000000001</v>
      </c>
      <c r="G232">
        <f>-(Historical_Simulation!D233-Historical_Simulation!D234)</f>
        <v>1.2800000000000011</v>
      </c>
      <c r="J232" s="23">
        <v>43784</v>
      </c>
      <c r="K232" s="24">
        <f t="shared" si="12"/>
        <v>7.7912848106560668</v>
      </c>
      <c r="L232" s="25"/>
      <c r="M232" s="25"/>
      <c r="N232" s="27"/>
      <c r="Q232" s="23">
        <v>43784</v>
      </c>
      <c r="R232" s="24">
        <f t="shared" si="13"/>
        <v>5.0953191687509181</v>
      </c>
      <c r="S232" s="25"/>
      <c r="T232" s="25"/>
      <c r="U232" s="27"/>
      <c r="X232" s="47">
        <v>43784</v>
      </c>
      <c r="Y232" s="48">
        <f t="shared" si="14"/>
        <v>-7.3355846694150291</v>
      </c>
      <c r="Z232" s="49"/>
      <c r="AA232" s="49"/>
      <c r="AB232" s="51"/>
      <c r="AE232" s="47">
        <v>43784</v>
      </c>
      <c r="AF232" s="48">
        <f t="shared" si="15"/>
        <v>-5.3500914969816051</v>
      </c>
      <c r="AG232" s="49"/>
      <c r="AH232" s="49"/>
      <c r="AI232" s="51"/>
    </row>
    <row r="233" spans="1:35" x14ac:dyDescent="0.3">
      <c r="A233" s="20">
        <v>43781</v>
      </c>
      <c r="C233">
        <f>-(Historical_Simulation!B234-Historical_Simulation!B235)</f>
        <v>6.0000000000002274E-2</v>
      </c>
      <c r="E233">
        <f>-(Historical_Simulation!C234-Historical_Simulation!C235)</f>
        <v>-6.3499999999999091</v>
      </c>
      <c r="G233">
        <f>-(Historical_Simulation!D234-Historical_Simulation!D235)</f>
        <v>-4.8599999999999852</v>
      </c>
      <c r="J233" s="23">
        <v>43783</v>
      </c>
      <c r="K233" s="24">
        <f t="shared" si="12"/>
        <v>-0.59300831773145368</v>
      </c>
      <c r="L233" s="25"/>
      <c r="M233" s="25"/>
      <c r="N233" s="27"/>
      <c r="Q233" s="23">
        <v>43783</v>
      </c>
      <c r="R233" s="24">
        <f t="shared" si="13"/>
        <v>-0.26258710391078899</v>
      </c>
      <c r="S233" s="25"/>
      <c r="T233" s="25"/>
      <c r="U233" s="27"/>
      <c r="X233" s="47">
        <v>43783</v>
      </c>
      <c r="Y233" s="48">
        <f t="shared" si="14"/>
        <v>-1.8817791448554795</v>
      </c>
      <c r="Z233" s="49"/>
      <c r="AA233" s="49"/>
      <c r="AB233" s="51"/>
      <c r="AE233" s="47">
        <v>43783</v>
      </c>
      <c r="AF233" s="48">
        <f t="shared" si="15"/>
        <v>-1.1732805128118899</v>
      </c>
      <c r="AG233" s="49"/>
      <c r="AH233" s="49"/>
      <c r="AI233" s="51"/>
    </row>
    <row r="234" spans="1:35" x14ac:dyDescent="0.3">
      <c r="A234" s="20">
        <v>43780</v>
      </c>
      <c r="C234">
        <f>-(Historical_Simulation!B235-Historical_Simulation!B236)</f>
        <v>-0.51500000000000057</v>
      </c>
      <c r="E234">
        <f>-(Historical_Simulation!C235-Historical_Simulation!C236)</f>
        <v>14.230000000000018</v>
      </c>
      <c r="G234">
        <f>-(Historical_Simulation!D235-Historical_Simulation!D236)</f>
        <v>1.2299999999999898</v>
      </c>
      <c r="J234" s="23">
        <v>43782</v>
      </c>
      <c r="K234" s="24">
        <f t="shared" si="12"/>
        <v>13.136990884576358</v>
      </c>
      <c r="L234" s="25"/>
      <c r="M234" s="25"/>
      <c r="N234" s="27"/>
      <c r="Q234" s="23">
        <v>43782</v>
      </c>
      <c r="R234" s="24">
        <f t="shared" si="13"/>
        <v>8.8075822459787911</v>
      </c>
      <c r="S234" s="25"/>
      <c r="T234" s="25"/>
      <c r="U234" s="27"/>
      <c r="X234" s="47">
        <v>43782</v>
      </c>
      <c r="Y234" s="48">
        <f t="shared" si="14"/>
        <v>10.060344236674677</v>
      </c>
      <c r="Z234" s="49"/>
      <c r="AA234" s="49"/>
      <c r="AB234" s="51"/>
      <c r="AE234" s="47">
        <v>43782</v>
      </c>
      <c r="AF234" s="48">
        <f t="shared" si="15"/>
        <v>6.8233115645235456</v>
      </c>
      <c r="AG234" s="49"/>
      <c r="AH234" s="49"/>
      <c r="AI234" s="51"/>
    </row>
    <row r="235" spans="1:35" x14ac:dyDescent="0.3">
      <c r="A235" s="20">
        <v>43777</v>
      </c>
      <c r="C235">
        <f>-(Historical_Simulation!B236-Historical_Simulation!B237)</f>
        <v>-0.17749999999999488</v>
      </c>
      <c r="E235">
        <f>-(Historical_Simulation!C236-Historical_Simulation!C237)</f>
        <v>2.3199999999999363</v>
      </c>
      <c r="G235">
        <f>-(Historical_Simulation!D236-Historical_Simulation!D237)</f>
        <v>-0.42000000000001592</v>
      </c>
      <c r="J235" s="23">
        <v>43781</v>
      </c>
      <c r="K235" s="24">
        <f t="shared" si="12"/>
        <v>-3.3976422678606002</v>
      </c>
      <c r="L235" s="25"/>
      <c r="M235" s="25"/>
      <c r="N235" s="27"/>
      <c r="Q235" s="23">
        <v>43781</v>
      </c>
      <c r="R235" s="24">
        <f t="shared" si="13"/>
        <v>-2.3100941391877323</v>
      </c>
      <c r="S235" s="25"/>
      <c r="T235" s="25"/>
      <c r="U235" s="27"/>
      <c r="X235" s="47">
        <v>43781</v>
      </c>
      <c r="Y235" s="48">
        <f t="shared" si="14"/>
        <v>-27.507073994463418</v>
      </c>
      <c r="Z235" s="49"/>
      <c r="AA235" s="49"/>
      <c r="AB235" s="51"/>
      <c r="AE235" s="47">
        <v>43781</v>
      </c>
      <c r="AF235" s="48">
        <f t="shared" si="15"/>
        <v>-19.157820653974081</v>
      </c>
      <c r="AG235" s="49"/>
      <c r="AH235" s="49"/>
      <c r="AI235" s="51"/>
    </row>
    <row r="236" spans="1:35" x14ac:dyDescent="0.3">
      <c r="A236" s="20">
        <v>43776</v>
      </c>
      <c r="C236">
        <f>-(Historical_Simulation!B237-Historical_Simulation!B238)</f>
        <v>-0.54749999999999943</v>
      </c>
      <c r="E236">
        <f>-(Historical_Simulation!C237-Historical_Simulation!C238)</f>
        <v>7.5699999999999363</v>
      </c>
      <c r="G236">
        <f>-(Historical_Simulation!D237-Historical_Simulation!D238)</f>
        <v>1.1300000000000239</v>
      </c>
      <c r="J236" s="23">
        <v>43780</v>
      </c>
      <c r="K236" s="24">
        <f t="shared" si="12"/>
        <v>7.4386560436201794</v>
      </c>
      <c r="L236" s="25"/>
      <c r="M236" s="25"/>
      <c r="N236" s="27"/>
      <c r="Q236" s="23">
        <v>43780</v>
      </c>
      <c r="R236" s="24">
        <f t="shared" si="13"/>
        <v>4.9369560190832562</v>
      </c>
      <c r="S236" s="25"/>
      <c r="T236" s="25"/>
      <c r="U236" s="27"/>
      <c r="X236" s="47">
        <v>43780</v>
      </c>
      <c r="Y236" s="48">
        <f t="shared" si="14"/>
        <v>9.262346365922463</v>
      </c>
      <c r="Z236" s="49"/>
      <c r="AA236" s="49"/>
      <c r="AB236" s="51"/>
      <c r="AE236" s="47">
        <v>43780</v>
      </c>
      <c r="AF236" s="48">
        <f t="shared" si="15"/>
        <v>6.3010766343871278</v>
      </c>
      <c r="AG236" s="49"/>
      <c r="AH236" s="49"/>
      <c r="AI236" s="51"/>
    </row>
    <row r="237" spans="1:35" x14ac:dyDescent="0.3">
      <c r="A237" s="20">
        <v>43775</v>
      </c>
      <c r="C237">
        <f>-(Historical_Simulation!B238-Historical_Simulation!B239)</f>
        <v>-2.7500000000003411E-2</v>
      </c>
      <c r="E237">
        <f>-(Historical_Simulation!C238-Historical_Simulation!C239)</f>
        <v>5.9400000000000546</v>
      </c>
      <c r="G237">
        <f>-(Historical_Simulation!D238-Historical_Simulation!D239)</f>
        <v>2.7699999999999818</v>
      </c>
      <c r="J237" s="23">
        <v>43777</v>
      </c>
      <c r="K237" s="24">
        <f t="shared" si="12"/>
        <v>1.1696858914168127</v>
      </c>
      <c r="L237" s="25"/>
      <c r="M237" s="25"/>
      <c r="N237" s="27"/>
      <c r="Q237" s="23">
        <v>43777</v>
      </c>
      <c r="R237" s="24">
        <f t="shared" si="13"/>
        <v>0.74594931554154742</v>
      </c>
      <c r="S237" s="25"/>
      <c r="T237" s="25"/>
      <c r="U237" s="27"/>
      <c r="X237" s="47">
        <v>43777</v>
      </c>
      <c r="Y237" s="48">
        <f t="shared" si="14"/>
        <v>-1.5362429763532421</v>
      </c>
      <c r="Z237" s="49"/>
      <c r="AA237" s="49"/>
      <c r="AB237" s="51"/>
      <c r="AE237" s="47">
        <v>43777</v>
      </c>
      <c r="AF237" s="48">
        <f t="shared" si="15"/>
        <v>-1.1247198188189238</v>
      </c>
      <c r="AG237" s="49"/>
      <c r="AH237" s="49"/>
      <c r="AI237" s="51"/>
    </row>
    <row r="238" spans="1:35" x14ac:dyDescent="0.3">
      <c r="A238" s="20">
        <v>43774</v>
      </c>
      <c r="C238">
        <f>-(Historical_Simulation!B239-Historical_Simulation!B240)</f>
        <v>9.2500000000001137E-2</v>
      </c>
      <c r="E238">
        <f>-(Historical_Simulation!C239-Historical_Simulation!C240)</f>
        <v>2.9500000000000455</v>
      </c>
      <c r="G238">
        <f>-(Historical_Simulation!D239-Historical_Simulation!D240)</f>
        <v>0.40000000000000568</v>
      </c>
      <c r="J238" s="23">
        <v>43776</v>
      </c>
      <c r="K238" s="24">
        <f t="shared" si="12"/>
        <v>3.8311912807111721</v>
      </c>
      <c r="L238" s="25"/>
      <c r="M238" s="25"/>
      <c r="N238" s="27"/>
      <c r="Q238" s="23">
        <v>43776</v>
      </c>
      <c r="R238" s="24">
        <f t="shared" si="13"/>
        <v>2.4539413689323797</v>
      </c>
      <c r="S238" s="25"/>
      <c r="T238" s="25"/>
      <c r="U238" s="27"/>
      <c r="X238" s="47">
        <v>43776</v>
      </c>
      <c r="Y238" s="48">
        <f t="shared" si="14"/>
        <v>8.8516395580717777</v>
      </c>
      <c r="Z238" s="49"/>
      <c r="AA238" s="49"/>
      <c r="AB238" s="51"/>
      <c r="AE238" s="47">
        <v>43776</v>
      </c>
      <c r="AF238" s="48">
        <f t="shared" si="15"/>
        <v>6.0049175095613929</v>
      </c>
      <c r="AG238" s="49"/>
      <c r="AH238" s="49"/>
      <c r="AI238" s="51"/>
    </row>
    <row r="239" spans="1:35" x14ac:dyDescent="0.3">
      <c r="A239" s="20">
        <v>43773</v>
      </c>
      <c r="C239">
        <f>-(Historical_Simulation!B240-Historical_Simulation!B241)</f>
        <v>-0.42000000000000171</v>
      </c>
      <c r="E239">
        <f>-(Historical_Simulation!C240-Historical_Simulation!C241)</f>
        <v>-13.220000000000027</v>
      </c>
      <c r="G239">
        <f>-(Historical_Simulation!D240-Historical_Simulation!D241)</f>
        <v>-1.0999999999999943</v>
      </c>
      <c r="J239" s="23">
        <v>43775</v>
      </c>
      <c r="K239" s="24">
        <f t="shared" si="12"/>
        <v>3.1914516744865224</v>
      </c>
      <c r="L239" s="25"/>
      <c r="M239" s="25"/>
      <c r="N239" s="27"/>
      <c r="Q239" s="23">
        <v>43775</v>
      </c>
      <c r="R239" s="24">
        <f t="shared" si="13"/>
        <v>2.178979996193934</v>
      </c>
      <c r="S239" s="25"/>
      <c r="T239" s="25"/>
      <c r="U239" s="27"/>
      <c r="X239" s="47">
        <v>43775</v>
      </c>
      <c r="Y239" s="48">
        <f t="shared" si="14"/>
        <v>15.647071036486015</v>
      </c>
      <c r="Z239" s="49"/>
      <c r="AA239" s="49"/>
      <c r="AB239" s="51"/>
      <c r="AE239" s="47">
        <v>43775</v>
      </c>
      <c r="AF239" s="48">
        <f t="shared" si="15"/>
        <v>10.899705951116328</v>
      </c>
      <c r="AG239" s="49"/>
      <c r="AH239" s="49"/>
      <c r="AI239" s="51"/>
    </row>
    <row r="240" spans="1:35" x14ac:dyDescent="0.3">
      <c r="A240" s="20">
        <v>43770</v>
      </c>
      <c r="C240">
        <f>-(Historical_Simulation!B241-Historical_Simulation!B242)</f>
        <v>-1.7650000000000006</v>
      </c>
      <c r="E240">
        <f>-(Historical_Simulation!C241-Historical_Simulation!C242)</f>
        <v>-14.779999999999973</v>
      </c>
      <c r="G240">
        <f>-(Historical_Simulation!D241-Historical_Simulation!D242)</f>
        <v>-1.9699999999999989</v>
      </c>
      <c r="J240" s="23">
        <v>43774</v>
      </c>
      <c r="K240" s="24">
        <f t="shared" si="12"/>
        <v>1.6338748487382166</v>
      </c>
      <c r="L240" s="25"/>
      <c r="M240" s="25"/>
      <c r="N240" s="27"/>
      <c r="Q240" s="23">
        <v>43774</v>
      </c>
      <c r="R240" s="24">
        <f t="shared" si="13"/>
        <v>1.1490591267908201</v>
      </c>
      <c r="S240" s="25"/>
      <c r="T240" s="25"/>
      <c r="U240" s="27"/>
      <c r="X240" s="47">
        <v>43774</v>
      </c>
      <c r="Y240" s="48">
        <f t="shared" si="14"/>
        <v>1.8154421246539949</v>
      </c>
      <c r="Z240" s="49"/>
      <c r="AA240" s="49"/>
      <c r="AB240" s="51"/>
      <c r="AE240" s="47">
        <v>43774</v>
      </c>
      <c r="AF240" s="48">
        <f t="shared" si="15"/>
        <v>1.293613790873402</v>
      </c>
      <c r="AG240" s="49"/>
      <c r="AH240" s="49"/>
      <c r="AI240" s="51"/>
    </row>
    <row r="241" spans="1:35" x14ac:dyDescent="0.3">
      <c r="A241" s="20">
        <v>43769</v>
      </c>
      <c r="C241">
        <f>-(Historical_Simulation!B242-Historical_Simulation!B243)</f>
        <v>-1.375</v>
      </c>
      <c r="E241">
        <f>-(Historical_Simulation!C242-Historical_Simulation!C243)</f>
        <v>3.3299999999999272</v>
      </c>
      <c r="G241">
        <f>-(Historical_Simulation!D242-Historical_Simulation!D243)</f>
        <v>-3.4000000000000057</v>
      </c>
      <c r="J241" s="23">
        <v>43773</v>
      </c>
      <c r="K241" s="24">
        <f t="shared" si="12"/>
        <v>-7.3244962603145751</v>
      </c>
      <c r="L241" s="25"/>
      <c r="M241" s="25"/>
      <c r="N241" s="27"/>
      <c r="Q241" s="23">
        <v>43773</v>
      </c>
      <c r="R241" s="24">
        <f t="shared" si="13"/>
        <v>-5.1527932888616998</v>
      </c>
      <c r="S241" s="25"/>
      <c r="T241" s="25"/>
      <c r="U241" s="27"/>
      <c r="X241" s="47">
        <v>43773</v>
      </c>
      <c r="Y241" s="48">
        <f t="shared" si="14"/>
        <v>-4.2300833976087358</v>
      </c>
      <c r="Z241" s="49"/>
      <c r="AA241" s="49"/>
      <c r="AB241" s="51"/>
      <c r="AE241" s="47">
        <v>43773</v>
      </c>
      <c r="AF241" s="48">
        <f t="shared" si="15"/>
        <v>-3.0761215538012756</v>
      </c>
      <c r="AG241" s="49"/>
      <c r="AH241" s="49"/>
      <c r="AI241" s="51"/>
    </row>
    <row r="242" spans="1:35" x14ac:dyDescent="0.3">
      <c r="A242" s="20">
        <v>43768</v>
      </c>
      <c r="C242">
        <f>-(Historical_Simulation!B243-Historical_Simulation!B244)</f>
        <v>7.5000000000002842E-3</v>
      </c>
      <c r="E242">
        <f>-(Historical_Simulation!C243-Historical_Simulation!C244)</f>
        <v>-17.279999999999973</v>
      </c>
      <c r="G242">
        <f>-(Historical_Simulation!D243-Historical_Simulation!D244)</f>
        <v>1.0600000000000023</v>
      </c>
      <c r="J242" s="23">
        <v>43770</v>
      </c>
      <c r="K242" s="24">
        <f t="shared" si="12"/>
        <v>-8.7854702209370164</v>
      </c>
      <c r="L242" s="25"/>
      <c r="M242" s="25"/>
      <c r="N242" s="27"/>
      <c r="Q242" s="23">
        <v>43770</v>
      </c>
      <c r="R242" s="24">
        <f t="shared" si="13"/>
        <v>-6.5772894261355273</v>
      </c>
      <c r="S242" s="25"/>
      <c r="T242" s="25"/>
      <c r="U242" s="27"/>
      <c r="X242" s="47">
        <v>43770</v>
      </c>
      <c r="Y242" s="48">
        <f t="shared" si="14"/>
        <v>-2.9136280831026351</v>
      </c>
      <c r="Z242" s="49"/>
      <c r="AA242" s="49"/>
      <c r="AB242" s="51"/>
      <c r="AE242" s="47">
        <v>43770</v>
      </c>
      <c r="AF242" s="48">
        <f t="shared" si="15"/>
        <v>-2.5657425272489158</v>
      </c>
      <c r="AG242" s="49"/>
      <c r="AH242" s="49"/>
      <c r="AI242" s="51"/>
    </row>
    <row r="243" spans="1:35" x14ac:dyDescent="0.3">
      <c r="A243" s="20">
        <v>43767</v>
      </c>
      <c r="C243">
        <f>-(Historical_Simulation!B244-Historical_Simulation!B245)</f>
        <v>1.4400000000000048</v>
      </c>
      <c r="E243">
        <f>-(Historical_Simulation!C244-Historical_Simulation!C245)</f>
        <v>14.369999999999891</v>
      </c>
      <c r="G243">
        <f>-(Historical_Simulation!D244-Historical_Simulation!D245)</f>
        <v>9.0000000000003411E-2</v>
      </c>
      <c r="J243" s="23">
        <v>43769</v>
      </c>
      <c r="K243" s="24">
        <f t="shared" si="12"/>
        <v>1.1629417894358984</v>
      </c>
      <c r="L243" s="25"/>
      <c r="M243" s="25"/>
      <c r="N243" s="27"/>
      <c r="Q243" s="23">
        <v>43769</v>
      </c>
      <c r="R243" s="24">
        <f t="shared" si="13"/>
        <v>0.36467128313233599</v>
      </c>
      <c r="S243" s="25"/>
      <c r="T243" s="25"/>
      <c r="U243" s="27"/>
      <c r="X243" s="47">
        <v>43769</v>
      </c>
      <c r="Y243" s="48">
        <f t="shared" si="14"/>
        <v>-12.721204235526162</v>
      </c>
      <c r="Z243" s="49"/>
      <c r="AA243" s="49"/>
      <c r="AB243" s="51"/>
      <c r="AE243" s="47">
        <v>43769</v>
      </c>
      <c r="AF243" s="48">
        <f t="shared" si="15"/>
        <v>-9.2847737447759595</v>
      </c>
      <c r="AG243" s="49"/>
      <c r="AH243" s="49"/>
      <c r="AI243" s="51"/>
    </row>
    <row r="244" spans="1:35" x14ac:dyDescent="0.3">
      <c r="A244" s="20">
        <v>43766</v>
      </c>
      <c r="C244">
        <f>-(Historical_Simulation!B245-Historical_Simulation!B246)</f>
        <v>-0.61749999999999972</v>
      </c>
      <c r="E244">
        <f>-(Historical_Simulation!C245-Historical_Simulation!C246)</f>
        <v>-15.75</v>
      </c>
      <c r="G244">
        <f>-(Historical_Simulation!D245-Historical_Simulation!D246)</f>
        <v>-1.5100000000000193</v>
      </c>
      <c r="J244" s="23">
        <v>43768</v>
      </c>
      <c r="K244" s="24">
        <f t="shared" si="12"/>
        <v>-9.3176155547021686</v>
      </c>
      <c r="L244" s="25"/>
      <c r="M244" s="25"/>
      <c r="N244" s="27"/>
      <c r="Q244" s="23">
        <v>43768</v>
      </c>
      <c r="R244" s="24">
        <f t="shared" si="13"/>
        <v>-6.3845440610309616</v>
      </c>
      <c r="S244" s="25"/>
      <c r="T244" s="25"/>
      <c r="U244" s="27"/>
      <c r="X244" s="47">
        <v>43768</v>
      </c>
      <c r="Y244" s="48">
        <f t="shared" si="14"/>
        <v>5.9047246705635938</v>
      </c>
      <c r="Z244" s="49"/>
      <c r="AA244" s="49"/>
      <c r="AB244" s="51"/>
      <c r="AE244" s="47">
        <v>43768</v>
      </c>
      <c r="AF244" s="48">
        <f t="shared" si="15"/>
        <v>4.1186293167292298</v>
      </c>
      <c r="AG244" s="49"/>
      <c r="AH244" s="49"/>
      <c r="AI244" s="51"/>
    </row>
    <row r="245" spans="1:35" x14ac:dyDescent="0.3">
      <c r="A245" s="20">
        <v>43763</v>
      </c>
      <c r="C245">
        <f>-(Historical_Simulation!B246-Historical_Simulation!B247)</f>
        <v>-0.75</v>
      </c>
      <c r="E245">
        <f>-(Historical_Simulation!C246-Historical_Simulation!C247)</f>
        <v>19.450000000000045</v>
      </c>
      <c r="G245">
        <f>-(Historical_Simulation!D246-Historical_Simulation!D247)</f>
        <v>-1.5099999999999909</v>
      </c>
      <c r="J245" s="23">
        <v>43767</v>
      </c>
      <c r="K245" s="24">
        <f t="shared" si="12"/>
        <v>8.4146200504583213</v>
      </c>
      <c r="L245" s="25"/>
      <c r="M245" s="25"/>
      <c r="N245" s="27"/>
      <c r="Q245" s="23">
        <v>43767</v>
      </c>
      <c r="R245" s="24">
        <f t="shared" si="13"/>
        <v>6.2208607207016522</v>
      </c>
      <c r="S245" s="25"/>
      <c r="T245" s="25"/>
      <c r="U245" s="27"/>
      <c r="X245" s="47">
        <v>43767</v>
      </c>
      <c r="Y245" s="48">
        <f t="shared" si="14"/>
        <v>-6.124136157017424</v>
      </c>
      <c r="Z245" s="49"/>
      <c r="AA245" s="49"/>
      <c r="AB245" s="51"/>
      <c r="AE245" s="47">
        <v>43767</v>
      </c>
      <c r="AF245" s="48">
        <f t="shared" si="15"/>
        <v>-3.8331824965172925</v>
      </c>
      <c r="AG245" s="49"/>
      <c r="AH245" s="49"/>
      <c r="AI245" s="51"/>
    </row>
    <row r="246" spans="1:35" x14ac:dyDescent="0.3">
      <c r="A246" s="20">
        <v>43762</v>
      </c>
      <c r="C246">
        <f>-(Historical_Simulation!B247-Historical_Simulation!B248)</f>
        <v>-0.10000000000000142</v>
      </c>
      <c r="E246">
        <f>-(Historical_Simulation!C247-Historical_Simulation!C248)</f>
        <v>-18.6099999999999</v>
      </c>
      <c r="G246">
        <f>-(Historical_Simulation!D247-Historical_Simulation!D248)</f>
        <v>-0.22999999999998977</v>
      </c>
      <c r="J246" s="23">
        <v>43766</v>
      </c>
      <c r="K246" s="24">
        <f t="shared" si="12"/>
        <v>-8.7801788796257849</v>
      </c>
      <c r="L246" s="25"/>
      <c r="M246" s="25"/>
      <c r="N246" s="27"/>
      <c r="Q246" s="23">
        <v>43766</v>
      </c>
      <c r="R246" s="24">
        <f t="shared" si="13"/>
        <v>-6.2127339409140232</v>
      </c>
      <c r="S246" s="25"/>
      <c r="T246" s="25"/>
      <c r="U246" s="27"/>
      <c r="X246" s="47">
        <v>43766</v>
      </c>
      <c r="Y246" s="48">
        <f t="shared" si="14"/>
        <v>-5.6182344593616254</v>
      </c>
      <c r="Z246" s="49"/>
      <c r="AA246" s="49"/>
      <c r="AB246" s="51"/>
      <c r="AE246" s="47">
        <v>43766</v>
      </c>
      <c r="AF246" s="48">
        <f t="shared" si="15"/>
        <v>-4.1036595393642861</v>
      </c>
      <c r="AG246" s="49"/>
      <c r="AH246" s="49"/>
      <c r="AI246" s="51"/>
    </row>
    <row r="247" spans="1:35" x14ac:dyDescent="0.3">
      <c r="A247" s="20">
        <v>43761</v>
      </c>
      <c r="C247">
        <f>-(Historical_Simulation!B248-Historical_Simulation!B249)</f>
        <v>-0.80499999999999972</v>
      </c>
      <c r="E247">
        <f>-(Historical_Simulation!C248-Historical_Simulation!C249)</f>
        <v>3.5599999999999454</v>
      </c>
      <c r="G247">
        <f>-(Historical_Simulation!D248-Historical_Simulation!D249)</f>
        <v>-3.8100000000000023</v>
      </c>
      <c r="J247" s="23">
        <v>43763</v>
      </c>
      <c r="K247" s="24">
        <f t="shared" si="12"/>
        <v>10.146158160808938</v>
      </c>
      <c r="L247" s="25"/>
      <c r="M247" s="25"/>
      <c r="N247" s="27"/>
      <c r="Q247" s="23">
        <v>43763</v>
      </c>
      <c r="R247" s="24">
        <f t="shared" si="13"/>
        <v>6.7189394089848697</v>
      </c>
      <c r="S247" s="25"/>
      <c r="T247" s="25"/>
      <c r="U247" s="27"/>
      <c r="X247" s="47">
        <v>43763</v>
      </c>
      <c r="Y247" s="48">
        <f t="shared" si="14"/>
        <v>-5.0083285032097571</v>
      </c>
      <c r="Z247" s="49"/>
      <c r="AA247" s="49"/>
      <c r="AB247" s="51"/>
      <c r="AE247" s="47">
        <v>43763</v>
      </c>
      <c r="AF247" s="48">
        <f t="shared" si="15"/>
        <v>-3.718606442483773</v>
      </c>
      <c r="AG247" s="49"/>
      <c r="AH247" s="49"/>
      <c r="AI247" s="51"/>
    </row>
    <row r="248" spans="1:35" x14ac:dyDescent="0.3">
      <c r="A248" s="20">
        <v>43760</v>
      </c>
      <c r="C248">
        <f>-(Historical_Simulation!B249-Historical_Simulation!B250)</f>
        <v>0.13749999999999574</v>
      </c>
      <c r="E248">
        <f>-(Historical_Simulation!C249-Historical_Simulation!C250)</f>
        <v>19.930000000000064</v>
      </c>
      <c r="G248">
        <f>-(Historical_Simulation!D249-Historical_Simulation!D250)</f>
        <v>7.4199999999999875</v>
      </c>
      <c r="J248" s="23">
        <v>43762</v>
      </c>
      <c r="K248" s="24">
        <f t="shared" si="12"/>
        <v>-10.084548888939205</v>
      </c>
      <c r="L248" s="25"/>
      <c r="M248" s="25"/>
      <c r="N248" s="27"/>
      <c r="Q248" s="23">
        <v>43762</v>
      </c>
      <c r="R248" s="24">
        <f t="shared" si="13"/>
        <v>-6.944062795064796</v>
      </c>
      <c r="S248" s="25"/>
      <c r="T248" s="25"/>
      <c r="U248" s="27"/>
      <c r="X248" s="47">
        <v>43762</v>
      </c>
      <c r="Y248" s="48">
        <f t="shared" si="14"/>
        <v>-0.82839829660161368</v>
      </c>
      <c r="Z248" s="49"/>
      <c r="AA248" s="49"/>
      <c r="AB248" s="51"/>
      <c r="AE248" s="47">
        <v>43762</v>
      </c>
      <c r="AF248" s="48">
        <f t="shared" si="15"/>
        <v>-0.60778794410902837</v>
      </c>
      <c r="AG248" s="49"/>
      <c r="AH248" s="49"/>
      <c r="AI248" s="51"/>
    </row>
    <row r="249" spans="1:35" x14ac:dyDescent="0.3">
      <c r="A249" s="20">
        <v>43759</v>
      </c>
      <c r="C249">
        <f>-(Historical_Simulation!B250-Historical_Simulation!B251)</f>
        <v>-1.0249999999999986</v>
      </c>
      <c r="E249">
        <f>-(Historical_Simulation!C250-Historical_Simulation!C251)</f>
        <v>-28.150000000000091</v>
      </c>
      <c r="G249">
        <f>-(Historical_Simulation!D250-Historical_Simulation!D251)</f>
        <v>-3.9099999999999966</v>
      </c>
      <c r="J249" s="23">
        <v>43761</v>
      </c>
      <c r="K249" s="24">
        <f t="shared" si="12"/>
        <v>1.5495411075213028</v>
      </c>
      <c r="L249" s="25"/>
      <c r="M249" s="25"/>
      <c r="N249" s="27"/>
      <c r="Q249" s="23">
        <v>43761</v>
      </c>
      <c r="R249" s="24">
        <f t="shared" si="13"/>
        <v>0.80895646139695421</v>
      </c>
      <c r="S249" s="25"/>
      <c r="T249" s="25"/>
      <c r="U249" s="27"/>
      <c r="X249" s="47">
        <v>43761</v>
      </c>
      <c r="Y249" s="48">
        <f t="shared" si="14"/>
        <v>-17.642206779138792</v>
      </c>
      <c r="Z249" s="49"/>
      <c r="AA249" s="49"/>
      <c r="AB249" s="51"/>
      <c r="AE249" s="47">
        <v>43761</v>
      </c>
      <c r="AF249" s="48">
        <f t="shared" si="15"/>
        <v>-12.542713631136648</v>
      </c>
      <c r="AG249" s="49"/>
      <c r="AH249" s="49"/>
      <c r="AI249" s="51"/>
    </row>
    <row r="250" spans="1:35" x14ac:dyDescent="0.3">
      <c r="A250" s="20">
        <v>43756</v>
      </c>
      <c r="C250">
        <f>-(Historical_Simulation!B251-Historical_Simulation!B252)</f>
        <v>-0.28249999999999886</v>
      </c>
      <c r="E250">
        <f>-(Historical_Simulation!C251-Historical_Simulation!C252)</f>
        <v>29.970000000000027</v>
      </c>
      <c r="G250">
        <f>-(Historical_Simulation!D251-Historical_Simulation!D252)</f>
        <v>4.539999999999992</v>
      </c>
      <c r="J250" s="23">
        <v>43760</v>
      </c>
      <c r="K250" s="24">
        <f t="shared" si="12"/>
        <v>10.813847049396589</v>
      </c>
      <c r="L250" s="25"/>
      <c r="M250" s="25"/>
      <c r="N250" s="27"/>
      <c r="Q250" s="23">
        <v>43760</v>
      </c>
      <c r="R250" s="24">
        <f t="shared" si="13"/>
        <v>7.4557664976402531</v>
      </c>
      <c r="S250" s="25"/>
      <c r="T250" s="25"/>
      <c r="U250" s="27"/>
      <c r="X250" s="47">
        <v>43760</v>
      </c>
      <c r="Y250" s="48">
        <f t="shared" si="14"/>
        <v>40.941812269243925</v>
      </c>
      <c r="Z250" s="49"/>
      <c r="AA250" s="49"/>
      <c r="AB250" s="51"/>
      <c r="AE250" s="47">
        <v>43760</v>
      </c>
      <c r="AF250" s="48">
        <f t="shared" si="15"/>
        <v>28.583390022879357</v>
      </c>
      <c r="AG250" s="49"/>
      <c r="AH250" s="49"/>
      <c r="AI250" s="51"/>
    </row>
    <row r="251" spans="1:35" x14ac:dyDescent="0.3">
      <c r="A251" s="20">
        <v>43755</v>
      </c>
      <c r="C251">
        <f>-(Historical_Simulation!B252-Historical_Simulation!B253)</f>
        <v>-0.22749999999999915</v>
      </c>
      <c r="E251">
        <f>-(Historical_Simulation!C252-Historical_Simulation!C253)</f>
        <v>-10.049999999999955</v>
      </c>
      <c r="G251">
        <f>-(Historical_Simulation!D252-Historical_Simulation!D253)</f>
        <v>-0.83999999999997499</v>
      </c>
      <c r="J251" s="23">
        <v>43759</v>
      </c>
      <c r="K251" s="24">
        <f t="shared" si="12"/>
        <v>-15.656598520393207</v>
      </c>
      <c r="L251" s="25"/>
      <c r="M251" s="25"/>
      <c r="N251" s="27"/>
      <c r="Q251" s="23">
        <v>43759</v>
      </c>
      <c r="R251" s="24">
        <f t="shared" si="13"/>
        <v>-11.054454528154197</v>
      </c>
      <c r="S251" s="25"/>
      <c r="T251" s="25"/>
      <c r="U251" s="27"/>
      <c r="X251" s="47">
        <v>43759</v>
      </c>
      <c r="Y251" s="48">
        <f t="shared" si="14"/>
        <v>-17.189839120737219</v>
      </c>
      <c r="Z251" s="49"/>
      <c r="AA251" s="49"/>
      <c r="AB251" s="51"/>
      <c r="AE251" s="47">
        <v>43759</v>
      </c>
      <c r="AF251" s="48">
        <f t="shared" si="15"/>
        <v>-12.29398629811287</v>
      </c>
      <c r="AG251" s="49"/>
      <c r="AH251" s="49"/>
      <c r="AI251" s="51"/>
    </row>
    <row r="252" spans="1:35" x14ac:dyDescent="0.3">
      <c r="A252" s="20">
        <v>43754</v>
      </c>
      <c r="C252">
        <f>-(Historical_Simulation!B253-Historical_Simulation!B254)</f>
        <v>0.23749999999999716</v>
      </c>
      <c r="E252">
        <f>-(Historical_Simulation!C253-Historical_Simulation!C254)</f>
        <v>-10.049999999999955</v>
      </c>
      <c r="G252">
        <f>-(Historical_Simulation!D253-Historical_Simulation!D254)</f>
        <v>-0.66000000000002501</v>
      </c>
      <c r="J252" s="23">
        <v>43756</v>
      </c>
      <c r="K252" s="24">
        <f t="shared" si="12"/>
        <v>16.036115087122372</v>
      </c>
      <c r="L252" s="25"/>
      <c r="M252" s="25"/>
      <c r="N252" s="27"/>
      <c r="Q252" s="23">
        <v>43756</v>
      </c>
      <c r="R252" s="24">
        <f t="shared" si="13"/>
        <v>10.903346013381904</v>
      </c>
      <c r="S252" s="25"/>
      <c r="T252" s="25"/>
      <c r="U252" s="27"/>
      <c r="X252" s="47">
        <v>43756</v>
      </c>
      <c r="Y252" s="48">
        <f t="shared" si="14"/>
        <v>26.738275272012181</v>
      </c>
      <c r="Z252" s="49"/>
      <c r="AA252" s="49"/>
      <c r="AB252" s="51"/>
      <c r="AE252" s="47">
        <v>43756</v>
      </c>
      <c r="AF252" s="48">
        <f t="shared" si="15"/>
        <v>18.554479695892294</v>
      </c>
      <c r="AG252" s="49"/>
      <c r="AH252" s="49"/>
      <c r="AI252" s="51"/>
    </row>
    <row r="253" spans="1:35" x14ac:dyDescent="0.3">
      <c r="A253" s="20">
        <v>43753</v>
      </c>
      <c r="C253">
        <f>-(Historical_Simulation!B254-Historical_Simulation!B255)</f>
        <v>0.13750000000000284</v>
      </c>
      <c r="E253">
        <f>-(Historical_Simulation!C254-Historical_Simulation!C255)</f>
        <v>-30.950000000000045</v>
      </c>
      <c r="G253">
        <f>-(Historical_Simulation!D254-Historical_Simulation!D255)</f>
        <v>-5.6099999999999852</v>
      </c>
      <c r="J253" s="23">
        <v>43755</v>
      </c>
      <c r="K253" s="24">
        <f t="shared" si="12"/>
        <v>-5.5258917591358934</v>
      </c>
      <c r="L253" s="25"/>
      <c r="M253" s="25"/>
      <c r="N253" s="27"/>
      <c r="Q253" s="23">
        <v>43755</v>
      </c>
      <c r="R253" s="24">
        <f t="shared" si="13"/>
        <v>-3.85936422498779</v>
      </c>
      <c r="S253" s="25"/>
      <c r="T253" s="25"/>
      <c r="U253" s="27"/>
      <c r="X253" s="47">
        <v>43755</v>
      </c>
      <c r="Y253" s="48">
        <f t="shared" si="14"/>
        <v>-3.6593765897577675</v>
      </c>
      <c r="Z253" s="49"/>
      <c r="AA253" s="49"/>
      <c r="AB253" s="51"/>
      <c r="AE253" s="47">
        <v>43755</v>
      </c>
      <c r="AF253" s="48">
        <f t="shared" si="15"/>
        <v>-2.6199624289753425</v>
      </c>
      <c r="AG253" s="49"/>
      <c r="AH253" s="49"/>
      <c r="AI253" s="51"/>
    </row>
    <row r="254" spans="1:35" x14ac:dyDescent="0.3">
      <c r="A254" s="20">
        <v>43752</v>
      </c>
      <c r="C254">
        <f>-(Historical_Simulation!B255-Historical_Simulation!B256)</f>
        <v>8.5000000000000853E-2</v>
      </c>
      <c r="E254">
        <f>-(Historical_Simulation!C255-Historical_Simulation!C256)</f>
        <v>-4.5099999999999909</v>
      </c>
      <c r="G254">
        <f>-(Historical_Simulation!D255-Historical_Simulation!D256)</f>
        <v>0.90999999999999659</v>
      </c>
      <c r="J254" s="23">
        <v>43754</v>
      </c>
      <c r="K254" s="24">
        <f t="shared" si="12"/>
        <v>-5.3117191623426354</v>
      </c>
      <c r="L254" s="25"/>
      <c r="M254" s="25"/>
      <c r="N254" s="27"/>
      <c r="Q254" s="23">
        <v>43754</v>
      </c>
      <c r="R254" s="24">
        <f t="shared" si="13"/>
        <v>-3.5662977311847208</v>
      </c>
      <c r="S254" s="25"/>
      <c r="T254" s="25"/>
      <c r="U254" s="27"/>
      <c r="X254" s="47">
        <v>43754</v>
      </c>
      <c r="Y254" s="48">
        <f t="shared" si="14"/>
        <v>-4.7912497784617081</v>
      </c>
      <c r="Z254" s="49"/>
      <c r="AA254" s="49"/>
      <c r="AB254" s="51"/>
      <c r="AE254" s="47">
        <v>43754</v>
      </c>
      <c r="AF254" s="48">
        <f t="shared" si="15"/>
        <v>-3.2681898449069555</v>
      </c>
      <c r="AG254" s="49"/>
      <c r="AH254" s="49"/>
      <c r="AI254" s="51"/>
    </row>
    <row r="255" spans="1:35" x14ac:dyDescent="0.3">
      <c r="A255" s="20">
        <v>43749</v>
      </c>
      <c r="C255">
        <f>-(Historical_Simulation!B256-Historical_Simulation!B257)</f>
        <v>-1.5300000000000011</v>
      </c>
      <c r="E255">
        <f>-(Historical_Simulation!C256-Historical_Simulation!C257)</f>
        <v>-11.660000000000082</v>
      </c>
      <c r="G255">
        <f>-(Historical_Simulation!D256-Historical_Simulation!D257)</f>
        <v>-4.1599999999999966</v>
      </c>
      <c r="J255" s="23">
        <v>43753</v>
      </c>
      <c r="K255" s="24">
        <f t="shared" si="12"/>
        <v>-16.631525585353842</v>
      </c>
      <c r="L255" s="25"/>
      <c r="M255" s="25"/>
      <c r="N255" s="27"/>
      <c r="Q255" s="23">
        <v>43753</v>
      </c>
      <c r="R255" s="24">
        <f t="shared" si="13"/>
        <v>-11.357086825584995</v>
      </c>
      <c r="S255" s="25"/>
      <c r="T255" s="25"/>
      <c r="U255" s="27"/>
      <c r="X255" s="47">
        <v>43753</v>
      </c>
      <c r="Y255" s="48">
        <f t="shared" si="14"/>
        <v>-32.066109305524101</v>
      </c>
      <c r="Z255" s="49"/>
      <c r="AA255" s="49"/>
      <c r="AB255" s="51"/>
      <c r="AE255" s="47">
        <v>43753</v>
      </c>
      <c r="AF255" s="48">
        <f t="shared" si="15"/>
        <v>-22.312586221283752</v>
      </c>
      <c r="AG255" s="49"/>
      <c r="AH255" s="49"/>
      <c r="AI255" s="51"/>
    </row>
    <row r="256" spans="1:35" x14ac:dyDescent="0.3">
      <c r="A256" s="20">
        <v>43748</v>
      </c>
      <c r="C256">
        <f>-(Historical_Simulation!B257-Historical_Simulation!B258)</f>
        <v>-0.76500000000000057</v>
      </c>
      <c r="E256">
        <f>-(Historical_Simulation!C257-Historical_Simulation!C258)</f>
        <v>1.7300000000000182</v>
      </c>
      <c r="G256">
        <f>-(Historical_Simulation!D257-Historical_Simulation!D258)</f>
        <v>-0.18000000000000682</v>
      </c>
      <c r="J256" s="23">
        <v>43752</v>
      </c>
      <c r="K256" s="24">
        <f t="shared" si="12"/>
        <v>-2.393606274698854</v>
      </c>
      <c r="L256" s="25"/>
      <c r="M256" s="25"/>
      <c r="N256" s="27"/>
      <c r="Q256" s="23">
        <v>43752</v>
      </c>
      <c r="R256" s="24">
        <f t="shared" si="13"/>
        <v>-1.613998840806204</v>
      </c>
      <c r="S256" s="25"/>
      <c r="T256" s="25"/>
      <c r="U256" s="27"/>
      <c r="X256" s="47">
        <v>43752</v>
      </c>
      <c r="Y256" s="48">
        <f t="shared" si="14"/>
        <v>4.707527651510623</v>
      </c>
      <c r="Z256" s="49"/>
      <c r="AA256" s="49"/>
      <c r="AB256" s="51"/>
      <c r="AE256" s="47">
        <v>43752</v>
      </c>
      <c r="AF256" s="48">
        <f t="shared" si="15"/>
        <v>3.3075004145383291</v>
      </c>
      <c r="AG256" s="49"/>
      <c r="AH256" s="49"/>
      <c r="AI256" s="51"/>
    </row>
    <row r="257" spans="1:35" x14ac:dyDescent="0.3">
      <c r="A257" s="20">
        <v>43747</v>
      </c>
      <c r="C257">
        <f>-(Historical_Simulation!B258-Historical_Simulation!B259)</f>
        <v>-0.65749999999999886</v>
      </c>
      <c r="E257">
        <f>-(Historical_Simulation!C258-Historical_Simulation!C259)</f>
        <v>-16.480000000000018</v>
      </c>
      <c r="G257">
        <f>-(Historical_Simulation!D258-Historical_Simulation!D259)</f>
        <v>-2.0999999999999943</v>
      </c>
      <c r="J257" s="23">
        <v>43749</v>
      </c>
      <c r="K257" s="24">
        <f t="shared" si="12"/>
        <v>-6.9942614935146139</v>
      </c>
      <c r="L257" s="25"/>
      <c r="M257" s="25"/>
      <c r="N257" s="27"/>
      <c r="Q257" s="23">
        <v>43749</v>
      </c>
      <c r="R257" s="24">
        <f t="shared" si="13"/>
        <v>-5.2755621887632262</v>
      </c>
      <c r="S257" s="25"/>
      <c r="T257" s="25"/>
      <c r="U257" s="27"/>
      <c r="X257" s="47">
        <v>43749</v>
      </c>
      <c r="Y257" s="48">
        <f t="shared" si="14"/>
        <v>-16.266057846633913</v>
      </c>
      <c r="Z257" s="49"/>
      <c r="AA257" s="49"/>
      <c r="AB257" s="51"/>
      <c r="AE257" s="47">
        <v>43749</v>
      </c>
      <c r="AF257" s="48">
        <f t="shared" si="15"/>
        <v>-11.802940715437373</v>
      </c>
      <c r="AG257" s="49"/>
      <c r="AH257" s="49"/>
      <c r="AI257" s="51"/>
    </row>
    <row r="258" spans="1:35" x14ac:dyDescent="0.3">
      <c r="A258" s="20">
        <v>43746</v>
      </c>
      <c r="C258">
        <f>-(Historical_Simulation!B259-Historical_Simulation!B260)</f>
        <v>0.66499999999999915</v>
      </c>
      <c r="E258">
        <f>-(Historical_Simulation!C259-Historical_Simulation!C260)</f>
        <v>27.150000000000091</v>
      </c>
      <c r="G258">
        <f>-(Historical_Simulation!D259-Historical_Simulation!D260)</f>
        <v>1.9300000000000068</v>
      </c>
      <c r="J258" s="23">
        <v>43748</v>
      </c>
      <c r="K258" s="24">
        <f t="shared" si="12"/>
        <v>0.58083735699101147</v>
      </c>
      <c r="L258" s="25"/>
      <c r="M258" s="25"/>
      <c r="N258" s="27"/>
      <c r="Q258" s="23">
        <v>43748</v>
      </c>
      <c r="R258" s="24">
        <f t="shared" si="13"/>
        <v>0.15752494185234334</v>
      </c>
      <c r="S258" s="25"/>
      <c r="T258" s="25"/>
      <c r="U258" s="27"/>
      <c r="X258" s="47">
        <v>43748</v>
      </c>
      <c r="Y258" s="48">
        <f t="shared" si="14"/>
        <v>2.5127923347075134</v>
      </c>
      <c r="Z258" s="49"/>
      <c r="AA258" s="49"/>
      <c r="AB258" s="51"/>
      <c r="AE258" s="47">
        <v>43748</v>
      </c>
      <c r="AF258" s="48">
        <f t="shared" si="15"/>
        <v>1.5200457484908017</v>
      </c>
      <c r="AG258" s="49"/>
      <c r="AH258" s="49"/>
      <c r="AI258" s="51"/>
    </row>
    <row r="259" spans="1:35" x14ac:dyDescent="0.3">
      <c r="A259" s="20">
        <v>43745</v>
      </c>
      <c r="C259">
        <f>-(Historical_Simulation!B260-Historical_Simulation!B261)</f>
        <v>-1.2500000000002842E-2</v>
      </c>
      <c r="E259">
        <f>-(Historical_Simulation!C260-Historical_Simulation!C261)</f>
        <v>6.9900000000000091</v>
      </c>
      <c r="G259">
        <f>-(Historical_Simulation!D260-Historical_Simulation!D261)</f>
        <v>0.76999999999998181</v>
      </c>
      <c r="J259" s="23">
        <v>43747</v>
      </c>
      <c r="K259" s="24">
        <f t="shared" si="12"/>
        <v>-9.1923743811583769</v>
      </c>
      <c r="L259" s="25"/>
      <c r="M259" s="25"/>
      <c r="N259" s="27"/>
      <c r="Q259" s="23">
        <v>43747</v>
      </c>
      <c r="R259" s="24">
        <f t="shared" si="13"/>
        <v>-6.5078610791417297</v>
      </c>
      <c r="S259" s="25"/>
      <c r="T259" s="25"/>
      <c r="U259" s="27"/>
      <c r="X259" s="47">
        <v>43747</v>
      </c>
      <c r="Y259" s="48">
        <f t="shared" si="14"/>
        <v>-8.7399195603685875</v>
      </c>
      <c r="Z259" s="49"/>
      <c r="AA259" s="49"/>
      <c r="AB259" s="51"/>
      <c r="AE259" s="47">
        <v>43747</v>
      </c>
      <c r="AF259" s="48">
        <f t="shared" si="15"/>
        <v>-6.2919931490564203</v>
      </c>
      <c r="AG259" s="49"/>
      <c r="AH259" s="49"/>
      <c r="AI259" s="51"/>
    </row>
    <row r="260" spans="1:35" x14ac:dyDescent="0.3">
      <c r="A260" s="20">
        <v>43742</v>
      </c>
      <c r="C260">
        <f>-(Historical_Simulation!B261-Historical_Simulation!B262)</f>
        <v>-1.5474999999999994</v>
      </c>
      <c r="E260">
        <f>-(Historical_Simulation!C261-Historical_Simulation!C262)</f>
        <v>-15.230000000000018</v>
      </c>
      <c r="G260">
        <f>-(Historical_Simulation!D261-Historical_Simulation!D262)</f>
        <v>-1.0699999999999932</v>
      </c>
      <c r="J260" s="23">
        <v>43746</v>
      </c>
      <c r="K260" s="24">
        <f t="shared" si="12"/>
        <v>14.951373707377478</v>
      </c>
      <c r="L260" s="25"/>
      <c r="M260" s="25"/>
      <c r="N260" s="27"/>
      <c r="Q260" s="23">
        <v>43746</v>
      </c>
      <c r="R260" s="24">
        <f t="shared" si="13"/>
        <v>10.457814863711112</v>
      </c>
      <c r="S260" s="25"/>
      <c r="T260" s="25"/>
      <c r="U260" s="27"/>
      <c r="X260" s="47">
        <v>43746</v>
      </c>
      <c r="Y260" s="48">
        <f t="shared" si="14"/>
        <v>7.7528757323163653</v>
      </c>
      <c r="Z260" s="49"/>
      <c r="AA260" s="49"/>
      <c r="AB260" s="51"/>
      <c r="AE260" s="47">
        <v>43746</v>
      </c>
      <c r="AF260" s="48">
        <f t="shared" si="15"/>
        <v>5.6061673022921585</v>
      </c>
      <c r="AG260" s="49"/>
      <c r="AH260" s="49"/>
      <c r="AI260" s="51"/>
    </row>
    <row r="261" spans="1:35" x14ac:dyDescent="0.3">
      <c r="A261" s="20">
        <v>43741</v>
      </c>
      <c r="C261">
        <f>-(Historical_Simulation!B262-Historical_Simulation!B263)</f>
        <v>-0.46499999999999631</v>
      </c>
      <c r="E261">
        <f>-(Historical_Simulation!C262-Historical_Simulation!C263)</f>
        <v>-11.190000000000055</v>
      </c>
      <c r="G261">
        <f>-(Historical_Simulation!D262-Historical_Simulation!D263)</f>
        <v>-4.7800000000000011</v>
      </c>
      <c r="J261" s="23">
        <v>43745</v>
      </c>
      <c r="K261" s="24">
        <f t="shared" si="12"/>
        <v>3.764744926785371</v>
      </c>
      <c r="L261" s="25"/>
      <c r="M261" s="25"/>
      <c r="N261" s="27"/>
      <c r="Q261" s="23">
        <v>43745</v>
      </c>
      <c r="R261" s="24">
        <f t="shared" si="13"/>
        <v>2.5766707035354686</v>
      </c>
      <c r="S261" s="25"/>
      <c r="T261" s="25"/>
      <c r="U261" s="27"/>
      <c r="X261" s="47">
        <v>43745</v>
      </c>
      <c r="Y261" s="48">
        <f t="shared" si="14"/>
        <v>4.3718974391600094</v>
      </c>
      <c r="Z261" s="49"/>
      <c r="AA261" s="49"/>
      <c r="AB261" s="51"/>
      <c r="AE261" s="47">
        <v>43745</v>
      </c>
      <c r="AF261" s="48">
        <f t="shared" si="15"/>
        <v>3.0439928174257007</v>
      </c>
      <c r="AG261" s="49"/>
      <c r="AH261" s="49"/>
      <c r="AI261" s="51"/>
    </row>
    <row r="262" spans="1:35" x14ac:dyDescent="0.3">
      <c r="A262" s="20">
        <v>43740</v>
      </c>
      <c r="C262">
        <f>-(Historical_Simulation!B263-Historical_Simulation!B264)</f>
        <v>1.4074999999999989</v>
      </c>
      <c r="E262">
        <f>-(Historical_Simulation!C263-Historical_Simulation!C264)</f>
        <v>22.420000000000073</v>
      </c>
      <c r="G262">
        <f>-(Historical_Simulation!D263-Historical_Simulation!D264)</f>
        <v>1.210000000000008</v>
      </c>
      <c r="J262" s="23">
        <v>43742</v>
      </c>
      <c r="K262" s="24">
        <f t="shared" ref="K262:K325" si="16">C260*$K$3+E260*(1-$K$3)</f>
        <v>-8.9280289126370374</v>
      </c>
      <c r="L262" s="25"/>
      <c r="M262" s="25"/>
      <c r="N262" s="27"/>
      <c r="Q262" s="23">
        <v>43742</v>
      </c>
      <c r="R262" s="24">
        <f t="shared" si="13"/>
        <v>-6.6065972011601666</v>
      </c>
      <c r="S262" s="25"/>
      <c r="T262" s="25"/>
      <c r="U262" s="27"/>
      <c r="X262" s="47">
        <v>43742</v>
      </c>
      <c r="Y262" s="48">
        <f t="shared" si="14"/>
        <v>1.1279629740561976</v>
      </c>
      <c r="Z262" s="49"/>
      <c r="AA262" s="49"/>
      <c r="AB262" s="51"/>
      <c r="AE262" s="47">
        <v>43742</v>
      </c>
      <c r="AF262" s="48">
        <f t="shared" si="15"/>
        <v>0.31764417932373412</v>
      </c>
      <c r="AG262" s="49"/>
      <c r="AH262" s="49"/>
      <c r="AI262" s="51"/>
    </row>
    <row r="263" spans="1:35" x14ac:dyDescent="0.3">
      <c r="A263" s="20">
        <v>43739</v>
      </c>
      <c r="C263">
        <f>-(Historical_Simulation!B264-Historical_Simulation!B265)</f>
        <v>-0.15500000000000114</v>
      </c>
      <c r="E263">
        <f>-(Historical_Simulation!C264-Historical_Simulation!C265)</f>
        <v>0.25999999999999091</v>
      </c>
      <c r="G263">
        <f>-(Historical_Simulation!D264-Historical_Simulation!D265)</f>
        <v>2.2700000000000102</v>
      </c>
      <c r="J263" s="23">
        <v>43741</v>
      </c>
      <c r="K263" s="24">
        <f t="shared" si="16"/>
        <v>-6.2502126868651571</v>
      </c>
      <c r="L263" s="25"/>
      <c r="M263" s="25"/>
      <c r="N263" s="27"/>
      <c r="Q263" s="23">
        <v>43741</v>
      </c>
      <c r="R263" s="24">
        <f t="shared" ref="R263:R326" si="17">C261*$R$3+E261*(1-$R$3)</f>
        <v>-4.430563126800144</v>
      </c>
      <c r="S263" s="25"/>
      <c r="T263" s="25"/>
      <c r="U263" s="27"/>
      <c r="X263" s="47">
        <v>43741</v>
      </c>
      <c r="Y263" s="48">
        <f t="shared" ref="Y263:Y326" si="18">C261*$Y$3+G261*(1-$Y$3)</f>
        <v>-24.642220383355706</v>
      </c>
      <c r="Z263" s="49"/>
      <c r="AA263" s="49"/>
      <c r="AB263" s="51"/>
      <c r="AE263" s="47">
        <v>43741</v>
      </c>
      <c r="AF263" s="48">
        <f t="shared" ref="AF263:AF326" si="19">C261*$AF$3+G261*(1-$AF$3)</f>
        <v>-17.319653683312694</v>
      </c>
      <c r="AG263" s="49"/>
      <c r="AH263" s="49"/>
      <c r="AI263" s="51"/>
    </row>
    <row r="264" spans="1:35" x14ac:dyDescent="0.3">
      <c r="A264" s="20">
        <v>43738</v>
      </c>
      <c r="C264">
        <f>-(Historical_Simulation!B265-Historical_Simulation!B266)</f>
        <v>-1.2875000000000014</v>
      </c>
      <c r="E264">
        <f>-(Historical_Simulation!C265-Historical_Simulation!C266)</f>
        <v>-10.460000000000036</v>
      </c>
      <c r="G264">
        <f>-(Historical_Simulation!D265-Historical_Simulation!D266)</f>
        <v>-0.98000000000001819</v>
      </c>
      <c r="J264" s="23">
        <v>43740</v>
      </c>
      <c r="K264" s="24">
        <f t="shared" si="16"/>
        <v>12.741931849207827</v>
      </c>
      <c r="L264" s="25"/>
      <c r="M264" s="25"/>
      <c r="N264" s="27"/>
      <c r="Q264" s="23">
        <v>43740</v>
      </c>
      <c r="R264" s="24">
        <f t="shared" si="17"/>
        <v>9.176860857984888</v>
      </c>
      <c r="S264" s="25"/>
      <c r="T264" s="25"/>
      <c r="U264" s="27"/>
      <c r="X264" s="47">
        <v>43740</v>
      </c>
      <c r="Y264" s="48">
        <f t="shared" si="18"/>
        <v>0.3008948955475006</v>
      </c>
      <c r="Z264" s="49"/>
      <c r="AA264" s="49"/>
      <c r="AB264" s="51"/>
      <c r="AE264" s="47">
        <v>43740</v>
      </c>
      <c r="AF264" s="48">
        <f t="shared" si="19"/>
        <v>0.6360529310650973</v>
      </c>
      <c r="AG264" s="49"/>
      <c r="AH264" s="49"/>
      <c r="AI264" s="51"/>
    </row>
    <row r="265" spans="1:35" x14ac:dyDescent="0.3">
      <c r="A265" s="20">
        <v>43735</v>
      </c>
      <c r="C265">
        <f>-(Historical_Simulation!B266-Historical_Simulation!B267)</f>
        <v>0.26749999999999829</v>
      </c>
      <c r="E265">
        <f>-(Historical_Simulation!C266-Historical_Simulation!C267)</f>
        <v>14.389999999999873</v>
      </c>
      <c r="G265">
        <f>-(Historical_Simulation!D266-Historical_Simulation!D267)</f>
        <v>3.0100000000000193</v>
      </c>
      <c r="J265" s="23">
        <v>43739</v>
      </c>
      <c r="K265" s="24">
        <f t="shared" si="16"/>
        <v>6.8856714689880666E-2</v>
      </c>
      <c r="L265" s="25"/>
      <c r="M265" s="25"/>
      <c r="N265" s="27"/>
      <c r="Q265" s="23">
        <v>43739</v>
      </c>
      <c r="R265" s="24">
        <f t="shared" si="17"/>
        <v>-1.5539675876915238E-3</v>
      </c>
      <c r="S265" s="25"/>
      <c r="T265" s="25"/>
      <c r="U265" s="27"/>
      <c r="X265" s="47">
        <v>43739</v>
      </c>
      <c r="Y265" s="48">
        <f t="shared" si="18"/>
        <v>13.432429763531356</v>
      </c>
      <c r="Z265" s="49"/>
      <c r="AA265" s="49"/>
      <c r="AB265" s="51"/>
      <c r="AE265" s="47">
        <v>43739</v>
      </c>
      <c r="AF265" s="48">
        <f t="shared" si="19"/>
        <v>9.3171981881885113</v>
      </c>
      <c r="AG265" s="49"/>
      <c r="AH265" s="49"/>
      <c r="AI265" s="51"/>
    </row>
    <row r="266" spans="1:35" x14ac:dyDescent="0.3">
      <c r="A266" s="20">
        <v>43734</v>
      </c>
      <c r="C266">
        <f>-(Historical_Simulation!B267-Historical_Simulation!B268)</f>
        <v>0.28500000000000369</v>
      </c>
      <c r="E266">
        <f>-(Historical_Simulation!C267-Historical_Simulation!C268)</f>
        <v>28.490000000000009</v>
      </c>
      <c r="G266">
        <f>-(Historical_Simulation!D267-Historical_Simulation!D268)</f>
        <v>2.6899999999999977</v>
      </c>
      <c r="J266" s="23">
        <v>43738</v>
      </c>
      <c r="K266" s="24">
        <f t="shared" si="16"/>
        <v>-6.2352728084168403</v>
      </c>
      <c r="L266" s="25"/>
      <c r="M266" s="25"/>
      <c r="N266" s="27"/>
      <c r="Q266" s="23">
        <v>43738</v>
      </c>
      <c r="R266" s="24">
        <f t="shared" si="17"/>
        <v>-4.6790270657878139</v>
      </c>
      <c r="S266" s="25"/>
      <c r="T266" s="25"/>
      <c r="U266" s="27"/>
      <c r="X266" s="47">
        <v>43738</v>
      </c>
      <c r="Y266" s="48">
        <f t="shared" si="18"/>
        <v>0.43544212465387222</v>
      </c>
      <c r="Z266" s="49"/>
      <c r="AA266" s="49"/>
      <c r="AB266" s="51"/>
      <c r="AE266" s="47">
        <v>43738</v>
      </c>
      <c r="AF266" s="48">
        <f t="shared" si="19"/>
        <v>-8.63862091266836E-2</v>
      </c>
      <c r="AG266" s="49"/>
      <c r="AH266" s="49"/>
      <c r="AI266" s="51"/>
    </row>
    <row r="267" spans="1:35" x14ac:dyDescent="0.3">
      <c r="A267" s="20">
        <v>43733</v>
      </c>
      <c r="C267">
        <f>-(Historical_Simulation!B268-Historical_Simulation!B269)</f>
        <v>-0.83749999999999858</v>
      </c>
      <c r="E267">
        <f>-(Historical_Simulation!C268-Historical_Simulation!C269)</f>
        <v>-26.720000000000027</v>
      </c>
      <c r="G267">
        <f>-(Historical_Simulation!D268-Historical_Simulation!D269)</f>
        <v>-1.5200000000000102</v>
      </c>
      <c r="J267" s="23">
        <v>43735</v>
      </c>
      <c r="K267" s="24">
        <f t="shared" si="16"/>
        <v>7.8853709715852709</v>
      </c>
      <c r="L267" s="25"/>
      <c r="M267" s="25"/>
      <c r="N267" s="27"/>
      <c r="Q267" s="23">
        <v>43735</v>
      </c>
      <c r="R267" s="24">
        <f t="shared" si="17"/>
        <v>5.4892869704647334</v>
      </c>
      <c r="S267" s="25"/>
      <c r="T267" s="25"/>
      <c r="U267" s="27"/>
      <c r="X267" s="47">
        <v>43735</v>
      </c>
      <c r="Y267" s="48">
        <f t="shared" si="18"/>
        <v>15.633902526385505</v>
      </c>
      <c r="Z267" s="49"/>
      <c r="AA267" s="49"/>
      <c r="AB267" s="51"/>
      <c r="AE267" s="47">
        <v>43735</v>
      </c>
      <c r="AF267" s="48">
        <f t="shared" si="19"/>
        <v>10.979872590147247</v>
      </c>
      <c r="AG267" s="49"/>
      <c r="AH267" s="49"/>
      <c r="AI267" s="51"/>
    </row>
    <row r="268" spans="1:35" x14ac:dyDescent="0.3">
      <c r="A268" s="20">
        <v>43732</v>
      </c>
      <c r="C268">
        <f>-(Historical_Simulation!B269-Historical_Simulation!B270)</f>
        <v>0.25999999999999801</v>
      </c>
      <c r="E268">
        <f>-(Historical_Simulation!C269-Historical_Simulation!C270)</f>
        <v>43.690000000000055</v>
      </c>
      <c r="G268">
        <f>-(Historical_Simulation!D269-Historical_Simulation!D270)</f>
        <v>5.539999999999992</v>
      </c>
      <c r="J268" s="23">
        <v>43734</v>
      </c>
      <c r="K268" s="24">
        <f t="shared" si="16"/>
        <v>15.499165392357206</v>
      </c>
      <c r="L268" s="25"/>
      <c r="M268" s="25"/>
      <c r="N268" s="27"/>
      <c r="Q268" s="23">
        <v>43734</v>
      </c>
      <c r="R268" s="24">
        <f t="shared" si="17"/>
        <v>10.713783961901875</v>
      </c>
      <c r="S268" s="25"/>
      <c r="T268" s="25"/>
      <c r="U268" s="27"/>
      <c r="X268" s="47">
        <v>43734</v>
      </c>
      <c r="Y268" s="48">
        <f t="shared" si="18"/>
        <v>13.760368487131005</v>
      </c>
      <c r="Z268" s="49"/>
      <c r="AA268" s="49"/>
      <c r="AB268" s="51"/>
      <c r="AE268" s="47">
        <v>43734</v>
      </c>
      <c r="AF268" s="48">
        <f t="shared" si="19"/>
        <v>9.6790769660178224</v>
      </c>
      <c r="AG268" s="49"/>
      <c r="AH268" s="49"/>
      <c r="AI268" s="51"/>
    </row>
    <row r="269" spans="1:35" x14ac:dyDescent="0.3">
      <c r="A269" s="20">
        <v>43731</v>
      </c>
      <c r="C269">
        <f>-(Historical_Simulation!B270-Historical_Simulation!B271)</f>
        <v>-0.24750000000000227</v>
      </c>
      <c r="E269">
        <f>-(Historical_Simulation!C270-Historical_Simulation!C271)</f>
        <v>8.8600000000001273</v>
      </c>
      <c r="G269">
        <f>-(Historical_Simulation!D270-Historical_Simulation!D271)</f>
        <v>3.1100000000000136</v>
      </c>
      <c r="J269" s="23">
        <v>43733</v>
      </c>
      <c r="K269" s="24">
        <f t="shared" si="16"/>
        <v>-14.798876910749355</v>
      </c>
      <c r="L269" s="25"/>
      <c r="M269" s="25"/>
      <c r="N269" s="27"/>
      <c r="Q269" s="23">
        <v>43733</v>
      </c>
      <c r="R269" s="24">
        <f t="shared" si="17"/>
        <v>-10.407540804606466</v>
      </c>
      <c r="S269" s="25"/>
      <c r="T269" s="25"/>
      <c r="U269" s="27"/>
      <c r="X269" s="47">
        <v>43733</v>
      </c>
      <c r="Y269" s="48">
        <f t="shared" si="18"/>
        <v>-4.661591057158871</v>
      </c>
      <c r="Z269" s="49"/>
      <c r="AA269" s="49"/>
      <c r="AB269" s="51"/>
      <c r="AE269" s="47">
        <v>43733</v>
      </c>
      <c r="AF269" s="48">
        <f t="shared" si="19"/>
        <v>-3.5033867065726745</v>
      </c>
      <c r="AG269" s="49"/>
      <c r="AH269" s="49"/>
      <c r="AI269" s="51"/>
    </row>
    <row r="270" spans="1:35" x14ac:dyDescent="0.3">
      <c r="A270" s="20">
        <v>43728</v>
      </c>
      <c r="C270">
        <f>-(Historical_Simulation!B271-Historical_Simulation!B272)</f>
        <v>0.80750000000000455</v>
      </c>
      <c r="E270">
        <f>-(Historical_Simulation!C271-Historical_Simulation!C272)</f>
        <v>27.339999999999918</v>
      </c>
      <c r="G270">
        <f>-(Historical_Simulation!D271-Historical_Simulation!D272)</f>
        <v>0.20999999999997954</v>
      </c>
      <c r="J270" s="23">
        <v>43732</v>
      </c>
      <c r="K270" s="24">
        <f t="shared" si="16"/>
        <v>23.686740045739192</v>
      </c>
      <c r="L270" s="25"/>
      <c r="M270" s="25"/>
      <c r="N270" s="27"/>
      <c r="Q270" s="23">
        <v>43732</v>
      </c>
      <c r="R270" s="24">
        <f t="shared" si="17"/>
        <v>16.318219729317452</v>
      </c>
      <c r="S270" s="25"/>
      <c r="T270" s="25"/>
      <c r="U270" s="27"/>
      <c r="X270" s="47">
        <v>43732</v>
      </c>
      <c r="Y270" s="48">
        <f t="shared" si="18"/>
        <v>29.844176969668101</v>
      </c>
      <c r="Z270" s="49"/>
      <c r="AA270" s="49"/>
      <c r="AB270" s="51"/>
      <c r="AE270" s="47">
        <v>43732</v>
      </c>
      <c r="AF270" s="48">
        <f t="shared" si="19"/>
        <v>20.884002653045382</v>
      </c>
      <c r="AG270" s="49"/>
      <c r="AH270" s="49"/>
      <c r="AI270" s="51"/>
    </row>
    <row r="271" spans="1:35" x14ac:dyDescent="0.3">
      <c r="A271" s="20">
        <v>43727</v>
      </c>
      <c r="C271">
        <f>-(Historical_Simulation!B272-Historical_Simulation!B273)</f>
        <v>0.45250000000000057</v>
      </c>
      <c r="E271">
        <f>-(Historical_Simulation!C272-Historical_Simulation!C273)</f>
        <v>-4.0399999999999636</v>
      </c>
      <c r="G271">
        <f>-(Historical_Simulation!D272-Historical_Simulation!D273)</f>
        <v>-2</v>
      </c>
      <c r="J271" s="23">
        <v>43731</v>
      </c>
      <c r="K271" s="24">
        <f t="shared" si="16"/>
        <v>4.6652109133449775</v>
      </c>
      <c r="L271" s="25"/>
      <c r="M271" s="25"/>
      <c r="N271" s="27"/>
      <c r="Q271" s="23">
        <v>43731</v>
      </c>
      <c r="R271" s="24">
        <f t="shared" si="17"/>
        <v>3.1199933498678445</v>
      </c>
      <c r="S271" s="25"/>
      <c r="T271" s="25"/>
      <c r="U271" s="27"/>
      <c r="X271" s="47">
        <v>43731</v>
      </c>
      <c r="Y271" s="48">
        <f t="shared" si="18"/>
        <v>18.564786775693413</v>
      </c>
      <c r="Z271" s="49"/>
      <c r="AA271" s="49"/>
      <c r="AB271" s="51"/>
      <c r="AE271" s="47">
        <v>43731</v>
      </c>
      <c r="AF271" s="48">
        <f t="shared" si="19"/>
        <v>12.867100171893991</v>
      </c>
      <c r="AG271" s="49"/>
      <c r="AH271" s="49"/>
      <c r="AI271" s="51"/>
    </row>
    <row r="272" spans="1:35" x14ac:dyDescent="0.3">
      <c r="A272" s="20">
        <v>43726</v>
      </c>
      <c r="C272">
        <f>-(Historical_Simulation!B273-Historical_Simulation!B274)</f>
        <v>-0.5175000000000054</v>
      </c>
      <c r="E272">
        <f>-(Historical_Simulation!C273-Historical_Simulation!C274)</f>
        <v>5.0899999999999181</v>
      </c>
      <c r="G272">
        <f>-(Historical_Simulation!D273-Historical_Simulation!D274)</f>
        <v>-5.9999999999973852E-2</v>
      </c>
      <c r="J272" s="23">
        <v>43728</v>
      </c>
      <c r="K272" s="24">
        <f t="shared" si="16"/>
        <v>15.119495861468399</v>
      </c>
      <c r="L272" s="25"/>
      <c r="M272" s="25"/>
      <c r="N272" s="27"/>
      <c r="Q272" s="23">
        <v>43728</v>
      </c>
      <c r="R272" s="24">
        <f t="shared" si="17"/>
        <v>10.617877963806437</v>
      </c>
      <c r="S272" s="25"/>
      <c r="T272" s="25"/>
      <c r="U272" s="27"/>
      <c r="X272" s="47">
        <v>43728</v>
      </c>
      <c r="Y272" s="48">
        <f t="shared" si="18"/>
        <v>-2.5403306324578461</v>
      </c>
      <c r="Z272" s="49"/>
      <c r="AA272" s="49"/>
      <c r="AB272" s="51"/>
      <c r="AE272" s="47">
        <v>43728</v>
      </c>
      <c r="AF272" s="48">
        <f t="shared" si="19"/>
        <v>-1.5263715123475612</v>
      </c>
      <c r="AG272" s="49"/>
      <c r="AH272" s="49"/>
      <c r="AI272" s="51"/>
    </row>
    <row r="273" spans="1:35" x14ac:dyDescent="0.3">
      <c r="A273" s="20">
        <v>43725</v>
      </c>
      <c r="C273">
        <f>-(Historical_Simulation!B274-Historical_Simulation!B275)</f>
        <v>-0.19999999999999574</v>
      </c>
      <c r="E273">
        <f>-(Historical_Simulation!C274-Historical_Simulation!C275)</f>
        <v>-14.710000000000036</v>
      </c>
      <c r="G273">
        <f>-(Historical_Simulation!D274-Historical_Simulation!D275)</f>
        <v>-1.8600000000000136</v>
      </c>
      <c r="J273" s="23">
        <v>43727</v>
      </c>
      <c r="K273" s="24">
        <f t="shared" si="16"/>
        <v>-1.9708163632392892</v>
      </c>
      <c r="L273" s="25"/>
      <c r="M273" s="25"/>
      <c r="N273" s="27"/>
      <c r="Q273" s="23">
        <v>43727</v>
      </c>
      <c r="R273" s="24">
        <f t="shared" si="17"/>
        <v>-1.208599519547731</v>
      </c>
      <c r="S273" s="25"/>
      <c r="T273" s="25"/>
      <c r="U273" s="27"/>
      <c r="X273" s="47">
        <v>43727</v>
      </c>
      <c r="Y273" s="48">
        <f t="shared" si="18"/>
        <v>-13.28901401858165</v>
      </c>
      <c r="Z273" s="49"/>
      <c r="AA273" s="49"/>
      <c r="AB273" s="51"/>
      <c r="AE273" s="47">
        <v>43727</v>
      </c>
      <c r="AF273" s="48">
        <f t="shared" si="19"/>
        <v>-9.1271148686730825</v>
      </c>
      <c r="AG273" s="49"/>
      <c r="AH273" s="49"/>
      <c r="AI273" s="51"/>
    </row>
    <row r="274" spans="1:35" x14ac:dyDescent="0.3">
      <c r="A274" s="20">
        <v>43724</v>
      </c>
      <c r="C274">
        <f>-(Historical_Simulation!B275-Historical_Simulation!B276)</f>
        <v>-0.28750000000000142</v>
      </c>
      <c r="E274">
        <f>-(Historical_Simulation!C275-Historical_Simulation!C276)</f>
        <v>31.5</v>
      </c>
      <c r="G274">
        <f>-(Historical_Simulation!D275-Historical_Simulation!D276)</f>
        <v>0.96999999999999886</v>
      </c>
      <c r="J274" s="23">
        <v>43726</v>
      </c>
      <c r="K274" s="24">
        <f t="shared" si="16"/>
        <v>2.5072627171651014</v>
      </c>
      <c r="L274" s="25"/>
      <c r="M274" s="25"/>
      <c r="N274" s="27"/>
      <c r="Q274" s="23">
        <v>43726</v>
      </c>
      <c r="R274" s="24">
        <f t="shared" si="17"/>
        <v>1.5558701849446477</v>
      </c>
      <c r="S274" s="25"/>
      <c r="T274" s="25"/>
      <c r="U274" s="27"/>
      <c r="X274" s="47">
        <v>43726</v>
      </c>
      <c r="Y274" s="48">
        <f t="shared" si="18"/>
        <v>2.0459016976560749</v>
      </c>
      <c r="Z274" s="49"/>
      <c r="AA274" s="49"/>
      <c r="AB274" s="51"/>
      <c r="AE274" s="47">
        <v>43726</v>
      </c>
      <c r="AF274" s="48">
        <f t="shared" si="19"/>
        <v>1.2695229571532001</v>
      </c>
      <c r="AG274" s="49"/>
      <c r="AH274" s="49"/>
      <c r="AI274" s="51"/>
    </row>
    <row r="275" spans="1:35" x14ac:dyDescent="0.3">
      <c r="A275" s="20">
        <v>43721</v>
      </c>
      <c r="C275">
        <f>-(Historical_Simulation!B276-Historical_Simulation!B277)</f>
        <v>1.0837000000000003</v>
      </c>
      <c r="E275">
        <f>-(Historical_Simulation!C276-Historical_Simulation!C277)</f>
        <v>4.2100000000000364</v>
      </c>
      <c r="G275">
        <f>-(Historical_Simulation!D276-Historical_Simulation!D277)</f>
        <v>0.28000000000000114</v>
      </c>
      <c r="J275" s="23">
        <v>43725</v>
      </c>
      <c r="K275" s="24">
        <f t="shared" si="16"/>
        <v>-8.0268938075909748</v>
      </c>
      <c r="L275" s="25"/>
      <c r="M275" s="25"/>
      <c r="N275" s="27"/>
      <c r="Q275" s="23">
        <v>43725</v>
      </c>
      <c r="R275" s="24">
        <f t="shared" si="17"/>
        <v>-5.565064892295565</v>
      </c>
      <c r="S275" s="25"/>
      <c r="T275" s="25"/>
      <c r="U275" s="27"/>
      <c r="X275" s="47">
        <v>43725</v>
      </c>
      <c r="Y275" s="48">
        <f t="shared" si="18"/>
        <v>-9.5010859412215183</v>
      </c>
      <c r="Z275" s="49"/>
      <c r="AA275" s="49"/>
      <c r="AB275" s="51"/>
      <c r="AE275" s="47">
        <v>43725</v>
      </c>
      <c r="AF275" s="48">
        <f t="shared" si="19"/>
        <v>-6.6840614401620684</v>
      </c>
      <c r="AG275" s="49"/>
      <c r="AH275" s="49"/>
      <c r="AI275" s="51"/>
    </row>
    <row r="276" spans="1:35" x14ac:dyDescent="0.3">
      <c r="A276" s="20">
        <v>43720</v>
      </c>
      <c r="C276">
        <f>-(Historical_Simulation!B277-Historical_Simulation!B278)</f>
        <v>0.12630000000000052</v>
      </c>
      <c r="E276">
        <f>-(Historical_Simulation!C277-Historical_Simulation!C278)</f>
        <v>-20.559999999999945</v>
      </c>
      <c r="G276">
        <f>-(Historical_Simulation!D277-Historical_Simulation!D278)</f>
        <v>1.0200000000000102</v>
      </c>
      <c r="J276" s="23">
        <v>43724</v>
      </c>
      <c r="K276" s="24">
        <f t="shared" si="16"/>
        <v>16.859115224589768</v>
      </c>
      <c r="L276" s="25"/>
      <c r="M276" s="25"/>
      <c r="N276" s="27"/>
      <c r="Q276" s="23">
        <v>43724</v>
      </c>
      <c r="R276" s="24">
        <f t="shared" si="17"/>
        <v>11.465911458569602</v>
      </c>
      <c r="S276" s="25"/>
      <c r="T276" s="25"/>
      <c r="U276" s="27"/>
      <c r="X276" s="47">
        <v>43724</v>
      </c>
      <c r="Y276" s="48">
        <f t="shared" si="18"/>
        <v>6.7583527536662276</v>
      </c>
      <c r="Z276" s="49"/>
      <c r="AA276" s="49"/>
      <c r="AB276" s="51"/>
      <c r="AE276" s="47">
        <v>43724</v>
      </c>
      <c r="AF276" s="48">
        <f t="shared" si="19"/>
        <v>4.6243718439781434</v>
      </c>
      <c r="AG276" s="49"/>
      <c r="AH276" s="49"/>
      <c r="AI276" s="51"/>
    </row>
    <row r="277" spans="1:35" x14ac:dyDescent="0.3">
      <c r="A277" s="20">
        <v>43719</v>
      </c>
      <c r="C277">
        <f>-(Historical_Simulation!B278-Historical_Simulation!B279)</f>
        <v>-1.7225000000000037</v>
      </c>
      <c r="E277">
        <f>-(Historical_Simulation!C278-Historical_Simulation!C279)</f>
        <v>-2.4400000000000546</v>
      </c>
      <c r="G277">
        <f>-(Historical_Simulation!D278-Historical_Simulation!D279)</f>
        <v>-2.3200000000000216</v>
      </c>
      <c r="J277" s="23">
        <v>43721</v>
      </c>
      <c r="K277" s="24">
        <f t="shared" si="16"/>
        <v>2.7700692702048171</v>
      </c>
      <c r="L277" s="25"/>
      <c r="M277" s="25"/>
      <c r="N277" s="27"/>
      <c r="Q277" s="23">
        <v>43721</v>
      </c>
      <c r="R277" s="24">
        <f t="shared" si="17"/>
        <v>2.2396477858569117</v>
      </c>
      <c r="S277" s="25"/>
      <c r="T277" s="25"/>
      <c r="U277" s="27"/>
      <c r="X277" s="47">
        <v>43721</v>
      </c>
      <c r="Y277" s="48">
        <f t="shared" si="18"/>
        <v>-3.4194823921443662</v>
      </c>
      <c r="Z277" s="49"/>
      <c r="AA277" s="49"/>
      <c r="AB277" s="51"/>
      <c r="AE277" s="47">
        <v>43721</v>
      </c>
      <c r="AF277" s="48">
        <f t="shared" si="19"/>
        <v>-2.0556013129266244</v>
      </c>
      <c r="AG277" s="49"/>
      <c r="AH277" s="49"/>
      <c r="AI277" s="51"/>
    </row>
    <row r="278" spans="1:35" x14ac:dyDescent="0.3">
      <c r="A278" s="20">
        <v>43718</v>
      </c>
      <c r="C278">
        <f>-(Historical_Simulation!B279-Historical_Simulation!B280)</f>
        <v>-0.63250000000000028</v>
      </c>
      <c r="E278">
        <f>-(Historical_Simulation!C279-Historical_Simulation!C280)</f>
        <v>10.799999999999955</v>
      </c>
      <c r="G278">
        <f>-(Historical_Simulation!D279-Historical_Simulation!D280)</f>
        <v>2.5900000000000034</v>
      </c>
      <c r="J278" s="23">
        <v>43720</v>
      </c>
      <c r="K278" s="24">
        <f t="shared" si="16"/>
        <v>-11.032175077323803</v>
      </c>
      <c r="L278" s="25"/>
      <c r="M278" s="25"/>
      <c r="N278" s="27"/>
      <c r="Q278" s="23">
        <v>43720</v>
      </c>
      <c r="R278" s="24">
        <f t="shared" si="17"/>
        <v>-7.5224485790140072</v>
      </c>
      <c r="S278" s="25"/>
      <c r="T278" s="25"/>
      <c r="U278" s="27"/>
      <c r="X278" s="47">
        <v>43720</v>
      </c>
      <c r="Y278" s="48">
        <f t="shared" si="18"/>
        <v>5.1337581359455875</v>
      </c>
      <c r="Z278" s="49"/>
      <c r="AA278" s="49"/>
      <c r="AB278" s="51"/>
      <c r="AE278" s="47">
        <v>43720</v>
      </c>
      <c r="AF278" s="48">
        <f t="shared" si="19"/>
        <v>3.6171468126944859</v>
      </c>
      <c r="AG278" s="49"/>
      <c r="AH278" s="49"/>
      <c r="AI278" s="51"/>
    </row>
    <row r="279" spans="1:35" x14ac:dyDescent="0.3">
      <c r="A279" s="20">
        <v>43717</v>
      </c>
      <c r="C279">
        <f>-(Historical_Simulation!B280-Historical_Simulation!B281)</f>
        <v>-0.22749999999999915</v>
      </c>
      <c r="E279">
        <f>-(Historical_Simulation!C280-Historical_Simulation!C281)</f>
        <v>2.1600000000000819</v>
      </c>
      <c r="G279">
        <f>-(Historical_Simulation!D280-Historical_Simulation!D281)</f>
        <v>-1.2699999999999818</v>
      </c>
      <c r="J279" s="23">
        <v>43719</v>
      </c>
      <c r="K279" s="24">
        <f t="shared" si="16"/>
        <v>-2.1095293802168822</v>
      </c>
      <c r="L279" s="25"/>
      <c r="M279" s="25"/>
      <c r="N279" s="27"/>
      <c r="Q279" s="23">
        <v>43719</v>
      </c>
      <c r="R279" s="24">
        <f t="shared" si="17"/>
        <v>-1.9877952488092616</v>
      </c>
      <c r="S279" s="25"/>
      <c r="T279" s="25"/>
      <c r="U279" s="27"/>
      <c r="X279" s="47">
        <v>43719</v>
      </c>
      <c r="Y279" s="48">
        <f t="shared" si="18"/>
        <v>-5.0703306324578143</v>
      </c>
      <c r="Z279" s="49"/>
      <c r="AA279" s="49"/>
      <c r="AB279" s="51"/>
      <c r="AE279" s="47">
        <v>43719</v>
      </c>
      <c r="AF279" s="48">
        <f t="shared" si="19"/>
        <v>-4.0563715123475408</v>
      </c>
      <c r="AG279" s="49"/>
      <c r="AH279" s="49"/>
      <c r="AI279" s="51"/>
    </row>
    <row r="280" spans="1:35" x14ac:dyDescent="0.3">
      <c r="A280" s="20">
        <v>43714</v>
      </c>
      <c r="C280">
        <f>-(Historical_Simulation!B281-Historical_Simulation!B282)</f>
        <v>5.000000000002558E-3</v>
      </c>
      <c r="E280">
        <f>-(Historical_Simulation!C281-Historical_Simulation!C282)</f>
        <v>7.2100000000000364</v>
      </c>
      <c r="G280">
        <f>-(Historical_Simulation!D281-Historical_Simulation!D282)</f>
        <v>3.4099999999999966</v>
      </c>
      <c r="J280" s="23">
        <v>43718</v>
      </c>
      <c r="K280" s="24">
        <f t="shared" si="16"/>
        <v>5.5343479293785851</v>
      </c>
      <c r="L280" s="25"/>
      <c r="M280" s="25"/>
      <c r="N280" s="27"/>
      <c r="Q280" s="23">
        <v>43718</v>
      </c>
      <c r="R280" s="24">
        <f t="shared" si="17"/>
        <v>3.594660880852425</v>
      </c>
      <c r="S280" s="25"/>
      <c r="T280" s="25"/>
      <c r="U280" s="27"/>
      <c r="X280" s="47">
        <v>43718</v>
      </c>
      <c r="Y280" s="48">
        <f t="shared" si="18"/>
        <v>17.423373159991606</v>
      </c>
      <c r="Z280" s="49"/>
      <c r="AA280" s="49"/>
      <c r="AB280" s="51"/>
      <c r="AE280" s="47">
        <v>43718</v>
      </c>
      <c r="AF280" s="48">
        <f t="shared" si="19"/>
        <v>11.954781922242217</v>
      </c>
      <c r="AG280" s="49"/>
      <c r="AH280" s="49"/>
      <c r="AI280" s="51"/>
    </row>
    <row r="281" spans="1:35" x14ac:dyDescent="0.3">
      <c r="A281" s="20">
        <v>43713</v>
      </c>
      <c r="C281">
        <f>-(Historical_Simulation!B282-Historical_Simulation!B283)</f>
        <v>-1.0225000000000009</v>
      </c>
      <c r="E281">
        <f>-(Historical_Simulation!C282-Historical_Simulation!C283)</f>
        <v>-40.100000000000136</v>
      </c>
      <c r="G281">
        <f>-(Historical_Simulation!D282-Historical_Simulation!D283)</f>
        <v>-3.7600000000000193</v>
      </c>
      <c r="J281" s="23">
        <v>43717</v>
      </c>
      <c r="K281" s="24">
        <f t="shared" si="16"/>
        <v>1.060350376679811</v>
      </c>
      <c r="L281" s="25"/>
      <c r="M281" s="25"/>
      <c r="N281" s="27"/>
      <c r="Q281" s="23">
        <v>43717</v>
      </c>
      <c r="R281" s="24">
        <f t="shared" si="17"/>
        <v>0.65527687321544348</v>
      </c>
      <c r="S281" s="25"/>
      <c r="T281" s="25"/>
      <c r="U281" s="27"/>
      <c r="X281" s="47">
        <v>43717</v>
      </c>
      <c r="Y281" s="48">
        <f t="shared" si="18"/>
        <v>-6.0686940323633554</v>
      </c>
      <c r="Z281" s="49"/>
      <c r="AA281" s="49"/>
      <c r="AB281" s="51"/>
      <c r="AE281" s="47">
        <v>43717</v>
      </c>
      <c r="AF281" s="48">
        <f t="shared" si="19"/>
        <v>-4.2995687056438401</v>
      </c>
      <c r="AG281" s="49"/>
      <c r="AH281" s="49"/>
      <c r="AI281" s="51"/>
    </row>
    <row r="282" spans="1:35" x14ac:dyDescent="0.3">
      <c r="A282" s="20">
        <v>43712</v>
      </c>
      <c r="C282">
        <f>-(Historical_Simulation!B283-Historical_Simulation!B284)</f>
        <v>-0.87250000000000227</v>
      </c>
      <c r="E282">
        <f>-(Historical_Simulation!C283-Historical_Simulation!C284)</f>
        <v>-10.779999999999973</v>
      </c>
      <c r="G282">
        <f>-(Historical_Simulation!D283-Historical_Simulation!D284)</f>
        <v>-4.75</v>
      </c>
      <c r="J282" s="23">
        <v>43714</v>
      </c>
      <c r="K282" s="24">
        <f t="shared" si="16"/>
        <v>3.8914762152786455</v>
      </c>
      <c r="L282" s="25"/>
      <c r="M282" s="25"/>
      <c r="N282" s="27"/>
      <c r="Q282" s="23">
        <v>43714</v>
      </c>
      <c r="R282" s="24">
        <f t="shared" si="17"/>
        <v>2.6690449723631766</v>
      </c>
      <c r="S282" s="25"/>
      <c r="T282" s="25"/>
      <c r="U282" s="27"/>
      <c r="X282" s="47">
        <v>43714</v>
      </c>
      <c r="Y282" s="48">
        <f t="shared" si="18"/>
        <v>19.083432307143909</v>
      </c>
      <c r="Z282" s="49"/>
      <c r="AA282" s="49"/>
      <c r="AB282" s="51"/>
      <c r="AE282" s="47">
        <v>43714</v>
      </c>
      <c r="AF282" s="48">
        <f t="shared" si="19"/>
        <v>13.305138074549149</v>
      </c>
      <c r="AG282" s="49"/>
      <c r="AH282" s="49"/>
      <c r="AI282" s="51"/>
    </row>
    <row r="283" spans="1:35" x14ac:dyDescent="0.3">
      <c r="A283" s="20">
        <v>43711</v>
      </c>
      <c r="C283">
        <f>-(Historical_Simulation!B284-Historical_Simulation!B285)</f>
        <v>0.76000000000000512</v>
      </c>
      <c r="E283">
        <f>-(Historical_Simulation!C284-Historical_Simulation!C285)</f>
        <v>-13.549999999999955</v>
      </c>
      <c r="G283">
        <f>-(Historical_Simulation!D284-Historical_Simulation!D285)</f>
        <v>3.2800000000000011</v>
      </c>
      <c r="J283" s="23">
        <v>43713</v>
      </c>
      <c r="K283" s="24">
        <f t="shared" si="16"/>
        <v>-22.10144161034712</v>
      </c>
      <c r="L283" s="25"/>
      <c r="M283" s="25"/>
      <c r="N283" s="27"/>
      <c r="Q283" s="23">
        <v>43713</v>
      </c>
      <c r="R283" s="24">
        <f t="shared" si="17"/>
        <v>-15.471385136366663</v>
      </c>
      <c r="S283" s="25"/>
      <c r="T283" s="25"/>
      <c r="U283" s="27"/>
      <c r="X283" s="47">
        <v>43713</v>
      </c>
      <c r="Y283" s="48">
        <f t="shared" si="18"/>
        <v>-16.36088720728543</v>
      </c>
      <c r="Z283" s="49"/>
      <c r="AA283" s="49"/>
      <c r="AB283" s="51"/>
      <c r="AE283" s="47">
        <v>43713</v>
      </c>
      <c r="AF283" s="48">
        <f t="shared" si="19"/>
        <v>-11.715342284604581</v>
      </c>
      <c r="AG283" s="49"/>
      <c r="AH283" s="49"/>
      <c r="AI283" s="51"/>
    </row>
    <row r="284" spans="1:35" x14ac:dyDescent="0.3">
      <c r="A284" s="20">
        <v>43710</v>
      </c>
      <c r="C284">
        <f>-(Historical_Simulation!B285-Historical_Simulation!B286)</f>
        <v>0</v>
      </c>
      <c r="E284">
        <f>-(Historical_Simulation!C285-Historical_Simulation!C286)</f>
        <v>0</v>
      </c>
      <c r="G284">
        <f>-(Historical_Simulation!D285-Historical_Simulation!D286)</f>
        <v>0</v>
      </c>
      <c r="J284" s="23">
        <v>43712</v>
      </c>
      <c r="K284" s="24">
        <f t="shared" si="16"/>
        <v>-6.2167419296145559</v>
      </c>
      <c r="L284" s="25"/>
      <c r="M284" s="25"/>
      <c r="N284" s="27"/>
      <c r="Q284" s="23">
        <v>43712</v>
      </c>
      <c r="R284" s="24">
        <f t="shared" si="17"/>
        <v>-4.5357929304216462</v>
      </c>
      <c r="S284" s="25"/>
      <c r="T284" s="25"/>
      <c r="U284" s="27"/>
      <c r="X284" s="47">
        <v>43712</v>
      </c>
      <c r="Y284" s="48">
        <f t="shared" si="18"/>
        <v>-22.598379962100026</v>
      </c>
      <c r="Z284" s="49"/>
      <c r="AA284" s="49"/>
      <c r="AB284" s="51"/>
      <c r="AE284" s="47">
        <v>43712</v>
      </c>
      <c r="AF284" s="48">
        <f t="shared" si="19"/>
        <v>-16.018251948330217</v>
      </c>
      <c r="AG284" s="49"/>
      <c r="AH284" s="49"/>
      <c r="AI284" s="51"/>
    </row>
    <row r="285" spans="1:35" x14ac:dyDescent="0.3">
      <c r="A285" s="20">
        <v>43707</v>
      </c>
      <c r="C285">
        <f>-(Historical_Simulation!B286-Historical_Simulation!B287)</f>
        <v>6.7499999999995453E-2</v>
      </c>
      <c r="E285">
        <f>-(Historical_Simulation!C286-Historical_Simulation!C287)</f>
        <v>10.110000000000127</v>
      </c>
      <c r="G285">
        <f>-(Historical_Simulation!D286-Historical_Simulation!D287)</f>
        <v>-9.9999999999994316E-2</v>
      </c>
      <c r="J285" s="23">
        <v>43711</v>
      </c>
      <c r="K285" s="24">
        <f t="shared" si="16"/>
        <v>-6.9590110535235148</v>
      </c>
      <c r="L285" s="25"/>
      <c r="M285" s="25"/>
      <c r="N285" s="27"/>
      <c r="Q285" s="23">
        <v>43711</v>
      </c>
      <c r="R285" s="24">
        <f t="shared" si="17"/>
        <v>-4.5311149971570712</v>
      </c>
      <c r="S285" s="25"/>
      <c r="T285" s="25"/>
      <c r="U285" s="27"/>
      <c r="X285" s="47">
        <v>43711</v>
      </c>
      <c r="Y285" s="48">
        <f t="shared" si="18"/>
        <v>14.879720826432504</v>
      </c>
      <c r="Z285" s="49"/>
      <c r="AA285" s="49"/>
      <c r="AB285" s="51"/>
      <c r="AE285" s="47">
        <v>43711</v>
      </c>
      <c r="AF285" s="48">
        <f t="shared" si="19"/>
        <v>10.603273993498934</v>
      </c>
      <c r="AG285" s="49"/>
      <c r="AH285" s="49"/>
      <c r="AI285" s="51"/>
    </row>
    <row r="286" spans="1:35" x14ac:dyDescent="0.3">
      <c r="A286" s="20">
        <v>43706</v>
      </c>
      <c r="C286">
        <f>-(Historical_Simulation!B287-Historical_Simulation!B288)</f>
        <v>-0.86999999999999744</v>
      </c>
      <c r="E286">
        <f>-(Historical_Simulation!C287-Historical_Simulation!C288)</f>
        <v>-22.150000000000091</v>
      </c>
      <c r="G286">
        <f>-(Historical_Simulation!D287-Historical_Simulation!D288)</f>
        <v>-3.8100000000000023</v>
      </c>
      <c r="J286" s="23">
        <v>43710</v>
      </c>
      <c r="K286" s="24">
        <f t="shared" si="16"/>
        <v>0</v>
      </c>
      <c r="L286" s="25"/>
      <c r="M286" s="25"/>
      <c r="N286" s="27"/>
      <c r="Q286" s="23">
        <v>43710</v>
      </c>
      <c r="R286" s="24">
        <f t="shared" si="17"/>
        <v>0</v>
      </c>
      <c r="S286" s="25"/>
      <c r="T286" s="25"/>
      <c r="U286" s="27"/>
      <c r="X286" s="47">
        <v>43710</v>
      </c>
      <c r="Y286" s="48">
        <f t="shared" si="18"/>
        <v>0</v>
      </c>
      <c r="Z286" s="49"/>
      <c r="AA286" s="49"/>
      <c r="AB286" s="51"/>
      <c r="AE286" s="47">
        <v>43710</v>
      </c>
      <c r="AF286" s="48">
        <f t="shared" si="19"/>
        <v>0</v>
      </c>
      <c r="AG286" s="49"/>
      <c r="AH286" s="49"/>
      <c r="AI286" s="51"/>
    </row>
    <row r="287" spans="1:35" x14ac:dyDescent="0.3">
      <c r="A287" s="20">
        <v>43705</v>
      </c>
      <c r="C287">
        <f>-(Historical_Simulation!B288-Historical_Simulation!B289)</f>
        <v>-0.34250000000000114</v>
      </c>
      <c r="E287">
        <f>-(Historical_Simulation!C288-Historical_Simulation!C289)</f>
        <v>-2.4200000000000728</v>
      </c>
      <c r="G287">
        <f>-(Historical_Simulation!D288-Historical_Simulation!D289)</f>
        <v>-0.45999999999997954</v>
      </c>
      <c r="J287" s="23">
        <v>43707</v>
      </c>
      <c r="K287" s="24">
        <f t="shared" si="16"/>
        <v>5.4845627886101411</v>
      </c>
      <c r="L287" s="25"/>
      <c r="M287" s="25"/>
      <c r="N287" s="27"/>
      <c r="Q287" s="23">
        <v>43707</v>
      </c>
      <c r="R287" s="24">
        <f t="shared" si="17"/>
        <v>3.7807091096401617</v>
      </c>
      <c r="S287" s="25"/>
      <c r="T287" s="25"/>
      <c r="U287" s="27"/>
      <c r="X287" s="47">
        <v>43707</v>
      </c>
      <c r="Y287" s="48">
        <f t="shared" si="18"/>
        <v>-0.87101318985210874</v>
      </c>
      <c r="Z287" s="49"/>
      <c r="AA287" s="49"/>
      <c r="AB287" s="51"/>
      <c r="AE287" s="47">
        <v>43707</v>
      </c>
      <c r="AF287" s="48">
        <f t="shared" si="19"/>
        <v>-0.58676523567896188</v>
      </c>
      <c r="AG287" s="49"/>
      <c r="AH287" s="49"/>
      <c r="AI287" s="51"/>
    </row>
    <row r="288" spans="1:35" x14ac:dyDescent="0.3">
      <c r="A288" s="20">
        <v>43704</v>
      </c>
      <c r="C288">
        <f>-(Historical_Simulation!B289-Historical_Simulation!B290)</f>
        <v>0.58250000000000313</v>
      </c>
      <c r="E288">
        <f>-(Historical_Simulation!C289-Historical_Simulation!C290)</f>
        <v>7.0399999999999636</v>
      </c>
      <c r="G288">
        <f>-(Historical_Simulation!D289-Historical_Simulation!D290)</f>
        <v>-0.93999999999999773</v>
      </c>
      <c r="J288" s="23">
        <v>43706</v>
      </c>
      <c r="K288" s="24">
        <f t="shared" si="16"/>
        <v>-12.348725032773002</v>
      </c>
      <c r="L288" s="25"/>
      <c r="M288" s="25"/>
      <c r="N288" s="27"/>
      <c r="Q288" s="23">
        <v>43706</v>
      </c>
      <c r="R288" s="24">
        <f t="shared" si="17"/>
        <v>-8.7382688427325892</v>
      </c>
      <c r="S288" s="25"/>
      <c r="T288" s="25"/>
      <c r="U288" s="27"/>
      <c r="X288" s="47">
        <v>43706</v>
      </c>
      <c r="Y288" s="48">
        <f t="shared" si="18"/>
        <v>-17.343007630837963</v>
      </c>
      <c r="Z288" s="49"/>
      <c r="AA288" s="49"/>
      <c r="AB288" s="51"/>
      <c r="AE288" s="47">
        <v>43706</v>
      </c>
      <c r="AF288" s="48">
        <f t="shared" si="19"/>
        <v>-12.353819659082118</v>
      </c>
      <c r="AG288" s="49"/>
      <c r="AH288" s="49"/>
      <c r="AI288" s="51"/>
    </row>
    <row r="289" spans="1:35" x14ac:dyDescent="0.3">
      <c r="A289" s="20">
        <v>43703</v>
      </c>
      <c r="C289">
        <f>-(Historical_Simulation!B290-Historical_Simulation!B291)</f>
        <v>-0.96250000000000568</v>
      </c>
      <c r="E289">
        <f>-(Historical_Simulation!C290-Historical_Simulation!C291)</f>
        <v>-19.25</v>
      </c>
      <c r="G289">
        <f>-(Historical_Simulation!D290-Historical_Simulation!D291)</f>
        <v>-2.6100000000000136</v>
      </c>
      <c r="J289" s="23">
        <v>43705</v>
      </c>
      <c r="K289" s="24">
        <f t="shared" si="16"/>
        <v>-1.463132107875313</v>
      </c>
      <c r="L289" s="25"/>
      <c r="M289" s="25"/>
      <c r="N289" s="27"/>
      <c r="Q289" s="23">
        <v>43705</v>
      </c>
      <c r="R289" s="24">
        <f t="shared" si="17"/>
        <v>-1.1106545357508213</v>
      </c>
      <c r="S289" s="25"/>
      <c r="T289" s="25"/>
      <c r="U289" s="27"/>
      <c r="X289" s="47">
        <v>43705</v>
      </c>
      <c r="Y289" s="48">
        <f t="shared" si="18"/>
        <v>-1.0008599988513962</v>
      </c>
      <c r="Z289" s="49"/>
      <c r="AA289" s="49"/>
      <c r="AB289" s="51"/>
      <c r="AE289" s="47">
        <v>43705</v>
      </c>
      <c r="AF289" s="48">
        <f t="shared" si="19"/>
        <v>-0.80146218025234772</v>
      </c>
      <c r="AG289" s="49"/>
      <c r="AH289" s="49"/>
      <c r="AI289" s="51"/>
    </row>
    <row r="290" spans="1:35" x14ac:dyDescent="0.3">
      <c r="A290" s="20">
        <v>43700</v>
      </c>
      <c r="C290">
        <f>-(Historical_Simulation!B291-Historical_Simulation!B292)</f>
        <v>2.4550000000000054</v>
      </c>
      <c r="E290">
        <f>-(Historical_Simulation!C291-Historical_Simulation!C292)</f>
        <v>55.980000000000018</v>
      </c>
      <c r="G290">
        <f>-(Historical_Simulation!D291-Historical_Simulation!D292)</f>
        <v>4.289999999999992</v>
      </c>
      <c r="J290" s="23">
        <v>43704</v>
      </c>
      <c r="K290" s="24">
        <f t="shared" si="16"/>
        <v>4.0657644219516431</v>
      </c>
      <c r="L290" s="25"/>
      <c r="M290" s="25"/>
      <c r="N290" s="27"/>
      <c r="Q290" s="23">
        <v>43704</v>
      </c>
      <c r="R290" s="24">
        <f t="shared" si="17"/>
        <v>2.9701572392831412</v>
      </c>
      <c r="S290" s="25"/>
      <c r="T290" s="25"/>
      <c r="U290" s="27"/>
      <c r="X290" s="47">
        <v>43704</v>
      </c>
      <c r="Y290" s="48">
        <f t="shared" si="18"/>
        <v>-7.9481646659696477</v>
      </c>
      <c r="Z290" s="49"/>
      <c r="AA290" s="49"/>
      <c r="AB290" s="51"/>
      <c r="AE290" s="47">
        <v>43704</v>
      </c>
      <c r="AF290" s="48">
        <f t="shared" si="19"/>
        <v>-5.3644780377389463</v>
      </c>
      <c r="AG290" s="49"/>
      <c r="AH290" s="49"/>
      <c r="AI290" s="51"/>
    </row>
    <row r="291" spans="1:35" x14ac:dyDescent="0.3">
      <c r="A291" s="20">
        <v>43699</v>
      </c>
      <c r="C291">
        <f>-(Historical_Simulation!B292-Historical_Simulation!B293)</f>
        <v>4.49999999999946E-2</v>
      </c>
      <c r="E291">
        <f>-(Historical_Simulation!C292-Historical_Simulation!C293)</f>
        <v>17.940000000000055</v>
      </c>
      <c r="G291">
        <f>-(Historical_Simulation!D292-Historical_Simulation!D293)</f>
        <v>1.5100000000000193</v>
      </c>
      <c r="J291" s="23">
        <v>43703</v>
      </c>
      <c r="K291" s="24">
        <f t="shared" si="16"/>
        <v>-10.827029325039261</v>
      </c>
      <c r="L291" s="25"/>
      <c r="M291" s="25"/>
      <c r="N291" s="27"/>
      <c r="Q291" s="23">
        <v>43703</v>
      </c>
      <c r="R291" s="24">
        <f t="shared" si="17"/>
        <v>-7.7242935367232946</v>
      </c>
      <c r="S291" s="25"/>
      <c r="T291" s="25"/>
      <c r="U291" s="27"/>
      <c r="X291" s="47">
        <v>43703</v>
      </c>
      <c r="Y291" s="48">
        <f t="shared" si="18"/>
        <v>-10.193547643471311</v>
      </c>
      <c r="Z291" s="49"/>
      <c r="AA291" s="49"/>
      <c r="AB291" s="51"/>
      <c r="AE291" s="47">
        <v>43703</v>
      </c>
      <c r="AF291" s="48">
        <f t="shared" si="19"/>
        <v>-7.3977356763053974</v>
      </c>
      <c r="AG291" s="49"/>
      <c r="AH291" s="49"/>
      <c r="AI291" s="51"/>
    </row>
    <row r="292" spans="1:35" x14ac:dyDescent="0.3">
      <c r="A292" s="20">
        <v>43698</v>
      </c>
      <c r="C292">
        <f>-(Historical_Simulation!B293-Historical_Simulation!B294)</f>
        <v>-0.56999999999999318</v>
      </c>
      <c r="E292">
        <f>-(Historical_Simulation!C293-Historical_Simulation!C294)</f>
        <v>-22.159999999999854</v>
      </c>
      <c r="G292">
        <f>-(Historical_Simulation!D293-Historical_Simulation!D294)</f>
        <v>0.25999999999999091</v>
      </c>
      <c r="J292" s="23">
        <v>43700</v>
      </c>
      <c r="K292" s="24">
        <f t="shared" si="16"/>
        <v>31.327122057291948</v>
      </c>
      <c r="L292" s="25"/>
      <c r="M292" s="25"/>
      <c r="N292" s="27"/>
      <c r="Q292" s="23">
        <v>43700</v>
      </c>
      <c r="R292" s="24">
        <f t="shared" si="17"/>
        <v>22.245840686431407</v>
      </c>
      <c r="S292" s="25"/>
      <c r="T292" s="25"/>
      <c r="U292" s="27"/>
      <c r="X292" s="47">
        <v>43700</v>
      </c>
      <c r="Y292" s="48">
        <f t="shared" si="18"/>
        <v>12.736622109723609</v>
      </c>
      <c r="Z292" s="49"/>
      <c r="AA292" s="49"/>
      <c r="AB292" s="51"/>
      <c r="AE292" s="47">
        <v>43700</v>
      </c>
      <c r="AF292" s="48">
        <f t="shared" si="19"/>
        <v>9.6226221341549376</v>
      </c>
      <c r="AG292" s="49"/>
      <c r="AH292" s="49"/>
      <c r="AI292" s="51"/>
    </row>
    <row r="293" spans="1:35" x14ac:dyDescent="0.3">
      <c r="A293" s="20">
        <v>43697</v>
      </c>
      <c r="C293">
        <f>-(Historical_Simulation!B294-Historical_Simulation!B295)</f>
        <v>-2.5000000000048317E-3</v>
      </c>
      <c r="E293">
        <f>-(Historical_Simulation!C294-Historical_Simulation!C295)</f>
        <v>14.739999999999782</v>
      </c>
      <c r="G293">
        <f>-(Historical_Simulation!D294-Historical_Simulation!D295)</f>
        <v>2.3599999999999852</v>
      </c>
      <c r="J293" s="23">
        <v>43699</v>
      </c>
      <c r="K293" s="24">
        <f t="shared" si="16"/>
        <v>9.6978094201819829</v>
      </c>
      <c r="L293" s="25"/>
      <c r="M293" s="25"/>
      <c r="N293" s="27"/>
      <c r="Q293" s="23">
        <v>43699</v>
      </c>
      <c r="R293" s="24">
        <f t="shared" si="17"/>
        <v>6.6616668675140724</v>
      </c>
      <c r="S293" s="25"/>
      <c r="T293" s="25"/>
      <c r="U293" s="27"/>
      <c r="X293" s="47">
        <v>43699</v>
      </c>
      <c r="Y293" s="48">
        <f t="shared" si="18"/>
        <v>8.2534884963190365</v>
      </c>
      <c r="Z293" s="49"/>
      <c r="AA293" s="49"/>
      <c r="AB293" s="51"/>
      <c r="AE293" s="47">
        <v>43699</v>
      </c>
      <c r="AF293" s="48">
        <f t="shared" si="19"/>
        <v>5.7673795239984855</v>
      </c>
      <c r="AG293" s="49"/>
      <c r="AH293" s="49"/>
      <c r="AI293" s="51"/>
    </row>
    <row r="294" spans="1:35" x14ac:dyDescent="0.3">
      <c r="A294" s="20">
        <v>43696</v>
      </c>
      <c r="C294">
        <f>-(Historical_Simulation!B295-Historical_Simulation!B296)</f>
        <v>-0.96249999999999858</v>
      </c>
      <c r="E294">
        <f>-(Historical_Simulation!C295-Historical_Simulation!C296)</f>
        <v>-23.549999999999955</v>
      </c>
      <c r="G294">
        <f>-(Historical_Simulation!D295-Historical_Simulation!D296)</f>
        <v>-2.4699999999999989</v>
      </c>
      <c r="J294" s="23">
        <v>43698</v>
      </c>
      <c r="K294" s="24">
        <f t="shared" si="16"/>
        <v>-12.215943301577367</v>
      </c>
      <c r="L294" s="25"/>
      <c r="M294" s="25"/>
      <c r="N294" s="27"/>
      <c r="Q294" s="23">
        <v>43698</v>
      </c>
      <c r="R294" s="24">
        <f t="shared" si="17"/>
        <v>-8.5528911801971184</v>
      </c>
      <c r="S294" s="25"/>
      <c r="T294" s="25"/>
      <c r="U294" s="27"/>
      <c r="X294" s="47">
        <v>43698</v>
      </c>
      <c r="Y294" s="48">
        <f t="shared" si="18"/>
        <v>4.0805429706106287</v>
      </c>
      <c r="Z294" s="49"/>
      <c r="AA294" s="49"/>
      <c r="AB294" s="51"/>
      <c r="AE294" s="47">
        <v>43698</v>
      </c>
      <c r="AF294" s="48">
        <f t="shared" si="19"/>
        <v>2.6720307200809463</v>
      </c>
      <c r="AG294" s="49"/>
      <c r="AH294" s="49"/>
      <c r="AI294" s="51"/>
    </row>
    <row r="295" spans="1:35" x14ac:dyDescent="0.3">
      <c r="A295" s="20">
        <v>43693</v>
      </c>
      <c r="C295">
        <f>-(Historical_Simulation!B296-Historical_Simulation!B297)</f>
        <v>-1.1899999999999977</v>
      </c>
      <c r="E295">
        <f>-(Historical_Simulation!C296-Historical_Simulation!C297)</f>
        <v>-16.450000000000045</v>
      </c>
      <c r="G295">
        <f>-(Historical_Simulation!D296-Historical_Simulation!D297)</f>
        <v>-1.1099999999999852</v>
      </c>
      <c r="J295" s="23">
        <v>43697</v>
      </c>
      <c r="K295" s="24">
        <f t="shared" si="16"/>
        <v>7.9498075091942066</v>
      </c>
      <c r="L295" s="25"/>
      <c r="M295" s="25"/>
      <c r="N295" s="27"/>
      <c r="Q295" s="23">
        <v>43697</v>
      </c>
      <c r="R295" s="24">
        <f t="shared" si="17"/>
        <v>5.4485316453939356</v>
      </c>
      <c r="S295" s="25"/>
      <c r="T295" s="25"/>
      <c r="U295" s="27"/>
      <c r="X295" s="47">
        <v>43697</v>
      </c>
      <c r="Y295" s="48">
        <f t="shared" si="18"/>
        <v>13.234738274780424</v>
      </c>
      <c r="Z295" s="49"/>
      <c r="AA295" s="49"/>
      <c r="AB295" s="51"/>
      <c r="AE295" s="47">
        <v>43697</v>
      </c>
      <c r="AF295" s="48">
        <f t="shared" si="19"/>
        <v>9.2255693689052176</v>
      </c>
      <c r="AG295" s="49"/>
      <c r="AH295" s="49"/>
      <c r="AI295" s="51"/>
    </row>
    <row r="296" spans="1:35" x14ac:dyDescent="0.3">
      <c r="A296" s="20">
        <v>43692</v>
      </c>
      <c r="C296">
        <f>-(Historical_Simulation!B297-Historical_Simulation!B298)</f>
        <v>0.25249999999999773</v>
      </c>
      <c r="E296">
        <f>-(Historical_Simulation!C297-Historical_Simulation!C298)</f>
        <v>-13.159999999999854</v>
      </c>
      <c r="G296">
        <f>-(Historical_Simulation!D297-Historical_Simulation!D298)</f>
        <v>-2.8799999999999955</v>
      </c>
      <c r="J296" s="23">
        <v>43696</v>
      </c>
      <c r="K296" s="24">
        <f t="shared" si="16"/>
        <v>-13.146508537488653</v>
      </c>
      <c r="L296" s="25"/>
      <c r="M296" s="25"/>
      <c r="N296" s="27"/>
      <c r="Q296" s="23">
        <v>43696</v>
      </c>
      <c r="R296" s="24">
        <f t="shared" si="17"/>
        <v>-9.3142162822002472</v>
      </c>
      <c r="S296" s="25"/>
      <c r="T296" s="25"/>
      <c r="U296" s="27"/>
      <c r="X296" s="47">
        <v>43696</v>
      </c>
      <c r="Y296" s="48">
        <f t="shared" si="18"/>
        <v>-9.4091187086694532</v>
      </c>
      <c r="Z296" s="49"/>
      <c r="AA296" s="49"/>
      <c r="AB296" s="51"/>
      <c r="AE296" s="47">
        <v>43696</v>
      </c>
      <c r="AF296" s="48">
        <f t="shared" si="19"/>
        <v>-6.8508871211109756</v>
      </c>
      <c r="AG296" s="49"/>
      <c r="AH296" s="49"/>
      <c r="AI296" s="51"/>
    </row>
    <row r="297" spans="1:35" x14ac:dyDescent="0.3">
      <c r="A297" s="20">
        <v>43691</v>
      </c>
      <c r="C297">
        <f>-(Historical_Simulation!B298-Historical_Simulation!B299)</f>
        <v>1.5549999999999997</v>
      </c>
      <c r="E297">
        <f>-(Historical_Simulation!C298-Historical_Simulation!C299)</f>
        <v>61.379999999999882</v>
      </c>
      <c r="G297">
        <f>-(Historical_Simulation!D298-Historical_Simulation!D299)</f>
        <v>8.7399999999999807</v>
      </c>
      <c r="J297" s="23">
        <v>43693</v>
      </c>
      <c r="K297" s="24">
        <f t="shared" si="16"/>
        <v>-9.4214541353437884</v>
      </c>
      <c r="L297" s="25"/>
      <c r="M297" s="25"/>
      <c r="N297" s="27"/>
      <c r="Q297" s="23">
        <v>43693</v>
      </c>
      <c r="R297" s="24">
        <f t="shared" si="17"/>
        <v>-6.8323769990648096</v>
      </c>
      <c r="S297" s="25"/>
      <c r="T297" s="25"/>
      <c r="U297" s="27"/>
      <c r="X297" s="47">
        <v>43693</v>
      </c>
      <c r="Y297" s="48">
        <f t="shared" si="18"/>
        <v>-0.74175489439889475</v>
      </c>
      <c r="Z297" s="49"/>
      <c r="AA297" s="49"/>
      <c r="AB297" s="51"/>
      <c r="AE297" s="47">
        <v>43693</v>
      </c>
      <c r="AF297" s="48">
        <f t="shared" si="19"/>
        <v>-0.87751511131744264</v>
      </c>
      <c r="AG297" s="49"/>
      <c r="AH297" s="49"/>
      <c r="AI297" s="51"/>
    </row>
    <row r="298" spans="1:35" x14ac:dyDescent="0.3">
      <c r="A298" s="20">
        <v>43690</v>
      </c>
      <c r="C298">
        <f>-(Historical_Simulation!B299-Historical_Simulation!B300)</f>
        <v>-2.1225000000000023</v>
      </c>
      <c r="E298">
        <f>-(Historical_Simulation!C299-Historical_Simulation!C300)</f>
        <v>-39.419999999999845</v>
      </c>
      <c r="G298">
        <f>-(Historical_Simulation!D299-Historical_Simulation!D300)</f>
        <v>-3.0799999999999841</v>
      </c>
      <c r="J298" s="23">
        <v>43692</v>
      </c>
      <c r="K298" s="24">
        <f t="shared" si="16"/>
        <v>-6.9823871946459395</v>
      </c>
      <c r="L298" s="25"/>
      <c r="M298" s="25"/>
      <c r="N298" s="27"/>
      <c r="Q298" s="23">
        <v>43692</v>
      </c>
      <c r="R298" s="24">
        <f t="shared" si="17"/>
        <v>-4.7067648427231825</v>
      </c>
      <c r="S298" s="25"/>
      <c r="T298" s="25"/>
      <c r="U298" s="27"/>
      <c r="X298" s="47">
        <v>43692</v>
      </c>
      <c r="Y298" s="48">
        <f t="shared" si="18"/>
        <v>-17.299097416190385</v>
      </c>
      <c r="Z298" s="49"/>
      <c r="AA298" s="49"/>
      <c r="AB298" s="51"/>
      <c r="AE298" s="47">
        <v>43692</v>
      </c>
      <c r="AF298" s="48">
        <f t="shared" si="19"/>
        <v>-11.983236422474359</v>
      </c>
      <c r="AG298" s="49"/>
      <c r="AH298" s="49"/>
      <c r="AI298" s="51"/>
    </row>
    <row r="299" spans="1:35" x14ac:dyDescent="0.3">
      <c r="A299" s="20">
        <v>43689</v>
      </c>
      <c r="C299">
        <f>-(Historical_Simulation!B300-Historical_Simulation!B301)</f>
        <v>0.12750000000000483</v>
      </c>
      <c r="E299">
        <f>-(Historical_Simulation!C300-Historical_Simulation!C301)</f>
        <v>22.659999999999854</v>
      </c>
      <c r="G299">
        <f>-(Historical_Simulation!D300-Historical_Simulation!D301)</f>
        <v>2.4799999999999898</v>
      </c>
      <c r="J299" s="23">
        <v>43691</v>
      </c>
      <c r="K299" s="24">
        <f t="shared" si="16"/>
        <v>33.825428810415445</v>
      </c>
      <c r="L299" s="25"/>
      <c r="M299" s="25"/>
      <c r="N299" s="27"/>
      <c r="Q299" s="23">
        <v>43691</v>
      </c>
      <c r="R299" s="24">
        <f t="shared" si="17"/>
        <v>23.675262383292967</v>
      </c>
      <c r="S299" s="25"/>
      <c r="T299" s="25"/>
      <c r="U299" s="27"/>
      <c r="X299" s="47">
        <v>43691</v>
      </c>
      <c r="Y299" s="48">
        <f t="shared" si="18"/>
        <v>41.813013546792611</v>
      </c>
      <c r="Z299" s="49"/>
      <c r="AA299" s="49"/>
      <c r="AB299" s="51"/>
      <c r="AE299" s="47">
        <v>43691</v>
      </c>
      <c r="AF299" s="48">
        <f t="shared" si="19"/>
        <v>29.620049064797513</v>
      </c>
      <c r="AG299" s="49"/>
      <c r="AH299" s="49"/>
      <c r="AI299" s="51"/>
    </row>
    <row r="300" spans="1:35" x14ac:dyDescent="0.3">
      <c r="A300" s="20">
        <v>43686</v>
      </c>
      <c r="C300">
        <f>-(Historical_Simulation!B301-Historical_Simulation!B302)</f>
        <v>0.60999999999999943</v>
      </c>
      <c r="E300">
        <f>-(Historical_Simulation!C301-Historical_Simulation!C302)</f>
        <v>25.310000000000173</v>
      </c>
      <c r="G300">
        <f>-(Historical_Simulation!D301-Historical_Simulation!D302)</f>
        <v>2.3100000000000023</v>
      </c>
      <c r="J300" s="23">
        <v>43690</v>
      </c>
      <c r="K300" s="24">
        <f t="shared" si="16"/>
        <v>-22.241285099146971</v>
      </c>
      <c r="L300" s="25"/>
      <c r="M300" s="25"/>
      <c r="N300" s="27"/>
      <c r="Q300" s="23">
        <v>43690</v>
      </c>
      <c r="R300" s="24">
        <f t="shared" si="17"/>
        <v>-15.913231069634227</v>
      </c>
      <c r="S300" s="25"/>
      <c r="T300" s="25"/>
      <c r="U300" s="27"/>
      <c r="X300" s="47">
        <v>43690</v>
      </c>
      <c r="Y300" s="48">
        <f t="shared" si="18"/>
        <v>-7.4874336076622576</v>
      </c>
      <c r="Z300" s="49"/>
      <c r="AA300" s="49"/>
      <c r="AB300" s="51"/>
      <c r="AE300" s="47">
        <v>43690</v>
      </c>
      <c r="AF300" s="48">
        <f t="shared" si="19"/>
        <v>-5.8625535114186773</v>
      </c>
      <c r="AG300" s="49"/>
      <c r="AH300" s="49"/>
      <c r="AI300" s="51"/>
    </row>
    <row r="301" spans="1:35" x14ac:dyDescent="0.3">
      <c r="A301" s="20">
        <v>43685</v>
      </c>
      <c r="C301">
        <f>-(Historical_Simulation!B302-Historical_Simulation!B303)</f>
        <v>-1.0975000000000037</v>
      </c>
      <c r="E301">
        <f>-(Historical_Simulation!C302-Historical_Simulation!C303)</f>
        <v>-39.490000000000009</v>
      </c>
      <c r="G301">
        <f>-(Historical_Simulation!D302-Historical_Simulation!D303)</f>
        <v>-5.0099999999999909</v>
      </c>
      <c r="J301" s="23">
        <v>43689</v>
      </c>
      <c r="K301" s="24">
        <f t="shared" si="16"/>
        <v>12.281840780120065</v>
      </c>
      <c r="L301" s="25"/>
      <c r="M301" s="25"/>
      <c r="N301" s="27"/>
      <c r="Q301" s="23">
        <v>43689</v>
      </c>
      <c r="R301" s="24">
        <f t="shared" si="17"/>
        <v>8.4588800610371351</v>
      </c>
      <c r="S301" s="25"/>
      <c r="T301" s="25"/>
      <c r="U301" s="27"/>
      <c r="X301" s="47">
        <v>43689</v>
      </c>
      <c r="Y301" s="48">
        <f t="shared" si="18"/>
        <v>13.308707636580278</v>
      </c>
      <c r="Z301" s="49"/>
      <c r="AA301" s="49"/>
      <c r="AB301" s="51"/>
      <c r="AE301" s="47">
        <v>43689</v>
      </c>
      <c r="AF301" s="48">
        <f t="shared" si="19"/>
        <v>9.3165087578198928</v>
      </c>
      <c r="AG301" s="49"/>
      <c r="AH301" s="49"/>
      <c r="AI301" s="51"/>
    </row>
    <row r="302" spans="1:35" x14ac:dyDescent="0.3">
      <c r="A302" s="20">
        <v>43684</v>
      </c>
      <c r="C302">
        <f>-(Historical_Simulation!B303-Historical_Simulation!B304)</f>
        <v>-0.50999999999999801</v>
      </c>
      <c r="E302">
        <f>-(Historical_Simulation!C303-Historical_Simulation!C304)</f>
        <v>-5.5700000000001637</v>
      </c>
      <c r="G302">
        <f>-(Historical_Simulation!D303-Historical_Simulation!D304)</f>
        <v>-0.64000000000001478</v>
      </c>
      <c r="J302" s="23">
        <v>43686</v>
      </c>
      <c r="K302" s="24">
        <f t="shared" si="16"/>
        <v>13.933520127325844</v>
      </c>
      <c r="L302" s="25"/>
      <c r="M302" s="25"/>
      <c r="N302" s="27"/>
      <c r="Q302" s="23">
        <v>43686</v>
      </c>
      <c r="R302" s="24">
        <f t="shared" si="17"/>
        <v>9.742812049600353</v>
      </c>
      <c r="S302" s="25"/>
      <c r="T302" s="25"/>
      <c r="U302" s="27"/>
      <c r="X302" s="47">
        <v>43686</v>
      </c>
      <c r="Y302" s="48">
        <f t="shared" si="18"/>
        <v>10.135208494021953</v>
      </c>
      <c r="Z302" s="49"/>
      <c r="AA302" s="49"/>
      <c r="AB302" s="51"/>
      <c r="AE302" s="47">
        <v>43686</v>
      </c>
      <c r="AF302" s="48">
        <f t="shared" si="19"/>
        <v>7.2503038845032677</v>
      </c>
      <c r="AG302" s="49"/>
      <c r="AH302" s="49"/>
      <c r="AI302" s="51"/>
    </row>
    <row r="303" spans="1:35" x14ac:dyDescent="0.3">
      <c r="A303" s="20">
        <v>43683</v>
      </c>
      <c r="C303">
        <f>-(Historical_Simulation!B304-Historical_Simulation!B305)</f>
        <v>-0.91499999999999915</v>
      </c>
      <c r="E303">
        <f>-(Historical_Simulation!C304-Historical_Simulation!C305)</f>
        <v>-22.699999999999818</v>
      </c>
      <c r="G303">
        <f>-(Historical_Simulation!D304-Historical_Simulation!D305)</f>
        <v>-2.7800000000000011</v>
      </c>
      <c r="J303" s="23">
        <v>43685</v>
      </c>
      <c r="K303" s="24">
        <f t="shared" si="16"/>
        <v>-21.806943177666156</v>
      </c>
      <c r="L303" s="25"/>
      <c r="M303" s="25"/>
      <c r="N303" s="27"/>
      <c r="Q303" s="23">
        <v>43685</v>
      </c>
      <c r="R303" s="24">
        <f t="shared" si="17"/>
        <v>-15.293106745517379</v>
      </c>
      <c r="S303" s="25"/>
      <c r="T303" s="25"/>
      <c r="U303" s="27"/>
      <c r="X303" s="47">
        <v>43685</v>
      </c>
      <c r="Y303" s="48">
        <f t="shared" si="18"/>
        <v>-23.019487195800423</v>
      </c>
      <c r="Z303" s="49"/>
      <c r="AA303" s="49"/>
      <c r="AB303" s="51"/>
      <c r="AE303" s="47">
        <v>43685</v>
      </c>
      <c r="AF303" s="48">
        <f t="shared" si="19"/>
        <v>-16.379964087128773</v>
      </c>
      <c r="AG303" s="49"/>
      <c r="AH303" s="49"/>
      <c r="AI303" s="51"/>
    </row>
    <row r="304" spans="1:35" x14ac:dyDescent="0.3">
      <c r="A304" s="20">
        <v>43682</v>
      </c>
      <c r="C304">
        <f>-(Historical_Simulation!B305-Historical_Simulation!B306)</f>
        <v>2.6700000000000017</v>
      </c>
      <c r="E304">
        <f>-(Historical_Simulation!C305-Historical_Simulation!C306)</f>
        <v>58.1099999999999</v>
      </c>
      <c r="G304">
        <f>-(Historical_Simulation!D305-Historical_Simulation!D306)</f>
        <v>7.2900000000000205</v>
      </c>
      <c r="J304" s="23">
        <v>43684</v>
      </c>
      <c r="K304" s="24">
        <f t="shared" si="16"/>
        <v>-3.2394336779056863</v>
      </c>
      <c r="L304" s="25"/>
      <c r="M304" s="25"/>
      <c r="N304" s="27"/>
      <c r="Q304" s="23">
        <v>43684</v>
      </c>
      <c r="R304" s="24">
        <f t="shared" si="17"/>
        <v>-2.3809323470031956</v>
      </c>
      <c r="S304" s="25"/>
      <c r="T304" s="25"/>
      <c r="U304" s="27"/>
      <c r="X304" s="47">
        <v>43684</v>
      </c>
      <c r="Y304" s="48">
        <f t="shared" si="18"/>
        <v>-1.2383982966017695</v>
      </c>
      <c r="Z304" s="49"/>
      <c r="AA304" s="49"/>
      <c r="AB304" s="51"/>
      <c r="AE304" s="47">
        <v>43684</v>
      </c>
      <c r="AF304" s="48">
        <f t="shared" si="19"/>
        <v>-1.017787944109136</v>
      </c>
      <c r="AG304" s="49"/>
      <c r="AH304" s="49"/>
      <c r="AI304" s="51"/>
    </row>
    <row r="305" spans="1:35" x14ac:dyDescent="0.3">
      <c r="A305" s="20">
        <v>43679</v>
      </c>
      <c r="C305">
        <f>-(Historical_Simulation!B306-Historical_Simulation!B307)</f>
        <v>1.1024999999999991</v>
      </c>
      <c r="E305">
        <f>-(Historical_Simulation!C306-Historical_Simulation!C307)</f>
        <v>32.079999999999927</v>
      </c>
      <c r="G305">
        <f>-(Historical_Simulation!D306-Historical_Simulation!D307)</f>
        <v>3.7099999999999795</v>
      </c>
      <c r="J305" s="23">
        <v>43683</v>
      </c>
      <c r="K305" s="24">
        <f t="shared" si="16"/>
        <v>-12.66612898679308</v>
      </c>
      <c r="L305" s="25"/>
      <c r="M305" s="25"/>
      <c r="N305" s="27"/>
      <c r="Q305" s="23">
        <v>43683</v>
      </c>
      <c r="R305" s="24">
        <f t="shared" si="17"/>
        <v>-8.9699923279571117</v>
      </c>
      <c r="S305" s="25"/>
      <c r="T305" s="25"/>
      <c r="U305" s="27"/>
      <c r="X305" s="47">
        <v>43683</v>
      </c>
      <c r="Y305" s="48">
        <f t="shared" si="18"/>
        <v>-11.364714024324076</v>
      </c>
      <c r="Z305" s="49"/>
      <c r="AA305" s="49"/>
      <c r="AB305" s="51"/>
      <c r="AE305" s="47">
        <v>43683</v>
      </c>
      <c r="AF305" s="48">
        <f t="shared" si="19"/>
        <v>-8.1998039674109329</v>
      </c>
      <c r="AG305" s="49"/>
      <c r="AH305" s="49"/>
      <c r="AI305" s="51"/>
    </row>
    <row r="306" spans="1:35" x14ac:dyDescent="0.3">
      <c r="A306" s="20">
        <v>43678</v>
      </c>
      <c r="C306">
        <f>-(Historical_Simulation!B307-Historical_Simulation!B308)</f>
        <v>1.1524999999999963</v>
      </c>
      <c r="E306">
        <f>-(Historical_Simulation!C307-Historical_Simulation!C308)</f>
        <v>11.460000000000036</v>
      </c>
      <c r="G306">
        <f>-(Historical_Simulation!D307-Historical_Simulation!D308)</f>
        <v>1.5</v>
      </c>
      <c r="J306" s="23">
        <v>43682</v>
      </c>
      <c r="K306" s="24">
        <f t="shared" si="16"/>
        <v>32.57509942748738</v>
      </c>
      <c r="L306" s="25"/>
      <c r="M306" s="25"/>
      <c r="N306" s="27"/>
      <c r="Q306" s="23">
        <v>43682</v>
      </c>
      <c r="R306" s="24">
        <f t="shared" si="17"/>
        <v>23.16891093238215</v>
      </c>
      <c r="S306" s="25"/>
      <c r="T306" s="25"/>
      <c r="U306" s="27"/>
      <c r="X306" s="47">
        <v>43682</v>
      </c>
      <c r="Y306" s="48">
        <f t="shared" si="18"/>
        <v>28.556154848459727</v>
      </c>
      <c r="Z306" s="49"/>
      <c r="AA306" s="49"/>
      <c r="AB306" s="51"/>
      <c r="AE306" s="47">
        <v>43682</v>
      </c>
      <c r="AF306" s="48">
        <f t="shared" si="19"/>
        <v>20.716002321414805</v>
      </c>
      <c r="AG306" s="49"/>
      <c r="AH306" s="49"/>
      <c r="AI306" s="51"/>
    </row>
    <row r="307" spans="1:35" x14ac:dyDescent="0.3">
      <c r="A307" s="20">
        <v>43677</v>
      </c>
      <c r="C307">
        <f>-(Historical_Simulation!B308-Historical_Simulation!B309)</f>
        <v>-1.0649999999999977</v>
      </c>
      <c r="E307">
        <f>-(Historical_Simulation!C308-Historical_Simulation!C309)</f>
        <v>31.75</v>
      </c>
      <c r="G307">
        <f>-(Historical_Simulation!D308-Historical_Simulation!D309)</f>
        <v>2.8100000000000023</v>
      </c>
      <c r="J307" s="23">
        <v>43679</v>
      </c>
      <c r="K307" s="24">
        <f t="shared" si="16"/>
        <v>17.812190070616701</v>
      </c>
      <c r="L307" s="25"/>
      <c r="M307" s="25"/>
      <c r="N307" s="27"/>
      <c r="Q307" s="23">
        <v>43679</v>
      </c>
      <c r="R307" s="24">
        <f t="shared" si="17"/>
        <v>12.556414383258797</v>
      </c>
      <c r="S307" s="25"/>
      <c r="T307" s="25"/>
      <c r="U307" s="27"/>
      <c r="X307" s="47">
        <v>43679</v>
      </c>
      <c r="Y307" s="48">
        <f t="shared" si="18"/>
        <v>15.712488910683538</v>
      </c>
      <c r="Z307" s="49"/>
      <c r="AA307" s="49"/>
      <c r="AB307" s="51"/>
      <c r="AE307" s="47">
        <v>43679</v>
      </c>
      <c r="AF307" s="48">
        <f t="shared" si="19"/>
        <v>11.287554340495358</v>
      </c>
      <c r="AG307" s="49"/>
      <c r="AH307" s="49"/>
      <c r="AI307" s="51"/>
    </row>
    <row r="308" spans="1:35" x14ac:dyDescent="0.3">
      <c r="A308" s="20">
        <v>43676</v>
      </c>
      <c r="C308">
        <f>-(Historical_Simulation!B309-Historical_Simulation!B310)</f>
        <v>0.22500000000000142</v>
      </c>
      <c r="E308">
        <f>-(Historical_Simulation!C309-Historical_Simulation!C310)</f>
        <v>13.920000000000073</v>
      </c>
      <c r="G308">
        <f>-(Historical_Simulation!D309-Historical_Simulation!D310)</f>
        <v>-1.0999999999999943</v>
      </c>
      <c r="J308" s="23">
        <v>43678</v>
      </c>
      <c r="K308" s="24">
        <f t="shared" si="16"/>
        <v>6.7125074377494176</v>
      </c>
      <c r="L308" s="25"/>
      <c r="M308" s="25"/>
      <c r="N308" s="27"/>
      <c r="Q308" s="23">
        <v>43678</v>
      </c>
      <c r="R308" s="24">
        <f t="shared" si="17"/>
        <v>4.9636927206985941</v>
      </c>
      <c r="S308" s="25"/>
      <c r="T308" s="25"/>
      <c r="U308" s="27"/>
      <c r="X308" s="47">
        <v>43678</v>
      </c>
      <c r="Y308" s="48">
        <f t="shared" si="18"/>
        <v>3.0995646774545005</v>
      </c>
      <c r="Z308" s="49"/>
      <c r="AA308" s="49"/>
      <c r="AB308" s="51"/>
      <c r="AE308" s="47">
        <v>43678</v>
      </c>
      <c r="AF308" s="48">
        <f t="shared" si="19"/>
        <v>2.509856235214647</v>
      </c>
      <c r="AG308" s="49"/>
      <c r="AH308" s="49"/>
      <c r="AI308" s="51"/>
    </row>
    <row r="309" spans="1:35" x14ac:dyDescent="0.3">
      <c r="A309" s="20">
        <v>43675</v>
      </c>
      <c r="C309">
        <f>-(Historical_Simulation!B310-Historical_Simulation!B311)</f>
        <v>-0.48499999999999943</v>
      </c>
      <c r="E309">
        <f>-(Historical_Simulation!C310-Historical_Simulation!C311)</f>
        <v>30.599999999999909</v>
      </c>
      <c r="G309">
        <f>-(Historical_Simulation!D310-Historical_Simulation!D311)</f>
        <v>3.8100000000000023</v>
      </c>
      <c r="J309" s="23">
        <v>43677</v>
      </c>
      <c r="K309" s="24">
        <f t="shared" si="16"/>
        <v>16.635862873611114</v>
      </c>
      <c r="L309" s="25"/>
      <c r="M309" s="25"/>
      <c r="N309" s="27"/>
      <c r="Q309" s="23">
        <v>43677</v>
      </c>
      <c r="R309" s="24">
        <f t="shared" si="17"/>
        <v>11.068329044843464</v>
      </c>
      <c r="S309" s="25"/>
      <c r="T309" s="25"/>
      <c r="U309" s="27"/>
      <c r="X309" s="47">
        <v>43677</v>
      </c>
      <c r="Y309" s="48">
        <f t="shared" si="18"/>
        <v>20.646872302550008</v>
      </c>
      <c r="Z309" s="49"/>
      <c r="AA309" s="49"/>
      <c r="AB309" s="51"/>
      <c r="AE309" s="47">
        <v>43677</v>
      </c>
      <c r="AF309" s="48">
        <f t="shared" si="19"/>
        <v>14.070986795558895</v>
      </c>
      <c r="AG309" s="49"/>
      <c r="AH309" s="49"/>
      <c r="AI309" s="51"/>
    </row>
    <row r="310" spans="1:35" x14ac:dyDescent="0.3">
      <c r="A310" s="20">
        <v>43672</v>
      </c>
      <c r="C310">
        <f>-(Historical_Simulation!B311-Historical_Simulation!B312)</f>
        <v>-0.17999999999999972</v>
      </c>
      <c r="E310">
        <f>-(Historical_Simulation!C311-Historical_Simulation!C312)</f>
        <v>30.769999999999982</v>
      </c>
      <c r="G310">
        <f>-(Historical_Simulation!D311-Historical_Simulation!D312)</f>
        <v>0.96000000000000796</v>
      </c>
      <c r="J310" s="23">
        <v>43676</v>
      </c>
      <c r="K310" s="24">
        <f t="shared" si="16"/>
        <v>7.6122715847662805</v>
      </c>
      <c r="L310" s="25"/>
      <c r="M310" s="25"/>
      <c r="N310" s="27"/>
      <c r="Q310" s="23">
        <v>43676</v>
      </c>
      <c r="R310" s="24">
        <f t="shared" si="17"/>
        <v>5.2887190696063424</v>
      </c>
      <c r="S310" s="25"/>
      <c r="T310" s="25"/>
      <c r="U310" s="27"/>
      <c r="X310" s="47">
        <v>43676</v>
      </c>
      <c r="Y310" s="48">
        <f t="shared" si="18"/>
        <v>-7.1990595615170729</v>
      </c>
      <c r="Z310" s="49"/>
      <c r="AA310" s="49"/>
      <c r="AB310" s="51"/>
      <c r="AE310" s="47">
        <v>43676</v>
      </c>
      <c r="AF310" s="48">
        <f t="shared" si="19"/>
        <v>-4.9505309688039905</v>
      </c>
      <c r="AG310" s="49"/>
      <c r="AH310" s="49"/>
      <c r="AI310" s="51"/>
    </row>
    <row r="311" spans="1:35" x14ac:dyDescent="0.3">
      <c r="A311" s="20">
        <v>43671</v>
      </c>
      <c r="C311">
        <f>-(Historical_Simulation!B312-Historical_Simulation!B313)</f>
        <v>0.41249999999999432</v>
      </c>
      <c r="E311">
        <f>-(Historical_Simulation!C312-Historical_Simulation!C313)</f>
        <v>26.990000000000009</v>
      </c>
      <c r="G311">
        <f>-(Historical_Simulation!D312-Historical_Simulation!D313)</f>
        <v>3.9499999999999886</v>
      </c>
      <c r="J311" s="23">
        <v>43675</v>
      </c>
      <c r="K311" s="24">
        <f t="shared" si="16"/>
        <v>16.282677050927926</v>
      </c>
      <c r="L311" s="25"/>
      <c r="M311" s="25"/>
      <c r="N311" s="27"/>
      <c r="Q311" s="23">
        <v>43675</v>
      </c>
      <c r="R311" s="24">
        <f t="shared" si="17"/>
        <v>11.008662451895717</v>
      </c>
      <c r="S311" s="25"/>
      <c r="T311" s="25"/>
      <c r="U311" s="27"/>
      <c r="X311" s="47">
        <v>43675</v>
      </c>
      <c r="Y311" s="48">
        <f t="shared" si="18"/>
        <v>23.580159106955435</v>
      </c>
      <c r="Z311" s="49"/>
      <c r="AA311" s="49"/>
      <c r="AB311" s="51"/>
      <c r="AE311" s="47">
        <v>43675</v>
      </c>
      <c r="AF311" s="48">
        <f t="shared" si="19"/>
        <v>16.291532461142058</v>
      </c>
      <c r="AG311" s="49"/>
      <c r="AH311" s="49"/>
      <c r="AI311" s="51"/>
    </row>
    <row r="312" spans="1:35" x14ac:dyDescent="0.3">
      <c r="A312" s="20">
        <v>43670</v>
      </c>
      <c r="C312">
        <f>-(Historical_Simulation!B313-Historical_Simulation!B314)</f>
        <v>4.2500000000003979E-2</v>
      </c>
      <c r="E312">
        <f>-(Historical_Simulation!C313-Historical_Simulation!C314)</f>
        <v>-6.3199999999999363</v>
      </c>
      <c r="G312">
        <f>-(Historical_Simulation!D313-Historical_Simulation!D314)</f>
        <v>-2.2999999999999829</v>
      </c>
      <c r="J312" s="23">
        <v>43672</v>
      </c>
      <c r="K312" s="24">
        <f t="shared" si="16"/>
        <v>16.514856191932459</v>
      </c>
      <c r="L312" s="25"/>
      <c r="M312" s="25"/>
      <c r="N312" s="27"/>
      <c r="Q312" s="23">
        <v>43672</v>
      </c>
      <c r="R312" s="24">
        <f t="shared" si="17"/>
        <v>11.263746272677279</v>
      </c>
      <c r="S312" s="25"/>
      <c r="T312" s="25"/>
      <c r="U312" s="27"/>
      <c r="X312" s="47">
        <v>43672</v>
      </c>
      <c r="Y312" s="48">
        <f t="shared" si="18"/>
        <v>6.207492754814754</v>
      </c>
      <c r="Z312" s="49"/>
      <c r="AA312" s="49"/>
      <c r="AB312" s="51"/>
      <c r="AE312" s="47">
        <v>43672</v>
      </c>
      <c r="AF312" s="48">
        <f t="shared" si="19"/>
        <v>4.2729096637257431</v>
      </c>
      <c r="AG312" s="49"/>
      <c r="AH312" s="49"/>
      <c r="AI312" s="51"/>
    </row>
    <row r="313" spans="1:35" x14ac:dyDescent="0.3">
      <c r="A313" s="20">
        <v>43669</v>
      </c>
      <c r="C313">
        <f>-(Historical_Simulation!B314-Historical_Simulation!B315)</f>
        <v>-0.40500000000000114</v>
      </c>
      <c r="E313">
        <f>-(Historical_Simulation!C314-Historical_Simulation!C315)</f>
        <v>-8.8599999999999</v>
      </c>
      <c r="G313">
        <f>-(Historical_Simulation!D314-Historical_Simulation!D315)</f>
        <v>-4.0000000000020464E-2</v>
      </c>
      <c r="J313" s="23">
        <v>43671</v>
      </c>
      <c r="K313" s="24">
        <f t="shared" si="16"/>
        <v>14.748769481133612</v>
      </c>
      <c r="L313" s="25"/>
      <c r="M313" s="25"/>
      <c r="N313" s="27"/>
      <c r="Q313" s="23">
        <v>43671</v>
      </c>
      <c r="R313" s="24">
        <f t="shared" si="17"/>
        <v>10.23951669021262</v>
      </c>
      <c r="S313" s="25"/>
      <c r="T313" s="25"/>
      <c r="U313" s="27"/>
      <c r="X313" s="47">
        <v>43671</v>
      </c>
      <c r="Y313" s="48">
        <f t="shared" si="18"/>
        <v>20.233338263295611</v>
      </c>
      <c r="Z313" s="49"/>
      <c r="AA313" s="49"/>
      <c r="AB313" s="51"/>
      <c r="AE313" s="47">
        <v>43671</v>
      </c>
      <c r="AF313" s="48">
        <f t="shared" si="19"/>
        <v>14.230191171429542</v>
      </c>
      <c r="AG313" s="49"/>
      <c r="AH313" s="49"/>
      <c r="AI313" s="51"/>
    </row>
    <row r="314" spans="1:35" x14ac:dyDescent="0.3">
      <c r="A314" s="20">
        <v>43668</v>
      </c>
      <c r="C314">
        <f>-(Historical_Simulation!B315-Historical_Simulation!B316)</f>
        <v>-1.1574999999999989</v>
      </c>
      <c r="E314">
        <f>-(Historical_Simulation!C315-Historical_Simulation!C316)</f>
        <v>-21.110000000000127</v>
      </c>
      <c r="G314">
        <f>-(Historical_Simulation!D315-Historical_Simulation!D316)</f>
        <v>-3.9599999999999795</v>
      </c>
      <c r="J314" s="23">
        <v>43670</v>
      </c>
      <c r="K314" s="24">
        <f t="shared" si="16"/>
        <v>-3.3895201137696032</v>
      </c>
      <c r="L314" s="25"/>
      <c r="M314" s="25"/>
      <c r="N314" s="27"/>
      <c r="Q314" s="23">
        <v>43670</v>
      </c>
      <c r="R314" s="24">
        <f t="shared" si="17"/>
        <v>-2.3100310390923564</v>
      </c>
      <c r="S314" s="25"/>
      <c r="T314" s="25"/>
      <c r="U314" s="27"/>
      <c r="X314" s="47">
        <v>43670</v>
      </c>
      <c r="Y314" s="48">
        <f t="shared" si="18"/>
        <v>-13.082676998380151</v>
      </c>
      <c r="Z314" s="49"/>
      <c r="AA314" s="49"/>
      <c r="AB314" s="51"/>
      <c r="AE314" s="47">
        <v>43670</v>
      </c>
      <c r="AF314" s="48">
        <f t="shared" si="19"/>
        <v>-9.107448146734578</v>
      </c>
      <c r="AG314" s="49"/>
      <c r="AH314" s="49"/>
      <c r="AI314" s="51"/>
    </row>
    <row r="315" spans="1:35" x14ac:dyDescent="0.3">
      <c r="A315" s="20">
        <v>43665</v>
      </c>
      <c r="C315">
        <f>-(Historical_Simulation!B316-Historical_Simulation!B317)</f>
        <v>0.76749999999999829</v>
      </c>
      <c r="E315">
        <f>-(Historical_Simulation!C316-Historical_Simulation!C317)</f>
        <v>13.380000000000109</v>
      </c>
      <c r="G315">
        <f>-(Historical_Simulation!D316-Historical_Simulation!D317)</f>
        <v>2.4199999999999875</v>
      </c>
      <c r="J315" s="23">
        <v>43669</v>
      </c>
      <c r="K315" s="24">
        <f t="shared" si="16"/>
        <v>-4.9657434281999153</v>
      </c>
      <c r="L315" s="25"/>
      <c r="M315" s="25"/>
      <c r="N315" s="27"/>
      <c r="Q315" s="23">
        <v>43669</v>
      </c>
      <c r="R315" s="24">
        <f t="shared" si="17"/>
        <v>-3.5312318169785244</v>
      </c>
      <c r="S315" s="25"/>
      <c r="T315" s="25"/>
      <c r="U315" s="27"/>
      <c r="X315" s="47">
        <v>43669</v>
      </c>
      <c r="Y315" s="48">
        <f t="shared" si="18"/>
        <v>1.6401182943046007</v>
      </c>
      <c r="Z315" s="49"/>
      <c r="AA315" s="49"/>
      <c r="AB315" s="51"/>
      <c r="AE315" s="47">
        <v>43669</v>
      </c>
      <c r="AF315" s="48">
        <f t="shared" si="19"/>
        <v>1.0207123046138578</v>
      </c>
      <c r="AG315" s="49"/>
      <c r="AH315" s="49"/>
      <c r="AI315" s="51"/>
    </row>
    <row r="316" spans="1:35" x14ac:dyDescent="0.3">
      <c r="A316" s="20">
        <v>43664</v>
      </c>
      <c r="C316">
        <f>-(Historical_Simulation!B317-Historical_Simulation!B318)</f>
        <v>-0.57750000000000057</v>
      </c>
      <c r="E316">
        <f>-(Historical_Simulation!C317-Historical_Simulation!C318)</f>
        <v>14.129999999999882</v>
      </c>
      <c r="G316">
        <f>-(Historical_Simulation!D317-Historical_Simulation!D318)</f>
        <v>1.0200000000000102</v>
      </c>
      <c r="J316" s="23">
        <v>43668</v>
      </c>
      <c r="K316" s="24">
        <f t="shared" si="16"/>
        <v>-11.920153252650557</v>
      </c>
      <c r="L316" s="25"/>
      <c r="M316" s="25"/>
      <c r="N316" s="27"/>
      <c r="Q316" s="23">
        <v>43668</v>
      </c>
      <c r="R316" s="24">
        <f t="shared" si="17"/>
        <v>-8.5349264137510499</v>
      </c>
      <c r="S316" s="25"/>
      <c r="T316" s="25"/>
      <c r="U316" s="27"/>
      <c r="X316" s="47">
        <v>43668</v>
      </c>
      <c r="Y316" s="48">
        <f t="shared" si="18"/>
        <v>-16.860086355586056</v>
      </c>
      <c r="Z316" s="49"/>
      <c r="AA316" s="49"/>
      <c r="AB316" s="51"/>
      <c r="AE316" s="47">
        <v>43668</v>
      </c>
      <c r="AF316" s="48">
        <f t="shared" si="19"/>
        <v>-12.104236256658968</v>
      </c>
      <c r="AG316" s="49"/>
      <c r="AH316" s="49"/>
      <c r="AI316" s="51"/>
    </row>
    <row r="317" spans="1:35" x14ac:dyDescent="0.3">
      <c r="A317" s="20">
        <v>43663</v>
      </c>
      <c r="C317">
        <f>-(Historical_Simulation!B318-Historical_Simulation!B319)</f>
        <v>0.28750000000000142</v>
      </c>
      <c r="E317">
        <f>-(Historical_Simulation!C318-Historical_Simulation!C319)</f>
        <v>17.870000000000118</v>
      </c>
      <c r="G317">
        <f>-(Historical_Simulation!D318-Historical_Simulation!D319)</f>
        <v>2.039999999999992</v>
      </c>
      <c r="J317" s="23">
        <v>43665</v>
      </c>
      <c r="K317" s="24">
        <f t="shared" si="16"/>
        <v>7.5708561783764159</v>
      </c>
      <c r="L317" s="25"/>
      <c r="M317" s="25"/>
      <c r="N317" s="27"/>
      <c r="Q317" s="23">
        <v>43665</v>
      </c>
      <c r="R317" s="24">
        <f t="shared" si="17"/>
        <v>5.4309652621694182</v>
      </c>
      <c r="S317" s="25"/>
      <c r="T317" s="25"/>
      <c r="U317" s="27"/>
      <c r="X317" s="47">
        <v>43665</v>
      </c>
      <c r="Y317" s="48">
        <f t="shared" si="18"/>
        <v>10.026562962571262</v>
      </c>
      <c r="Z317" s="49"/>
      <c r="AA317" s="49"/>
      <c r="AB317" s="51"/>
      <c r="AE317" s="47">
        <v>43665</v>
      </c>
      <c r="AF317" s="48">
        <f t="shared" si="19"/>
        <v>7.2222659818479737</v>
      </c>
      <c r="AG317" s="49"/>
      <c r="AH317" s="49"/>
      <c r="AI317" s="51"/>
    </row>
    <row r="318" spans="1:35" x14ac:dyDescent="0.3">
      <c r="A318" s="20">
        <v>43662</v>
      </c>
      <c r="C318">
        <f>-(Historical_Simulation!B319-Historical_Simulation!B320)</f>
        <v>0.17750000000000199</v>
      </c>
      <c r="E318">
        <f>-(Historical_Simulation!C319-Historical_Simulation!C320)</f>
        <v>11.089999999999918</v>
      </c>
      <c r="G318">
        <f>-(Historical_Simulation!D319-Historical_Simulation!D320)</f>
        <v>6.9999999999993179E-2</v>
      </c>
      <c r="J318" s="23">
        <v>43664</v>
      </c>
      <c r="K318" s="24">
        <f t="shared" si="16"/>
        <v>7.3559280272324656</v>
      </c>
      <c r="L318" s="25"/>
      <c r="M318" s="25"/>
      <c r="N318" s="27"/>
      <c r="Q318" s="23">
        <v>43664</v>
      </c>
      <c r="R318" s="24">
        <f t="shared" si="17"/>
        <v>4.8605904137447444</v>
      </c>
      <c r="S318" s="25"/>
      <c r="T318" s="25"/>
      <c r="U318" s="27"/>
      <c r="X318" s="47">
        <v>43664</v>
      </c>
      <c r="Y318" s="48">
        <f t="shared" si="18"/>
        <v>8.3733944524706754</v>
      </c>
      <c r="Z318" s="49"/>
      <c r="AA318" s="49"/>
      <c r="AB318" s="51"/>
      <c r="AE318" s="47">
        <v>43664</v>
      </c>
      <c r="AF318" s="48">
        <f t="shared" si="19"/>
        <v>5.6624326208788371</v>
      </c>
      <c r="AG318" s="49"/>
      <c r="AH318" s="49"/>
      <c r="AI318" s="51"/>
    </row>
    <row r="319" spans="1:35" x14ac:dyDescent="0.3">
      <c r="A319" s="20">
        <v>43661</v>
      </c>
      <c r="C319">
        <f>-(Historical_Simulation!B320-Historical_Simulation!B321)</f>
        <v>-0.47749999999999915</v>
      </c>
      <c r="E319">
        <f>-(Historical_Simulation!C320-Historical_Simulation!C321)</f>
        <v>-9.9900000000000091</v>
      </c>
      <c r="G319">
        <f>-(Historical_Simulation!D320-Historical_Simulation!D321)</f>
        <v>0.96000000000000796</v>
      </c>
      <c r="J319" s="23">
        <v>43663</v>
      </c>
      <c r="K319" s="24">
        <f t="shared" si="16"/>
        <v>9.7717426169516841</v>
      </c>
      <c r="L319" s="25"/>
      <c r="M319" s="25"/>
      <c r="N319" s="27"/>
      <c r="Q319" s="23">
        <v>43663</v>
      </c>
      <c r="R319" s="24">
        <f t="shared" si="17"/>
        <v>6.7886201563602508</v>
      </c>
      <c r="S319" s="25"/>
      <c r="T319" s="25"/>
      <c r="U319" s="27"/>
      <c r="X319" s="47">
        <v>43663</v>
      </c>
      <c r="Y319" s="48">
        <f t="shared" si="18"/>
        <v>10.106869344572564</v>
      </c>
      <c r="Z319" s="49"/>
      <c r="AA319" s="49"/>
      <c r="AB319" s="51"/>
      <c r="AE319" s="47">
        <v>43663</v>
      </c>
      <c r="AF319" s="48">
        <f t="shared" si="19"/>
        <v>7.132872092701116</v>
      </c>
      <c r="AG319" s="49"/>
      <c r="AH319" s="49"/>
      <c r="AI319" s="51"/>
    </row>
    <row r="320" spans="1:35" x14ac:dyDescent="0.3">
      <c r="A320" s="20">
        <v>43658</v>
      </c>
      <c r="C320">
        <f>-(Historical_Simulation!B321-Historical_Simulation!B322)</f>
        <v>-0.38750000000000284</v>
      </c>
      <c r="E320">
        <f>-(Historical_Simulation!C321-Historical_Simulation!C322)</f>
        <v>-9.9300000000000637</v>
      </c>
      <c r="G320">
        <f>-(Historical_Simulation!D321-Historical_Simulation!D322)</f>
        <v>-3.6400000000000148</v>
      </c>
      <c r="J320" s="23">
        <v>43662</v>
      </c>
      <c r="K320" s="24">
        <f t="shared" si="16"/>
        <v>6.0638527688032875</v>
      </c>
      <c r="L320" s="25"/>
      <c r="M320" s="25"/>
      <c r="N320" s="27"/>
      <c r="Q320" s="23">
        <v>43662</v>
      </c>
      <c r="R320" s="24">
        <f t="shared" si="17"/>
        <v>4.2123911534924066</v>
      </c>
      <c r="S320" s="25"/>
      <c r="T320" s="25"/>
      <c r="U320" s="27"/>
      <c r="X320" s="47">
        <v>43662</v>
      </c>
      <c r="Y320" s="48">
        <f t="shared" si="18"/>
        <v>-0.42482936065143462</v>
      </c>
      <c r="Z320" s="49"/>
      <c r="AA320" s="49"/>
      <c r="AB320" s="51"/>
      <c r="AE320" s="47">
        <v>43662</v>
      </c>
      <c r="AF320" s="48">
        <f t="shared" si="19"/>
        <v>-0.24240156916715017</v>
      </c>
      <c r="AG320" s="49"/>
      <c r="AH320" s="49"/>
      <c r="AI320" s="51"/>
    </row>
    <row r="321" spans="1:35" x14ac:dyDescent="0.3">
      <c r="A321" s="20">
        <v>43657</v>
      </c>
      <c r="C321">
        <f>-(Historical_Simulation!B322-Historical_Simulation!B323)</f>
        <v>0.36999999999999744</v>
      </c>
      <c r="E321">
        <f>-(Historical_Simulation!C322-Historical_Simulation!C323)</f>
        <v>16.340000000000146</v>
      </c>
      <c r="G321">
        <f>-(Historical_Simulation!D322-Historical_Simulation!D323)</f>
        <v>1.5</v>
      </c>
      <c r="J321" s="23">
        <v>43661</v>
      </c>
      <c r="K321" s="24">
        <f t="shared" si="16"/>
        <v>-5.6086734903314301</v>
      </c>
      <c r="L321" s="25"/>
      <c r="M321" s="25"/>
      <c r="N321" s="27"/>
      <c r="Q321" s="23">
        <v>43661</v>
      </c>
      <c r="R321" s="24">
        <f t="shared" si="17"/>
        <v>-3.9947418875231913</v>
      </c>
      <c r="S321" s="25"/>
      <c r="T321" s="25"/>
      <c r="U321" s="27"/>
      <c r="X321" s="47">
        <v>43661</v>
      </c>
      <c r="Y321" s="48">
        <f t="shared" si="18"/>
        <v>7.5769042412685907</v>
      </c>
      <c r="Z321" s="49"/>
      <c r="AA321" s="49"/>
      <c r="AB321" s="51"/>
      <c r="AE321" s="47">
        <v>43661</v>
      </c>
      <c r="AF321" s="48">
        <f t="shared" si="19"/>
        <v>5.1374628435138119</v>
      </c>
      <c r="AG321" s="49"/>
      <c r="AH321" s="49"/>
      <c r="AI321" s="51"/>
    </row>
    <row r="322" spans="1:35" x14ac:dyDescent="0.3">
      <c r="A322" s="20">
        <v>43656</v>
      </c>
      <c r="C322">
        <f>-(Historical_Simulation!B323-Historical_Simulation!B324)</f>
        <v>-0.49749999999999517</v>
      </c>
      <c r="E322">
        <f>-(Historical_Simulation!C323-Historical_Simulation!C324)</f>
        <v>-29.110000000000127</v>
      </c>
      <c r="G322">
        <f>-(Historical_Simulation!D323-Historical_Simulation!D324)</f>
        <v>-3.5199999999999818</v>
      </c>
      <c r="J322" s="23">
        <v>43658</v>
      </c>
      <c r="K322" s="24">
        <f t="shared" si="16"/>
        <v>-5.5348559034415725</v>
      </c>
      <c r="L322" s="25"/>
      <c r="M322" s="25"/>
      <c r="N322" s="27"/>
      <c r="Q322" s="23">
        <v>43658</v>
      </c>
      <c r="R322" s="24">
        <f t="shared" si="17"/>
        <v>-3.9158343717939834</v>
      </c>
      <c r="S322" s="25"/>
      <c r="T322" s="25"/>
      <c r="U322" s="27"/>
      <c r="X322" s="47">
        <v>43658</v>
      </c>
      <c r="Y322" s="48">
        <f t="shared" si="18"/>
        <v>-18.611465074592044</v>
      </c>
      <c r="Z322" s="49"/>
      <c r="AA322" s="49"/>
      <c r="AB322" s="51"/>
      <c r="AE322" s="47">
        <v>43658</v>
      </c>
      <c r="AF322" s="48">
        <f t="shared" si="19"/>
        <v>-13.091963755498192</v>
      </c>
      <c r="AG322" s="49"/>
      <c r="AH322" s="49"/>
      <c r="AI322" s="51"/>
    </row>
    <row r="323" spans="1:35" x14ac:dyDescent="0.3">
      <c r="A323" s="20">
        <v>43655</v>
      </c>
      <c r="C323">
        <f>-(Historical_Simulation!B324-Historical_Simulation!B325)</f>
        <v>-0.30499999999999972</v>
      </c>
      <c r="E323">
        <f>-(Historical_Simulation!C324-Historical_Simulation!C325)</f>
        <v>-35.980000000000018</v>
      </c>
      <c r="G323">
        <f>-(Historical_Simulation!D324-Historical_Simulation!D325)</f>
        <v>-3.4500000000000171</v>
      </c>
      <c r="J323" s="23">
        <v>43657</v>
      </c>
      <c r="K323" s="24">
        <f t="shared" si="16"/>
        <v>8.9844379122831644</v>
      </c>
      <c r="L323" s="25"/>
      <c r="M323" s="25"/>
      <c r="N323" s="27"/>
      <c r="Q323" s="23">
        <v>43657</v>
      </c>
      <c r="R323" s="24">
        <f t="shared" si="17"/>
        <v>6.2748991268063934</v>
      </c>
      <c r="S323" s="25"/>
      <c r="T323" s="25"/>
      <c r="U323" s="27"/>
      <c r="X323" s="47">
        <v>43657</v>
      </c>
      <c r="Y323" s="48">
        <f t="shared" si="18"/>
        <v>6.7014621166145929</v>
      </c>
      <c r="Z323" s="49"/>
      <c r="AA323" s="49"/>
      <c r="AB323" s="51"/>
      <c r="AE323" s="47">
        <v>43657</v>
      </c>
      <c r="AF323" s="48">
        <f t="shared" si="19"/>
        <v>4.7838490526404076</v>
      </c>
      <c r="AG323" s="49"/>
      <c r="AH323" s="49"/>
      <c r="AI323" s="51"/>
    </row>
    <row r="324" spans="1:35" x14ac:dyDescent="0.3">
      <c r="A324" s="20">
        <v>43654</v>
      </c>
      <c r="C324">
        <f>-(Historical_Simulation!B325-Historical_Simulation!B326)</f>
        <v>1.0524999999999949</v>
      </c>
      <c r="E324">
        <f>-(Historical_Simulation!C325-Historical_Simulation!C326)</f>
        <v>-9.4099999999998545</v>
      </c>
      <c r="G324">
        <f>-(Historical_Simulation!D325-Historical_Simulation!D326)</f>
        <v>0.64000000000001478</v>
      </c>
      <c r="J324" s="23">
        <v>43656</v>
      </c>
      <c r="K324" s="24">
        <f t="shared" si="16"/>
        <v>-15.931476503769623</v>
      </c>
      <c r="L324" s="25"/>
      <c r="M324" s="25"/>
      <c r="N324" s="27"/>
      <c r="Q324" s="23">
        <v>43656</v>
      </c>
      <c r="R324" s="24">
        <f t="shared" si="17"/>
        <v>-11.076956873246534</v>
      </c>
      <c r="S324" s="25"/>
      <c r="T324" s="25"/>
      <c r="U324" s="27"/>
      <c r="X324" s="47">
        <v>43656</v>
      </c>
      <c r="Y324" s="48">
        <f t="shared" si="18"/>
        <v>-17.432760395988925</v>
      </c>
      <c r="Z324" s="49"/>
      <c r="AA324" s="49"/>
      <c r="AB324" s="51"/>
      <c r="AE324" s="47">
        <v>43656</v>
      </c>
      <c r="AF324" s="48">
        <f t="shared" si="19"/>
        <v>-12.30356970053588</v>
      </c>
      <c r="AG324" s="49"/>
      <c r="AH324" s="49"/>
      <c r="AI324" s="51"/>
    </row>
    <row r="325" spans="1:35" x14ac:dyDescent="0.3">
      <c r="A325" s="20">
        <v>43651</v>
      </c>
      <c r="C325">
        <f>-(Historical_Simulation!B326-Historical_Simulation!B327)</f>
        <v>4.5000000000001705E-2</v>
      </c>
      <c r="E325">
        <f>-(Historical_Simulation!C326-Historical_Simulation!C327)</f>
        <v>-3.9100000000000819</v>
      </c>
      <c r="G325">
        <f>-(Historical_Simulation!D326-Historical_Simulation!D327)</f>
        <v>0.79999999999998295</v>
      </c>
      <c r="J325" s="23">
        <v>43655</v>
      </c>
      <c r="K325" s="24">
        <f t="shared" si="16"/>
        <v>-19.548586256775156</v>
      </c>
      <c r="L325" s="25"/>
      <c r="M325" s="25"/>
      <c r="N325" s="27"/>
      <c r="Q325" s="23">
        <v>43655</v>
      </c>
      <c r="R325" s="24">
        <f t="shared" si="17"/>
        <v>-13.495812545323503</v>
      </c>
      <c r="S325" s="25"/>
      <c r="T325" s="25"/>
      <c r="U325" s="27"/>
      <c r="X325" s="47">
        <v>43655</v>
      </c>
      <c r="Y325" s="48">
        <f t="shared" si="18"/>
        <v>-17.926635713940684</v>
      </c>
      <c r="Z325" s="49"/>
      <c r="AA325" s="49"/>
      <c r="AB325" s="51"/>
      <c r="AE325" s="47">
        <v>43655</v>
      </c>
      <c r="AF325" s="48">
        <f t="shared" si="19"/>
        <v>-12.589562186331092</v>
      </c>
      <c r="AG325" s="49"/>
      <c r="AH325" s="49"/>
      <c r="AI325" s="51"/>
    </row>
    <row r="326" spans="1:35" x14ac:dyDescent="0.3">
      <c r="A326" s="20">
        <v>43650</v>
      </c>
      <c r="C326">
        <f>-(Historical_Simulation!B327-Historical_Simulation!B328)</f>
        <v>0</v>
      </c>
      <c r="E326">
        <f>-(Historical_Simulation!C327-Historical_Simulation!C328)</f>
        <v>0</v>
      </c>
      <c r="G326">
        <f>-(Historical_Simulation!D327-Historical_Simulation!D328)</f>
        <v>0</v>
      </c>
      <c r="J326" s="23">
        <v>43654</v>
      </c>
      <c r="K326" s="24">
        <f t="shared" ref="K326:K389" si="20">C324*$K$3+E324*(1-$K$3)</f>
        <v>-4.591116572151571</v>
      </c>
      <c r="L326" s="25"/>
      <c r="M326" s="25"/>
      <c r="N326" s="27"/>
      <c r="Q326" s="23">
        <v>43654</v>
      </c>
      <c r="R326" s="24">
        <f t="shared" si="17"/>
        <v>-2.8160038894308412</v>
      </c>
      <c r="S326" s="25"/>
      <c r="T326" s="25"/>
      <c r="U326" s="27"/>
      <c r="X326" s="47">
        <v>43654</v>
      </c>
      <c r="Y326" s="48">
        <f t="shared" si="18"/>
        <v>-1.2587638257552172</v>
      </c>
      <c r="Z326" s="49"/>
      <c r="AA326" s="49"/>
      <c r="AB326" s="51"/>
      <c r="AE326" s="47">
        <v>43654</v>
      </c>
      <c r="AF326" s="48">
        <f t="shared" si="19"/>
        <v>-0.55875020726909996</v>
      </c>
      <c r="AG326" s="49"/>
      <c r="AH326" s="49"/>
      <c r="AI326" s="51"/>
    </row>
    <row r="327" spans="1:35" x14ac:dyDescent="0.3">
      <c r="A327" s="20">
        <v>43649</v>
      </c>
      <c r="C327">
        <f>-(Historical_Simulation!B328-Historical_Simulation!B329)</f>
        <v>-0.42000000000000171</v>
      </c>
      <c r="E327">
        <f>-(Historical_Simulation!C328-Historical_Simulation!C329)</f>
        <v>-4.6900000000000546</v>
      </c>
      <c r="G327">
        <f>-(Historical_Simulation!D328-Historical_Simulation!D329)</f>
        <v>-2.1999999999999886</v>
      </c>
      <c r="J327" s="23">
        <v>43651</v>
      </c>
      <c r="K327" s="24">
        <f t="shared" si="20"/>
        <v>-2.0883814616831748</v>
      </c>
      <c r="L327" s="25"/>
      <c r="M327" s="25"/>
      <c r="N327" s="27"/>
      <c r="Q327" s="23">
        <v>43651</v>
      </c>
      <c r="R327" s="24">
        <f t="shared" ref="R327:R390" si="21">C325*$R$3+E325*(1-$R$3)</f>
        <v>-1.4173591763631523</v>
      </c>
      <c r="S327" s="25"/>
      <c r="T327" s="25"/>
      <c r="U327" s="27"/>
      <c r="X327" s="47">
        <v>43651</v>
      </c>
      <c r="Y327" s="48">
        <f t="shared" ref="Y327:Y390" si="22">C325*$Y$3+G325*(1-$Y$3)</f>
        <v>4.2753131841096392</v>
      </c>
      <c r="Z327" s="49"/>
      <c r="AA327" s="49"/>
      <c r="AB327" s="51"/>
      <c r="AE327" s="47">
        <v>43651</v>
      </c>
      <c r="AF327" s="48">
        <f t="shared" ref="AF327:AF390" si="23">C325*$AF$3+G325*(1-$AF$3)</f>
        <v>2.9940761369410804</v>
      </c>
      <c r="AG327" s="49"/>
      <c r="AH327" s="49"/>
      <c r="AI327" s="51"/>
    </row>
    <row r="328" spans="1:35" x14ac:dyDescent="0.3">
      <c r="A328" s="20">
        <v>43648</v>
      </c>
      <c r="C328">
        <f>-(Historical_Simulation!B329-Historical_Simulation!B330)</f>
        <v>-0.2949999999999946</v>
      </c>
      <c r="E328">
        <f>-(Historical_Simulation!C329-Historical_Simulation!C330)</f>
        <v>-12.119999999999891</v>
      </c>
      <c r="G328">
        <f>-(Historical_Simulation!D329-Historical_Simulation!D330)</f>
        <v>-2</v>
      </c>
      <c r="J328" s="23">
        <v>43650</v>
      </c>
      <c r="K328" s="24">
        <f t="shared" si="20"/>
        <v>0</v>
      </c>
      <c r="L328" s="25"/>
      <c r="M328" s="25"/>
      <c r="N328" s="27"/>
      <c r="Q328" s="23">
        <v>43650</v>
      </c>
      <c r="R328" s="24">
        <f t="shared" si="21"/>
        <v>0</v>
      </c>
      <c r="S328" s="25"/>
      <c r="T328" s="25"/>
      <c r="U328" s="27"/>
      <c r="X328" s="47">
        <v>43650</v>
      </c>
      <c r="Y328" s="48">
        <f t="shared" si="22"/>
        <v>0</v>
      </c>
      <c r="Z328" s="49"/>
      <c r="AA328" s="49"/>
      <c r="AB328" s="51"/>
      <c r="AE328" s="47">
        <v>43650</v>
      </c>
      <c r="AF328" s="48">
        <f t="shared" si="23"/>
        <v>0</v>
      </c>
      <c r="AG328" s="49"/>
      <c r="AH328" s="49"/>
      <c r="AI328" s="51"/>
    </row>
    <row r="329" spans="1:35" x14ac:dyDescent="0.3">
      <c r="A329" s="20">
        <v>43647</v>
      </c>
      <c r="C329">
        <f>-(Historical_Simulation!B330-Historical_Simulation!B331)</f>
        <v>-0.90750000000000597</v>
      </c>
      <c r="E329">
        <f>-(Historical_Simulation!C330-Historical_Simulation!C331)</f>
        <v>-28.559999999999945</v>
      </c>
      <c r="G329">
        <f>-(Historical_Simulation!D330-Historical_Simulation!D331)</f>
        <v>0</v>
      </c>
      <c r="J329" s="23">
        <v>43649</v>
      </c>
      <c r="K329" s="24">
        <f t="shared" si="20"/>
        <v>-2.72329679933934</v>
      </c>
      <c r="L329" s="25"/>
      <c r="M329" s="25"/>
      <c r="N329" s="27"/>
      <c r="Q329" s="23">
        <v>43649</v>
      </c>
      <c r="R329" s="24">
        <f t="shared" si="21"/>
        <v>-1.998830261206225</v>
      </c>
      <c r="S329" s="25"/>
      <c r="T329" s="25"/>
      <c r="U329" s="27"/>
      <c r="X329" s="47">
        <v>43649</v>
      </c>
      <c r="Y329" s="48">
        <f t="shared" si="22"/>
        <v>-10.393453599622898</v>
      </c>
      <c r="Z329" s="49"/>
      <c r="AA329" s="49"/>
      <c r="AB329" s="51"/>
      <c r="AE329" s="47">
        <v>43649</v>
      </c>
      <c r="AF329" s="48">
        <f t="shared" si="23"/>
        <v>-7.3727887731857136</v>
      </c>
      <c r="AG329" s="49"/>
      <c r="AH329" s="49"/>
      <c r="AI329" s="51"/>
    </row>
    <row r="330" spans="1:35" x14ac:dyDescent="0.3">
      <c r="A330" s="20">
        <v>43644</v>
      </c>
      <c r="C330">
        <f>-(Historical_Simulation!B331-Historical_Simulation!B332)</f>
        <v>0.4550000000000054</v>
      </c>
      <c r="E330">
        <f>-(Historical_Simulation!C331-Historical_Simulation!C332)</f>
        <v>10.649999999999864</v>
      </c>
      <c r="G330">
        <f>-(Historical_Simulation!D331-Historical_Simulation!D332)</f>
        <v>-3.5</v>
      </c>
      <c r="J330" s="23">
        <v>43648</v>
      </c>
      <c r="K330" s="24">
        <f t="shared" si="20"/>
        <v>-6.6735678342358504</v>
      </c>
      <c r="L330" s="25"/>
      <c r="M330" s="25"/>
      <c r="N330" s="27"/>
      <c r="Q330" s="23">
        <v>43648</v>
      </c>
      <c r="R330" s="24">
        <f t="shared" si="21"/>
        <v>-4.6672875500616335</v>
      </c>
      <c r="S330" s="25"/>
      <c r="T330" s="25"/>
      <c r="U330" s="27"/>
      <c r="X330" s="47">
        <v>43648</v>
      </c>
      <c r="Y330" s="48">
        <f t="shared" si="22"/>
        <v>-9.8482238131220274</v>
      </c>
      <c r="Z330" s="49"/>
      <c r="AA330" s="49"/>
      <c r="AB330" s="51"/>
      <c r="AE330" s="47">
        <v>43648</v>
      </c>
      <c r="AF330" s="48">
        <f t="shared" si="23"/>
        <v>-6.9548341900459292</v>
      </c>
      <c r="AG330" s="49"/>
      <c r="AH330" s="49"/>
      <c r="AI330" s="51"/>
    </row>
    <row r="331" spans="1:35" x14ac:dyDescent="0.3">
      <c r="A331" s="20">
        <v>43643</v>
      </c>
      <c r="C331">
        <f>-(Historical_Simulation!B332-Historical_Simulation!B333)</f>
        <v>1.5000000000000568E-2</v>
      </c>
      <c r="E331">
        <f>-(Historical_Simulation!C332-Historical_Simulation!C333)</f>
        <v>-6.4500000000000455</v>
      </c>
      <c r="G331">
        <f>-(Historical_Simulation!D332-Historical_Simulation!D333)</f>
        <v>-1.8400000000000034</v>
      </c>
      <c r="J331" s="23">
        <v>43647</v>
      </c>
      <c r="K331" s="24">
        <f t="shared" si="20"/>
        <v>-15.823639284245937</v>
      </c>
      <c r="L331" s="25"/>
      <c r="M331" s="25"/>
      <c r="N331" s="27"/>
      <c r="Q331" s="23">
        <v>43647</v>
      </c>
      <c r="R331" s="24">
        <f t="shared" si="21"/>
        <v>-11.131997376581847</v>
      </c>
      <c r="S331" s="25"/>
      <c r="T331" s="25"/>
      <c r="U331" s="27"/>
      <c r="X331" s="47">
        <v>43647</v>
      </c>
      <c r="Y331" s="48">
        <f t="shared" si="22"/>
        <v>4.1772804166617385</v>
      </c>
      <c r="Z331" s="49"/>
      <c r="AA331" s="49"/>
      <c r="AB331" s="51"/>
      <c r="AE331" s="47">
        <v>43647</v>
      </c>
      <c r="AF331" s="48">
        <f t="shared" si="23"/>
        <v>2.6372504559921968</v>
      </c>
      <c r="AG331" s="49"/>
      <c r="AH331" s="49"/>
      <c r="AI331" s="51"/>
    </row>
    <row r="332" spans="1:35" x14ac:dyDescent="0.3">
      <c r="A332" s="20">
        <v>43642</v>
      </c>
      <c r="C332">
        <f>-(Historical_Simulation!B333-Historical_Simulation!B334)</f>
        <v>-1.0575000000000045</v>
      </c>
      <c r="E332">
        <f>-(Historical_Simulation!C333-Historical_Simulation!C334)</f>
        <v>-19.559999999999945</v>
      </c>
      <c r="G332">
        <f>-(Historical_Simulation!D333-Historical_Simulation!D334)</f>
        <v>1.1800000000000068</v>
      </c>
      <c r="J332" s="23">
        <v>43644</v>
      </c>
      <c r="K332" s="24">
        <f t="shared" si="20"/>
        <v>5.9543233885864071</v>
      </c>
      <c r="L332" s="25"/>
      <c r="M332" s="25"/>
      <c r="N332" s="27"/>
      <c r="Q332" s="23">
        <v>43644</v>
      </c>
      <c r="R332" s="24">
        <f t="shared" si="21"/>
        <v>4.2245959046831496</v>
      </c>
      <c r="S332" s="25"/>
      <c r="T332" s="25"/>
      <c r="U332" s="27"/>
      <c r="X332" s="47">
        <v>43644</v>
      </c>
      <c r="Y332" s="48">
        <f t="shared" si="22"/>
        <v>-21.705117408151061</v>
      </c>
      <c r="Z332" s="49"/>
      <c r="AA332" s="49"/>
      <c r="AB332" s="51"/>
      <c r="AE332" s="47">
        <v>43644</v>
      </c>
      <c r="AF332" s="48">
        <f t="shared" si="23"/>
        <v>-14.993471684241417</v>
      </c>
      <c r="AG332" s="49"/>
      <c r="AH332" s="49"/>
      <c r="AI332" s="51"/>
    </row>
    <row r="333" spans="1:35" x14ac:dyDescent="0.3">
      <c r="A333" s="20">
        <v>43641</v>
      </c>
      <c r="C333">
        <f>-(Historical_Simulation!B334-Historical_Simulation!B335)</f>
        <v>0.75250000000000483</v>
      </c>
      <c r="E333">
        <f>-(Historical_Simulation!C334-Historical_Simulation!C335)</f>
        <v>35.630000000000109</v>
      </c>
      <c r="G333">
        <f>-(Historical_Simulation!D334-Historical_Simulation!D335)</f>
        <v>3.7599999999999909</v>
      </c>
      <c r="J333" s="23">
        <v>43643</v>
      </c>
      <c r="K333" s="24">
        <f t="shared" si="20"/>
        <v>-3.4723100252292136</v>
      </c>
      <c r="L333" s="25"/>
      <c r="M333" s="25"/>
      <c r="N333" s="27"/>
      <c r="Q333" s="23">
        <v>43643</v>
      </c>
      <c r="R333" s="24">
        <f t="shared" si="21"/>
        <v>-2.3754303603508613</v>
      </c>
      <c r="S333" s="25"/>
      <c r="T333" s="25"/>
      <c r="U333" s="27"/>
      <c r="X333" s="47">
        <v>43643</v>
      </c>
      <c r="Y333" s="48">
        <f t="shared" si="22"/>
        <v>-10.378683386123958</v>
      </c>
      <c r="Z333" s="49"/>
      <c r="AA333" s="49"/>
      <c r="AB333" s="51"/>
      <c r="AE333" s="47">
        <v>43643</v>
      </c>
      <c r="AF333" s="48">
        <f t="shared" si="23"/>
        <v>-7.2307433563256271</v>
      </c>
      <c r="AG333" s="49"/>
      <c r="AH333" s="49"/>
      <c r="AI333" s="51"/>
    </row>
    <row r="334" spans="1:35" x14ac:dyDescent="0.3">
      <c r="A334" s="20">
        <v>43640</v>
      </c>
      <c r="C334">
        <f>-(Historical_Simulation!B335-Historical_Simulation!B336)</f>
        <v>4.9999999999997158E-2</v>
      </c>
      <c r="E334">
        <f>-(Historical_Simulation!C335-Historical_Simulation!C336)</f>
        <v>-2.6000000000001364</v>
      </c>
      <c r="G334">
        <f>-(Historical_Simulation!D335-Historical_Simulation!D336)</f>
        <v>-1.460000000000008</v>
      </c>
      <c r="J334" s="23">
        <v>43642</v>
      </c>
      <c r="K334" s="24">
        <f t="shared" si="20"/>
        <v>-11.038003285661702</v>
      </c>
      <c r="L334" s="25"/>
      <c r="M334" s="25"/>
      <c r="N334" s="27"/>
      <c r="Q334" s="23">
        <v>43642</v>
      </c>
      <c r="R334" s="24">
        <f t="shared" si="21"/>
        <v>-7.8987896739971228</v>
      </c>
      <c r="S334" s="25"/>
      <c r="T334" s="25"/>
      <c r="U334" s="27"/>
      <c r="X334" s="47">
        <v>43642</v>
      </c>
      <c r="Y334" s="48">
        <f t="shared" si="22"/>
        <v>11.479355297278932</v>
      </c>
      <c r="Z334" s="49"/>
      <c r="AA334" s="49"/>
      <c r="AB334" s="51"/>
      <c r="AE334" s="47">
        <v>43642</v>
      </c>
      <c r="AF334" s="48">
        <f t="shared" si="23"/>
        <v>7.6823117303388848</v>
      </c>
      <c r="AG334" s="49"/>
      <c r="AH334" s="49"/>
      <c r="AI334" s="51"/>
    </row>
    <row r="335" spans="1:35" x14ac:dyDescent="0.3">
      <c r="A335" s="20">
        <v>43637</v>
      </c>
      <c r="C335">
        <f>-(Historical_Simulation!B336-Historical_Simulation!B337)</f>
        <v>0.17000000000000171</v>
      </c>
      <c r="E335">
        <f>-(Historical_Simulation!C336-Historical_Simulation!C337)</f>
        <v>6.8900000000001</v>
      </c>
      <c r="G335">
        <f>-(Historical_Simulation!D336-Historical_Simulation!D337)</f>
        <v>-1.6099999999999852</v>
      </c>
      <c r="J335" s="23">
        <v>43641</v>
      </c>
      <c r="K335" s="24">
        <f t="shared" si="20"/>
        <v>19.565903774931392</v>
      </c>
      <c r="L335" s="25"/>
      <c r="M335" s="25"/>
      <c r="N335" s="27"/>
      <c r="Q335" s="23">
        <v>43641</v>
      </c>
      <c r="R335" s="24">
        <f t="shared" si="21"/>
        <v>13.648437338458914</v>
      </c>
      <c r="S335" s="25"/>
      <c r="T335" s="25"/>
      <c r="U335" s="27"/>
      <c r="X335" s="47">
        <v>43641</v>
      </c>
      <c r="Y335" s="48">
        <f t="shared" si="22"/>
        <v>17.603714438688737</v>
      </c>
      <c r="Z335" s="49"/>
      <c r="AA335" s="49"/>
      <c r="AB335" s="51"/>
      <c r="AE335" s="47">
        <v>43641</v>
      </c>
      <c r="AF335" s="48">
        <f t="shared" si="23"/>
        <v>12.499978783907917</v>
      </c>
      <c r="AG335" s="49"/>
      <c r="AH335" s="49"/>
      <c r="AI335" s="51"/>
    </row>
    <row r="336" spans="1:35" x14ac:dyDescent="0.3">
      <c r="A336" s="20">
        <v>43636</v>
      </c>
      <c r="C336">
        <f>-(Historical_Simulation!B337-Historical_Simulation!B338)</f>
        <v>-0.39750000000000085</v>
      </c>
      <c r="E336">
        <f>-(Historical_Simulation!C337-Historical_Simulation!C338)</f>
        <v>-9.4000000000000909</v>
      </c>
      <c r="G336">
        <f>-(Historical_Simulation!D337-Historical_Simulation!D338)</f>
        <v>-2.0500000000000114</v>
      </c>
      <c r="J336" s="23">
        <v>43640</v>
      </c>
      <c r="K336" s="24">
        <f t="shared" si="20"/>
        <v>-1.3794464913933233</v>
      </c>
      <c r="L336" s="25"/>
      <c r="M336" s="25"/>
      <c r="N336" s="27"/>
      <c r="Q336" s="23">
        <v>43640</v>
      </c>
      <c r="R336" s="24">
        <f t="shared" si="21"/>
        <v>-0.92983611058469873</v>
      </c>
      <c r="S336" s="25"/>
      <c r="T336" s="25"/>
      <c r="U336" s="27"/>
      <c r="X336" s="47">
        <v>43640</v>
      </c>
      <c r="Y336" s="48">
        <f t="shared" si="22"/>
        <v>-8.4106263682195159</v>
      </c>
      <c r="Z336" s="49"/>
      <c r="AA336" s="49"/>
      <c r="AB336" s="51"/>
      <c r="AE336" s="47">
        <v>43640</v>
      </c>
      <c r="AF336" s="48">
        <f t="shared" si="23"/>
        <v>-5.8481522738823264</v>
      </c>
      <c r="AG336" s="49"/>
      <c r="AH336" s="49"/>
      <c r="AI336" s="51"/>
    </row>
    <row r="337" spans="1:35" x14ac:dyDescent="0.3">
      <c r="A337" s="20">
        <v>43635</v>
      </c>
      <c r="C337">
        <f>-(Historical_Simulation!B338-Historical_Simulation!B339)</f>
        <v>0.14499999999999602</v>
      </c>
      <c r="E337">
        <f>-(Historical_Simulation!C338-Historical_Simulation!C339)</f>
        <v>-7.4200000000000728</v>
      </c>
      <c r="G337">
        <f>-(Historical_Simulation!D338-Historical_Simulation!D339)</f>
        <v>0.99000000000000909</v>
      </c>
      <c r="J337" s="23">
        <v>43637</v>
      </c>
      <c r="K337" s="24">
        <f t="shared" si="20"/>
        <v>3.7948605366651984</v>
      </c>
      <c r="L337" s="25"/>
      <c r="M337" s="25"/>
      <c r="N337" s="27"/>
      <c r="Q337" s="23">
        <v>43637</v>
      </c>
      <c r="R337" s="24">
        <f t="shared" si="21"/>
        <v>2.6547164766524243</v>
      </c>
      <c r="S337" s="25"/>
      <c r="T337" s="25"/>
      <c r="U337" s="27"/>
      <c r="X337" s="47">
        <v>43637</v>
      </c>
      <c r="Y337" s="48">
        <f t="shared" si="22"/>
        <v>-9.8034535996228946</v>
      </c>
      <c r="Z337" s="49"/>
      <c r="AA337" s="49"/>
      <c r="AB337" s="51"/>
      <c r="AE337" s="47">
        <v>43637</v>
      </c>
      <c r="AF337" s="48">
        <f t="shared" si="23"/>
        <v>-6.7827887731857102</v>
      </c>
      <c r="AG337" s="49"/>
      <c r="AH337" s="49"/>
      <c r="AI337" s="51"/>
    </row>
    <row r="338" spans="1:35" x14ac:dyDescent="0.3">
      <c r="A338" s="20">
        <v>43634</v>
      </c>
      <c r="C338">
        <f>-(Historical_Simulation!B339-Historical_Simulation!B340)</f>
        <v>-1.1400000000000006</v>
      </c>
      <c r="E338">
        <f>-(Historical_Simulation!C339-Historical_Simulation!C340)</f>
        <v>-15.339999999999918</v>
      </c>
      <c r="G338">
        <f>-(Historical_Simulation!D339-Historical_Simulation!D340)</f>
        <v>0.53999999999999204</v>
      </c>
      <c r="J338" s="23">
        <v>43636</v>
      </c>
      <c r="K338" s="24">
        <f t="shared" si="20"/>
        <v>-5.2535724674595663</v>
      </c>
      <c r="L338" s="25"/>
      <c r="M338" s="25"/>
      <c r="N338" s="27"/>
      <c r="Q338" s="23">
        <v>43636</v>
      </c>
      <c r="R338" s="24">
        <f t="shared" si="21"/>
        <v>-3.72616965492014</v>
      </c>
      <c r="S338" s="25"/>
      <c r="T338" s="25"/>
      <c r="U338" s="27"/>
      <c r="X338" s="47">
        <v>43636</v>
      </c>
      <c r="Y338" s="48">
        <f t="shared" si="22"/>
        <v>-9.6565629625713836</v>
      </c>
      <c r="Z338" s="49"/>
      <c r="AA338" s="49"/>
      <c r="AB338" s="51"/>
      <c r="AE338" s="47">
        <v>43636</v>
      </c>
      <c r="AF338" s="48">
        <f t="shared" si="23"/>
        <v>-6.8522659818480598</v>
      </c>
      <c r="AG338" s="49"/>
      <c r="AH338" s="49"/>
      <c r="AI338" s="51"/>
    </row>
    <row r="339" spans="1:35" x14ac:dyDescent="0.3">
      <c r="A339" s="20">
        <v>43633</v>
      </c>
      <c r="C339">
        <f>-(Historical_Simulation!B340-Historical_Simulation!B341)</f>
        <v>-0.28749999999999432</v>
      </c>
      <c r="E339">
        <f>-(Historical_Simulation!C340-Historical_Simulation!C341)</f>
        <v>-16.3599999999999</v>
      </c>
      <c r="G339">
        <f>-(Historical_Simulation!D340-Historical_Simulation!D341)</f>
        <v>-7.6799999999999784</v>
      </c>
      <c r="J339" s="23">
        <v>43635</v>
      </c>
      <c r="K339" s="24">
        <f t="shared" si="20"/>
        <v>-3.9356651726000127</v>
      </c>
      <c r="L339" s="25"/>
      <c r="M339" s="25"/>
      <c r="N339" s="27"/>
      <c r="Q339" s="23">
        <v>43635</v>
      </c>
      <c r="R339" s="24">
        <f t="shared" si="21"/>
        <v>-2.6521547836124255</v>
      </c>
      <c r="S339" s="25"/>
      <c r="T339" s="25"/>
      <c r="U339" s="27"/>
      <c r="X339" s="47">
        <v>43635</v>
      </c>
      <c r="Y339" s="48">
        <f t="shared" si="22"/>
        <v>4.879588927910973</v>
      </c>
      <c r="Z339" s="49"/>
      <c r="AA339" s="49"/>
      <c r="AB339" s="51"/>
      <c r="AE339" s="47">
        <v>43635</v>
      </c>
      <c r="AF339" s="48">
        <f t="shared" si="23"/>
        <v>3.4456216367090189</v>
      </c>
      <c r="AG339" s="49"/>
      <c r="AH339" s="49"/>
      <c r="AI339" s="51"/>
    </row>
    <row r="340" spans="1:35" x14ac:dyDescent="0.3">
      <c r="A340" s="20">
        <v>43630</v>
      </c>
      <c r="C340">
        <f>-(Historical_Simulation!B341-Historical_Simulation!B342)</f>
        <v>0.35249999999999915</v>
      </c>
      <c r="E340">
        <f>-(Historical_Simulation!C341-Historical_Simulation!C342)</f>
        <v>0.62999999999988177</v>
      </c>
      <c r="G340">
        <f>-(Historical_Simulation!D341-Historical_Simulation!D342)</f>
        <v>-3.8600000000000136</v>
      </c>
      <c r="J340" s="23">
        <v>43634</v>
      </c>
      <c r="K340" s="24">
        <f t="shared" si="20"/>
        <v>-8.7996755387864205</v>
      </c>
      <c r="L340" s="25"/>
      <c r="M340" s="25"/>
      <c r="N340" s="27"/>
      <c r="Q340" s="23">
        <v>43634</v>
      </c>
      <c r="R340" s="24">
        <f t="shared" si="21"/>
        <v>-6.3904425548309067</v>
      </c>
      <c r="S340" s="25"/>
      <c r="T340" s="25"/>
      <c r="U340" s="27"/>
      <c r="X340" s="47">
        <v>43634</v>
      </c>
      <c r="Y340" s="48">
        <f t="shared" si="22"/>
        <v>8.2731472176216379</v>
      </c>
      <c r="Z340" s="49"/>
      <c r="AA340" s="49"/>
      <c r="AB340" s="51"/>
      <c r="AE340" s="47">
        <v>43634</v>
      </c>
      <c r="AF340" s="48">
        <f t="shared" si="23"/>
        <v>5.4221826623326006</v>
      </c>
      <c r="AG340" s="49"/>
      <c r="AH340" s="49"/>
      <c r="AI340" s="51"/>
    </row>
    <row r="341" spans="1:35" x14ac:dyDescent="0.3">
      <c r="A341" s="20">
        <v>43629</v>
      </c>
      <c r="C341">
        <f>-(Historical_Simulation!B342-Historical_Simulation!B343)</f>
        <v>9.9999999999980105E-3</v>
      </c>
      <c r="E341">
        <f>-(Historical_Simulation!C342-Historical_Simulation!C343)</f>
        <v>-14.980000000000018</v>
      </c>
      <c r="G341">
        <f>-(Historical_Simulation!D342-Historical_Simulation!D343)</f>
        <v>-2.4300000000000068</v>
      </c>
      <c r="J341" s="23">
        <v>43633</v>
      </c>
      <c r="K341" s="24">
        <f t="shared" si="20"/>
        <v>-8.9572278237425795</v>
      </c>
      <c r="L341" s="25"/>
      <c r="M341" s="25"/>
      <c r="N341" s="27"/>
      <c r="Q341" s="23">
        <v>43633</v>
      </c>
      <c r="R341" s="24">
        <f t="shared" si="21"/>
        <v>-6.2302984480647634</v>
      </c>
      <c r="S341" s="25"/>
      <c r="T341" s="25"/>
      <c r="U341" s="27"/>
      <c r="X341" s="47">
        <v>43633</v>
      </c>
      <c r="Y341" s="48">
        <f t="shared" si="22"/>
        <v>-41.708149289445302</v>
      </c>
      <c r="Z341" s="49"/>
      <c r="AA341" s="49"/>
      <c r="AB341" s="51"/>
      <c r="AE341" s="47">
        <v>43633</v>
      </c>
      <c r="AF341" s="48">
        <f t="shared" si="23"/>
        <v>-29.163056744817769</v>
      </c>
      <c r="AG341" s="49"/>
      <c r="AH341" s="49"/>
      <c r="AI341" s="51"/>
    </row>
    <row r="342" spans="1:35" x14ac:dyDescent="0.3">
      <c r="A342" s="20">
        <v>43628</v>
      </c>
      <c r="C342">
        <f>-(Historical_Simulation!B343-Historical_Simulation!B344)</f>
        <v>0.15500000000000114</v>
      </c>
      <c r="E342">
        <f>-(Historical_Simulation!C343-Historical_Simulation!C344)</f>
        <v>8.3800000000001091</v>
      </c>
      <c r="G342">
        <f>-(Historical_Simulation!D343-Historical_Simulation!D344)</f>
        <v>3.0600000000000023</v>
      </c>
      <c r="J342" s="23">
        <v>43630</v>
      </c>
      <c r="K342" s="24">
        <f t="shared" si="20"/>
        <v>0.5021873212684741</v>
      </c>
      <c r="L342" s="25"/>
      <c r="M342" s="25"/>
      <c r="N342" s="27"/>
      <c r="Q342" s="23">
        <v>43630</v>
      </c>
      <c r="R342" s="24">
        <f t="shared" si="21"/>
        <v>0.45510547950457436</v>
      </c>
      <c r="S342" s="25"/>
      <c r="T342" s="25"/>
      <c r="U342" s="27"/>
      <c r="X342" s="47">
        <v>43630</v>
      </c>
      <c r="Y342" s="48">
        <f t="shared" si="22"/>
        <v>-23.250406341804432</v>
      </c>
      <c r="Z342" s="49"/>
      <c r="AA342" s="49"/>
      <c r="AB342" s="51"/>
      <c r="AE342" s="47">
        <v>43630</v>
      </c>
      <c r="AF342" s="48">
        <f t="shared" si="23"/>
        <v>-16.101782419688266</v>
      </c>
      <c r="AG342" s="49"/>
      <c r="AH342" s="49"/>
      <c r="AI342" s="51"/>
    </row>
    <row r="343" spans="1:35" x14ac:dyDescent="0.3">
      <c r="A343" s="20">
        <v>43627</v>
      </c>
      <c r="C343">
        <f>-(Historical_Simulation!B344-Historical_Simulation!B345)</f>
        <v>-0.55749999999999744</v>
      </c>
      <c r="E343">
        <f>-(Historical_Simulation!C344-Historical_Simulation!C345)</f>
        <v>-3.0699999999999363</v>
      </c>
      <c r="G343">
        <f>-(Historical_Simulation!D344-Historical_Simulation!D345)</f>
        <v>-3.2800000000000011</v>
      </c>
      <c r="J343" s="23">
        <v>43629</v>
      </c>
      <c r="K343" s="24">
        <f t="shared" si="20"/>
        <v>-8.075812417352763</v>
      </c>
      <c r="L343" s="25"/>
      <c r="M343" s="25"/>
      <c r="N343" s="27"/>
      <c r="Q343" s="23">
        <v>43629</v>
      </c>
      <c r="R343" s="24">
        <f t="shared" si="21"/>
        <v>-5.5325446406278758</v>
      </c>
      <c r="S343" s="25"/>
      <c r="T343" s="25"/>
      <c r="U343" s="27"/>
      <c r="X343" s="47">
        <v>43629</v>
      </c>
      <c r="Y343" s="48">
        <f t="shared" si="22"/>
        <v>-13.661475720831517</v>
      </c>
      <c r="Z343" s="49"/>
      <c r="AA343" s="49"/>
      <c r="AB343" s="51"/>
      <c r="AE343" s="47">
        <v>43629</v>
      </c>
      <c r="AF343" s="48">
        <f t="shared" si="23"/>
        <v>-9.5207891048164601</v>
      </c>
      <c r="AG343" s="49"/>
      <c r="AH343" s="49"/>
      <c r="AI343" s="51"/>
    </row>
    <row r="344" spans="1:35" x14ac:dyDescent="0.3">
      <c r="A344" s="20">
        <v>43626</v>
      </c>
      <c r="C344">
        <f>-(Historical_Simulation!B345-Historical_Simulation!B346)</f>
        <v>-0.60750000000000171</v>
      </c>
      <c r="E344">
        <f>-(Historical_Simulation!C345-Historical_Simulation!C346)</f>
        <v>-56.600000000000136</v>
      </c>
      <c r="G344">
        <f>-(Historical_Simulation!D345-Historical_Simulation!D346)</f>
        <v>-1.4699999999999989</v>
      </c>
      <c r="J344" s="23">
        <v>43628</v>
      </c>
      <c r="K344" s="24">
        <f t="shared" si="20"/>
        <v>4.5916782610225004</v>
      </c>
      <c r="L344" s="25"/>
      <c r="M344" s="25"/>
      <c r="N344" s="27"/>
      <c r="Q344" s="23">
        <v>43628</v>
      </c>
      <c r="R344" s="24">
        <f t="shared" si="21"/>
        <v>3.1961894375693682</v>
      </c>
      <c r="S344" s="25"/>
      <c r="T344" s="25"/>
      <c r="U344" s="27"/>
      <c r="X344" s="47">
        <v>43628</v>
      </c>
      <c r="Y344" s="48">
        <f t="shared" si="22"/>
        <v>16.431900397137493</v>
      </c>
      <c r="Z344" s="49"/>
      <c r="AA344" s="49"/>
      <c r="AB344" s="51"/>
      <c r="AE344" s="47">
        <v>43628</v>
      </c>
      <c r="AF344" s="48">
        <f t="shared" si="23"/>
        <v>11.502107520283513</v>
      </c>
      <c r="AG344" s="49"/>
      <c r="AH344" s="49"/>
      <c r="AI344" s="51"/>
    </row>
    <row r="345" spans="1:35" x14ac:dyDescent="0.3">
      <c r="A345" s="20">
        <v>43623</v>
      </c>
      <c r="C345">
        <f>-(Historical_Simulation!B346-Historical_Simulation!B347)</f>
        <v>-1.2325000000000017</v>
      </c>
      <c r="E345">
        <f>-(Historical_Simulation!C346-Historical_Simulation!C347)</f>
        <v>-49.670000000000073</v>
      </c>
      <c r="G345">
        <f>-(Historical_Simulation!D346-Historical_Simulation!D347)</f>
        <v>-5.0199999999999818</v>
      </c>
      <c r="J345" s="23">
        <v>43627</v>
      </c>
      <c r="K345" s="24">
        <f t="shared" si="20"/>
        <v>-1.9127770979718652</v>
      </c>
      <c r="L345" s="25"/>
      <c r="M345" s="25"/>
      <c r="N345" s="27"/>
      <c r="Q345" s="23">
        <v>43627</v>
      </c>
      <c r="R345" s="24">
        <f t="shared" si="21"/>
        <v>-1.4864955576769274</v>
      </c>
      <c r="S345" s="25"/>
      <c r="T345" s="25"/>
      <c r="U345" s="27"/>
      <c r="X345" s="47">
        <v>43627</v>
      </c>
      <c r="Y345" s="48">
        <f t="shared" si="22"/>
        <v>-15.811841249985152</v>
      </c>
      <c r="Z345" s="49"/>
      <c r="AA345" s="49"/>
      <c r="AB345" s="51"/>
      <c r="AE345" s="47">
        <v>43627</v>
      </c>
      <c r="AF345" s="48">
        <f t="shared" si="23"/>
        <v>-11.191751367976551</v>
      </c>
      <c r="AG345" s="49"/>
      <c r="AH345" s="49"/>
      <c r="AI345" s="51"/>
    </row>
    <row r="346" spans="1:35" x14ac:dyDescent="0.3">
      <c r="A346" s="20">
        <v>43622</v>
      </c>
      <c r="C346">
        <f>-(Historical_Simulation!B347-Historical_Simulation!B348)</f>
        <v>-0.67000000000000171</v>
      </c>
      <c r="E346">
        <f>-(Historical_Simulation!C347-Historical_Simulation!C348)</f>
        <v>-15.8599999999999</v>
      </c>
      <c r="G346">
        <f>-(Historical_Simulation!D347-Historical_Simulation!D348)</f>
        <v>-0.16000000000002501</v>
      </c>
      <c r="J346" s="23">
        <v>43626</v>
      </c>
      <c r="K346" s="24">
        <f t="shared" si="20"/>
        <v>-30.810625535598742</v>
      </c>
      <c r="L346" s="25"/>
      <c r="M346" s="25"/>
      <c r="N346" s="27"/>
      <c r="Q346" s="23">
        <v>43626</v>
      </c>
      <c r="R346" s="24">
        <f t="shared" si="21"/>
        <v>-21.310697517702248</v>
      </c>
      <c r="S346" s="25"/>
      <c r="T346" s="25"/>
      <c r="U346" s="27"/>
      <c r="X346" s="47">
        <v>43626</v>
      </c>
      <c r="Y346" s="48">
        <f t="shared" si="22"/>
        <v>-5.440142544761116</v>
      </c>
      <c r="Z346" s="49"/>
      <c r="AA346" s="49"/>
      <c r="AB346" s="51"/>
      <c r="AE346" s="47">
        <v>43626</v>
      </c>
      <c r="AF346" s="48">
        <f t="shared" si="23"/>
        <v>-3.9764777061082599</v>
      </c>
      <c r="AG346" s="49"/>
      <c r="AH346" s="49"/>
      <c r="AI346" s="51"/>
    </row>
    <row r="347" spans="1:35" x14ac:dyDescent="0.3">
      <c r="A347" s="20">
        <v>43621</v>
      </c>
      <c r="C347">
        <f>-(Historical_Simulation!B348-Historical_Simulation!B349)</f>
        <v>-0.72500000000000142</v>
      </c>
      <c r="E347">
        <f>-(Historical_Simulation!C348-Historical_Simulation!C349)</f>
        <v>-8.9400000000000546</v>
      </c>
      <c r="G347">
        <f>-(Historical_Simulation!D348-Historical_Simulation!D349)</f>
        <v>-0.66999999999998749</v>
      </c>
      <c r="J347" s="23">
        <v>43623</v>
      </c>
      <c r="K347" s="24">
        <f t="shared" si="20"/>
        <v>-27.360354500702108</v>
      </c>
      <c r="L347" s="25"/>
      <c r="M347" s="25"/>
      <c r="N347" s="27"/>
      <c r="Q347" s="23">
        <v>43623</v>
      </c>
      <c r="R347" s="24">
        <f t="shared" si="21"/>
        <v>-19.142240228846749</v>
      </c>
      <c r="S347" s="25"/>
      <c r="T347" s="25"/>
      <c r="U347" s="27"/>
      <c r="X347" s="47">
        <v>43623</v>
      </c>
      <c r="Y347" s="48">
        <f t="shared" si="22"/>
        <v>-22.454104218298767</v>
      </c>
      <c r="Z347" s="49"/>
      <c r="AA347" s="49"/>
      <c r="AB347" s="51"/>
      <c r="AE347" s="47">
        <v>43623</v>
      </c>
      <c r="AF347" s="48">
        <f t="shared" si="23"/>
        <v>-16.026706448562329</v>
      </c>
      <c r="AG347" s="49"/>
      <c r="AH347" s="49"/>
      <c r="AI347" s="51"/>
    </row>
    <row r="348" spans="1:35" x14ac:dyDescent="0.3">
      <c r="A348" s="20">
        <v>43620</v>
      </c>
      <c r="C348">
        <f>-(Historical_Simulation!B349-Historical_Simulation!B350)</f>
        <v>-1.5849999999999937</v>
      </c>
      <c r="E348">
        <f>-(Historical_Simulation!C349-Historical_Simulation!C350)</f>
        <v>-36.869999999999891</v>
      </c>
      <c r="G348">
        <f>-(Historical_Simulation!D349-Historical_Simulation!D350)</f>
        <v>-3.3499999999999943</v>
      </c>
      <c r="J348" s="23">
        <v>43622</v>
      </c>
      <c r="K348" s="24">
        <f t="shared" si="20"/>
        <v>-8.8636951714201153</v>
      </c>
      <c r="L348" s="25"/>
      <c r="M348" s="25"/>
      <c r="N348" s="27"/>
      <c r="Q348" s="23">
        <v>43622</v>
      </c>
      <c r="R348" s="24">
        <f t="shared" si="21"/>
        <v>-6.2864945357662965</v>
      </c>
      <c r="S348" s="25"/>
      <c r="T348" s="25"/>
      <c r="U348" s="27"/>
      <c r="X348" s="47">
        <v>43622</v>
      </c>
      <c r="Y348" s="48">
        <f t="shared" si="22"/>
        <v>2.1875625482064489</v>
      </c>
      <c r="Z348" s="49"/>
      <c r="AA348" s="49"/>
      <c r="AB348" s="51"/>
      <c r="AE348" s="47">
        <v>43622</v>
      </c>
      <c r="AF348" s="48">
        <f t="shared" si="23"/>
        <v>1.322091165350884</v>
      </c>
      <c r="AG348" s="49"/>
      <c r="AH348" s="49"/>
      <c r="AI348" s="51"/>
    </row>
    <row r="349" spans="1:35" x14ac:dyDescent="0.3">
      <c r="A349" s="20">
        <v>43619</v>
      </c>
      <c r="C349">
        <f>-(Historical_Simulation!B350-Historical_Simulation!B351)</f>
        <v>0.44249999999999545</v>
      </c>
      <c r="E349">
        <f>-(Historical_Simulation!C350-Historical_Simulation!C351)</f>
        <v>82.379999999999882</v>
      </c>
      <c r="G349">
        <f>-(Historical_Simulation!D350-Historical_Simulation!D351)</f>
        <v>13.319999999999993</v>
      </c>
      <c r="J349" s="23">
        <v>43621</v>
      </c>
      <c r="K349" s="24">
        <f t="shared" si="20"/>
        <v>-5.156284123319101</v>
      </c>
      <c r="L349" s="25"/>
      <c r="M349" s="25"/>
      <c r="N349" s="27"/>
      <c r="Q349" s="23">
        <v>43621</v>
      </c>
      <c r="R349" s="24">
        <f t="shared" si="21"/>
        <v>-3.7624919428124248</v>
      </c>
      <c r="S349" s="25"/>
      <c r="T349" s="25"/>
      <c r="U349" s="27"/>
      <c r="X349" s="47">
        <v>43621</v>
      </c>
      <c r="Y349" s="48">
        <f t="shared" si="22"/>
        <v>-0.41683148989921337</v>
      </c>
      <c r="Z349" s="49"/>
      <c r="AA349" s="49"/>
      <c r="AB349" s="51"/>
      <c r="AE349" s="47">
        <v>43621</v>
      </c>
      <c r="AF349" s="48">
        <f t="shared" si="23"/>
        <v>-0.51016663903072379</v>
      </c>
      <c r="AG349" s="49"/>
      <c r="AH349" s="49"/>
      <c r="AI349" s="51"/>
    </row>
    <row r="350" spans="1:35" x14ac:dyDescent="0.3">
      <c r="A350" s="20">
        <v>43616</v>
      </c>
      <c r="C350">
        <f>-(Historical_Simulation!B351-Historical_Simulation!B352)</f>
        <v>0.80750000000000455</v>
      </c>
      <c r="E350">
        <f>-(Historical_Simulation!C351-Historical_Simulation!C352)</f>
        <v>41.25</v>
      </c>
      <c r="G350">
        <f>-(Historical_Simulation!D351-Historical_Simulation!D352)</f>
        <v>5.539999999999992</v>
      </c>
      <c r="J350" s="23">
        <v>43620</v>
      </c>
      <c r="K350" s="24">
        <f t="shared" si="20"/>
        <v>-20.618214886343626</v>
      </c>
      <c r="L350" s="25"/>
      <c r="M350" s="25"/>
      <c r="N350" s="27"/>
      <c r="Q350" s="23">
        <v>43620</v>
      </c>
      <c r="R350" s="24">
        <f t="shared" si="21"/>
        <v>-14.631610249803446</v>
      </c>
      <c r="S350" s="25"/>
      <c r="T350" s="25"/>
      <c r="U350" s="27"/>
      <c r="X350" s="47">
        <v>43620</v>
      </c>
      <c r="Y350" s="48">
        <f t="shared" si="22"/>
        <v>-11.474407642322774</v>
      </c>
      <c r="Z350" s="49"/>
      <c r="AA350" s="49"/>
      <c r="AB350" s="51"/>
      <c r="AE350" s="47">
        <v>43620</v>
      </c>
      <c r="AF350" s="48">
        <f t="shared" si="23"/>
        <v>-8.4791978565577892</v>
      </c>
      <c r="AG350" s="49"/>
      <c r="AH350" s="49"/>
      <c r="AI350" s="51"/>
    </row>
    <row r="351" spans="1:35" x14ac:dyDescent="0.3">
      <c r="A351" s="20">
        <v>43615</v>
      </c>
      <c r="C351">
        <f>-(Historical_Simulation!B352-Historical_Simulation!B353)</f>
        <v>-0.23000000000000398</v>
      </c>
      <c r="E351">
        <f>-(Historical_Simulation!C352-Historical_Simulation!C353)</f>
        <v>2.8700000000001182</v>
      </c>
      <c r="G351">
        <f>-(Historical_Simulation!D352-Historical_Simulation!D353)</f>
        <v>-0.81999999999999318</v>
      </c>
      <c r="J351" s="23">
        <v>43619</v>
      </c>
      <c r="K351" s="24">
        <f t="shared" si="20"/>
        <v>44.640715806994017</v>
      </c>
      <c r="L351" s="25"/>
      <c r="M351" s="25"/>
      <c r="N351" s="27"/>
      <c r="Q351" s="23">
        <v>43619</v>
      </c>
      <c r="R351" s="24">
        <f t="shared" si="21"/>
        <v>30.738847664539374</v>
      </c>
      <c r="S351" s="25"/>
      <c r="T351" s="25"/>
      <c r="U351" s="27"/>
      <c r="X351" s="47">
        <v>43619</v>
      </c>
      <c r="Y351" s="48">
        <f t="shared" si="22"/>
        <v>72.59595434221616</v>
      </c>
      <c r="Z351" s="49"/>
      <c r="AA351" s="49"/>
      <c r="AB351" s="51"/>
      <c r="AE351" s="47">
        <v>43619</v>
      </c>
      <c r="AF351" s="48">
        <f t="shared" si="23"/>
        <v>50.742801925112154</v>
      </c>
      <c r="AG351" s="49"/>
      <c r="AH351" s="49"/>
      <c r="AI351" s="51"/>
    </row>
    <row r="352" spans="1:35" x14ac:dyDescent="0.3">
      <c r="A352" s="20">
        <v>43614</v>
      </c>
      <c r="C352">
        <f>-(Historical_Simulation!B353-Historical_Simulation!B354)</f>
        <v>0.21249999999999858</v>
      </c>
      <c r="E352">
        <f>-(Historical_Simulation!C353-Historical_Simulation!C354)</f>
        <v>17.240000000000009</v>
      </c>
      <c r="G352">
        <f>-(Historical_Simulation!D353-Historical_Simulation!D354)</f>
        <v>2.1200000000000045</v>
      </c>
      <c r="J352" s="23">
        <v>43616</v>
      </c>
      <c r="K352" s="24">
        <f t="shared" si="20"/>
        <v>22.622741406857156</v>
      </c>
      <c r="L352" s="25"/>
      <c r="M352" s="25"/>
      <c r="N352" s="27"/>
      <c r="Q352" s="23">
        <v>43616</v>
      </c>
      <c r="R352" s="24">
        <f t="shared" si="21"/>
        <v>15.76109317068663</v>
      </c>
      <c r="S352" s="25"/>
      <c r="T352" s="25"/>
      <c r="U352" s="27"/>
      <c r="X352" s="47">
        <v>43616</v>
      </c>
      <c r="Y352" s="48">
        <f t="shared" si="22"/>
        <v>27.323999528211004</v>
      </c>
      <c r="Z352" s="49"/>
      <c r="AA352" s="49"/>
      <c r="AB352" s="51"/>
      <c r="AE352" s="47">
        <v>43616</v>
      </c>
      <c r="AF352" s="48">
        <f t="shared" si="23"/>
        <v>19.292934196124463</v>
      </c>
      <c r="AG352" s="49"/>
      <c r="AH352" s="49"/>
      <c r="AI352" s="51"/>
    </row>
    <row r="353" spans="1:35" x14ac:dyDescent="0.3">
      <c r="A353" s="20">
        <v>43613</v>
      </c>
      <c r="C353">
        <f>-(Historical_Simulation!B354-Historical_Simulation!B355)</f>
        <v>0.18500000000000227</v>
      </c>
      <c r="E353">
        <f>-(Historical_Simulation!C354-Historical_Simulation!C355)</f>
        <v>-13.150000000000091</v>
      </c>
      <c r="G353">
        <f>-(Historical_Simulation!D354-Historical_Simulation!D355)</f>
        <v>-3.25</v>
      </c>
      <c r="J353" s="23">
        <v>43615</v>
      </c>
      <c r="K353" s="24">
        <f t="shared" si="20"/>
        <v>1.4421826880449944</v>
      </c>
      <c r="L353" s="25"/>
      <c r="M353" s="25"/>
      <c r="N353" s="27"/>
      <c r="Q353" s="23">
        <v>43615</v>
      </c>
      <c r="R353" s="24">
        <f t="shared" si="21"/>
        <v>0.91622337464623138</v>
      </c>
      <c r="S353" s="25"/>
      <c r="T353" s="25"/>
      <c r="U353" s="27"/>
      <c r="X353" s="47">
        <v>43615</v>
      </c>
      <c r="Y353" s="48">
        <f t="shared" si="22"/>
        <v>-3.5358076538075571</v>
      </c>
      <c r="Z353" s="49"/>
      <c r="AA353" s="49"/>
      <c r="AB353" s="51"/>
      <c r="AE353" s="47">
        <v>43615</v>
      </c>
      <c r="AF353" s="48">
        <f t="shared" si="23"/>
        <v>-2.5345760540334452</v>
      </c>
      <c r="AG353" s="49"/>
      <c r="AH353" s="49"/>
      <c r="AI353" s="51"/>
    </row>
    <row r="354" spans="1:35" x14ac:dyDescent="0.3">
      <c r="A354" s="20">
        <v>43612</v>
      </c>
      <c r="C354">
        <f>-(Historical_Simulation!B355-Historical_Simulation!B356)</f>
        <v>0</v>
      </c>
      <c r="E354">
        <f>-(Historical_Simulation!C355-Historical_Simulation!C356)</f>
        <v>0</v>
      </c>
      <c r="G354">
        <f>-(Historical_Simulation!D355-Historical_Simulation!D356)</f>
        <v>0</v>
      </c>
      <c r="J354" s="23">
        <v>43614</v>
      </c>
      <c r="K354" s="24">
        <f t="shared" si="20"/>
        <v>9.3973679744145464</v>
      </c>
      <c r="L354" s="25"/>
      <c r="M354" s="25"/>
      <c r="N354" s="27"/>
      <c r="Q354" s="23">
        <v>43614</v>
      </c>
      <c r="R354" s="24">
        <f t="shared" si="21"/>
        <v>6.5084091973509715</v>
      </c>
      <c r="S354" s="25"/>
      <c r="T354" s="25"/>
      <c r="U354" s="27"/>
      <c r="X354" s="47">
        <v>43614</v>
      </c>
      <c r="Y354" s="48">
        <f t="shared" si="22"/>
        <v>10.900344236674648</v>
      </c>
      <c r="Z354" s="49"/>
      <c r="AA354" s="49"/>
      <c r="AB354" s="51"/>
      <c r="AE354" s="47">
        <v>43614</v>
      </c>
      <c r="AF354" s="48">
        <f t="shared" si="23"/>
        <v>7.6633115645235286</v>
      </c>
      <c r="AG354" s="49"/>
      <c r="AH354" s="49"/>
      <c r="AI354" s="51"/>
    </row>
    <row r="355" spans="1:35" x14ac:dyDescent="0.3">
      <c r="A355" s="20">
        <v>43609</v>
      </c>
      <c r="C355">
        <f>-(Historical_Simulation!B356-Historical_Simulation!B357)</f>
        <v>0.17249999999999943</v>
      </c>
      <c r="E355">
        <f>-(Historical_Simulation!C356-Historical_Simulation!C357)</f>
        <v>-7.7999999999999545</v>
      </c>
      <c r="G355">
        <f>-(Historical_Simulation!D356-Historical_Simulation!D357)</f>
        <v>-0.18999999999999773</v>
      </c>
      <c r="J355" s="23">
        <v>43613</v>
      </c>
      <c r="K355" s="24">
        <f t="shared" si="20"/>
        <v>-7.008082627444943</v>
      </c>
      <c r="L355" s="25"/>
      <c r="M355" s="25"/>
      <c r="N355" s="27"/>
      <c r="Q355" s="23">
        <v>43613</v>
      </c>
      <c r="R355" s="24">
        <f t="shared" si="21"/>
        <v>-4.7456092583571117</v>
      </c>
      <c r="S355" s="25"/>
      <c r="T355" s="25"/>
      <c r="U355" s="27"/>
      <c r="X355" s="47">
        <v>43613</v>
      </c>
      <c r="Y355" s="48">
        <f t="shared" si="22"/>
        <v>-19.061524221744335</v>
      </c>
      <c r="Z355" s="49"/>
      <c r="AA355" s="49"/>
      <c r="AB355" s="51"/>
      <c r="AE355" s="47">
        <v>43613</v>
      </c>
      <c r="AF355" s="48">
        <f t="shared" si="23"/>
        <v>-13.232319907805115</v>
      </c>
      <c r="AG355" s="49"/>
      <c r="AH355" s="49"/>
      <c r="AI355" s="51"/>
    </row>
    <row r="356" spans="1:35" x14ac:dyDescent="0.3">
      <c r="A356" s="20">
        <v>43608</v>
      </c>
      <c r="C356">
        <f>-(Historical_Simulation!B357-Historical_Simulation!B358)</f>
        <v>0.78000000000000114</v>
      </c>
      <c r="E356">
        <f>-(Historical_Simulation!C357-Historical_Simulation!C358)</f>
        <v>44.200000000000045</v>
      </c>
      <c r="G356">
        <f>-(Historical_Simulation!D357-Historical_Simulation!D358)</f>
        <v>4.4499999999999886</v>
      </c>
      <c r="J356" s="23">
        <v>43612</v>
      </c>
      <c r="K356" s="24">
        <f t="shared" si="20"/>
        <v>0</v>
      </c>
      <c r="L356" s="25"/>
      <c r="M356" s="25"/>
      <c r="N356" s="27"/>
      <c r="Q356" s="23">
        <v>43612</v>
      </c>
      <c r="R356" s="24">
        <f t="shared" si="21"/>
        <v>0</v>
      </c>
      <c r="S356" s="25"/>
      <c r="T356" s="25"/>
      <c r="U356" s="27"/>
      <c r="X356" s="47">
        <v>43612</v>
      </c>
      <c r="Y356" s="48">
        <f t="shared" si="22"/>
        <v>0</v>
      </c>
      <c r="Z356" s="49"/>
      <c r="AA356" s="49"/>
      <c r="AB356" s="51"/>
      <c r="AE356" s="47">
        <v>43612</v>
      </c>
      <c r="AF356" s="48">
        <f t="shared" si="23"/>
        <v>0</v>
      </c>
      <c r="AG356" s="49"/>
      <c r="AH356" s="49"/>
      <c r="AI356" s="51"/>
    </row>
    <row r="357" spans="1:35" x14ac:dyDescent="0.3">
      <c r="A357" s="20">
        <v>43607</v>
      </c>
      <c r="C357">
        <f>-(Historical_Simulation!B358-Historical_Simulation!B359)</f>
        <v>0.95499999999999829</v>
      </c>
      <c r="E357">
        <f>-(Historical_Simulation!C358-Historical_Simulation!C359)</f>
        <v>-2.1600000000000819</v>
      </c>
      <c r="G357">
        <f>-(Historical_Simulation!D358-Historical_Simulation!D359)</f>
        <v>-0.5</v>
      </c>
      <c r="J357" s="23">
        <v>43609</v>
      </c>
      <c r="K357" s="24">
        <f t="shared" si="20"/>
        <v>-4.1279762840123055</v>
      </c>
      <c r="L357" s="25"/>
      <c r="M357" s="25"/>
      <c r="N357" s="27"/>
      <c r="Q357" s="23">
        <v>43609</v>
      </c>
      <c r="R357" s="24">
        <f t="shared" si="21"/>
        <v>-2.7753276949570003</v>
      </c>
      <c r="S357" s="25"/>
      <c r="T357" s="25"/>
      <c r="U357" s="27"/>
      <c r="X357" s="47">
        <v>43609</v>
      </c>
      <c r="Y357" s="48">
        <f t="shared" si="22"/>
        <v>-1.8586106347546625</v>
      </c>
      <c r="Z357" s="49"/>
      <c r="AA357" s="49"/>
      <c r="AB357" s="51"/>
      <c r="AE357" s="47">
        <v>43609</v>
      </c>
      <c r="AF357" s="48">
        <f t="shared" si="23"/>
        <v>-1.2434471518425956</v>
      </c>
      <c r="AG357" s="49"/>
      <c r="AH357" s="49"/>
      <c r="AI357" s="51"/>
    </row>
    <row r="358" spans="1:35" x14ac:dyDescent="0.3">
      <c r="A358" s="20">
        <v>43606</v>
      </c>
      <c r="C358">
        <f>-(Historical_Simulation!B359-Historical_Simulation!B360)</f>
        <v>-0.87749999999999773</v>
      </c>
      <c r="E358">
        <f>-(Historical_Simulation!C359-Historical_Simulation!C360)</f>
        <v>1.4500000000000455</v>
      </c>
      <c r="G358">
        <f>-(Historical_Simulation!D359-Historical_Simulation!D360)</f>
        <v>-2.0999999999999943</v>
      </c>
      <c r="J358" s="23">
        <v>43608</v>
      </c>
      <c r="K358" s="24">
        <f t="shared" si="20"/>
        <v>24.201345908035819</v>
      </c>
      <c r="L358" s="25"/>
      <c r="M358" s="25"/>
      <c r="N358" s="27"/>
      <c r="Q358" s="23">
        <v>43608</v>
      </c>
      <c r="R358" s="24">
        <f t="shared" si="21"/>
        <v>16.834522234560527</v>
      </c>
      <c r="S358" s="25"/>
      <c r="T358" s="25"/>
      <c r="U358" s="27"/>
      <c r="X358" s="47">
        <v>43608</v>
      </c>
      <c r="Y358" s="48">
        <f t="shared" si="22"/>
        <v>21.343244219447289</v>
      </c>
      <c r="Z358" s="49"/>
      <c r="AA358" s="49"/>
      <c r="AB358" s="51"/>
      <c r="AE358" s="47">
        <v>43608</v>
      </c>
      <c r="AF358" s="48">
        <f t="shared" si="23"/>
        <v>15.115244268309922</v>
      </c>
      <c r="AG358" s="49"/>
      <c r="AH358" s="49"/>
      <c r="AI358" s="51"/>
    </row>
    <row r="359" spans="1:35" x14ac:dyDescent="0.3">
      <c r="A359" s="20">
        <v>43605</v>
      </c>
      <c r="C359">
        <f>-(Historical_Simulation!B360-Historical_Simulation!B361)</f>
        <v>1.4774999999999991</v>
      </c>
      <c r="E359">
        <f>-(Historical_Simulation!C360-Historical_Simulation!C361)</f>
        <v>10.029999999999973</v>
      </c>
      <c r="G359">
        <f>-(Historical_Simulation!D360-Historical_Simulation!D361)</f>
        <v>2.5800000000000125</v>
      </c>
      <c r="J359" s="23">
        <v>43607</v>
      </c>
      <c r="K359" s="24">
        <f t="shared" si="20"/>
        <v>-0.72527389460003344</v>
      </c>
      <c r="L359" s="25"/>
      <c r="M359" s="25"/>
      <c r="N359" s="27"/>
      <c r="Q359" s="23">
        <v>43607</v>
      </c>
      <c r="R359" s="24">
        <f t="shared" si="21"/>
        <v>-0.19676961678160632</v>
      </c>
      <c r="S359" s="25"/>
      <c r="T359" s="25"/>
      <c r="U359" s="27"/>
      <c r="X359" s="47">
        <v>43607</v>
      </c>
      <c r="Y359" s="48">
        <f t="shared" si="22"/>
        <v>-7.197457858118768</v>
      </c>
      <c r="Z359" s="49"/>
      <c r="AA359" s="49"/>
      <c r="AB359" s="51"/>
      <c r="AE359" s="47">
        <v>43607</v>
      </c>
      <c r="AF359" s="48">
        <f t="shared" si="23"/>
        <v>-4.7283189129130765</v>
      </c>
      <c r="AG359" s="49"/>
      <c r="AH359" s="49"/>
      <c r="AI359" s="51"/>
    </row>
    <row r="360" spans="1:35" x14ac:dyDescent="0.3">
      <c r="A360" s="20">
        <v>43602</v>
      </c>
      <c r="C360">
        <f>-(Historical_Simulation!B361-Historical_Simulation!B362)</f>
        <v>0.27000000000000313</v>
      </c>
      <c r="E360">
        <f>-(Historical_Simulation!C361-Historical_Simulation!C362)</f>
        <v>38.569999999999936</v>
      </c>
      <c r="G360">
        <f>-(Historical_Simulation!D361-Historical_Simulation!D362)</f>
        <v>1.6899999999999977</v>
      </c>
      <c r="J360" s="23">
        <v>43606</v>
      </c>
      <c r="K360" s="24">
        <f t="shared" si="20"/>
        <v>0.3779855504595675</v>
      </c>
      <c r="L360" s="25"/>
      <c r="M360" s="25"/>
      <c r="N360" s="27"/>
      <c r="Q360" s="23">
        <v>43606</v>
      </c>
      <c r="R360" s="24">
        <f t="shared" si="21"/>
        <v>-1.6908095326108263E-2</v>
      </c>
      <c r="S360" s="25"/>
      <c r="T360" s="25"/>
      <c r="U360" s="27"/>
      <c r="X360" s="47">
        <v>43606</v>
      </c>
      <c r="Y360" s="48">
        <f t="shared" si="22"/>
        <v>-7.7272455199657539</v>
      </c>
      <c r="Z360" s="49"/>
      <c r="AA360" s="49"/>
      <c r="AB360" s="51"/>
      <c r="AE360" s="47">
        <v>43606</v>
      </c>
      <c r="AF360" s="48">
        <f t="shared" si="23"/>
        <v>-5.6526597051795306</v>
      </c>
      <c r="AG360" s="49"/>
      <c r="AH360" s="49"/>
      <c r="AI360" s="51"/>
    </row>
    <row r="361" spans="1:35" x14ac:dyDescent="0.3">
      <c r="A361" s="20">
        <v>43601</v>
      </c>
      <c r="C361">
        <f>-(Historical_Simulation!B362-Historical_Simulation!B363)</f>
        <v>0.20999999999999375</v>
      </c>
      <c r="E361">
        <f>-(Historical_Simulation!C362-Historical_Simulation!C363)</f>
        <v>-36.419999999999845</v>
      </c>
      <c r="G361">
        <f>-(Historical_Simulation!D362-Historical_Simulation!D363)</f>
        <v>-0.71999999999999886</v>
      </c>
      <c r="J361" s="23">
        <v>43605</v>
      </c>
      <c r="K361" s="24">
        <f t="shared" si="20"/>
        <v>6.0908362708078183</v>
      </c>
      <c r="L361" s="25"/>
      <c r="M361" s="25"/>
      <c r="N361" s="27"/>
      <c r="Q361" s="23">
        <v>43605</v>
      </c>
      <c r="R361" s="24">
        <f t="shared" si="21"/>
        <v>4.6397823908585512</v>
      </c>
      <c r="S361" s="25"/>
      <c r="T361" s="25"/>
      <c r="U361" s="27"/>
      <c r="X361" s="47">
        <v>43605</v>
      </c>
      <c r="Y361" s="48">
        <f t="shared" si="22"/>
        <v>7.6548778615643007</v>
      </c>
      <c r="Z361" s="49"/>
      <c r="AA361" s="49"/>
      <c r="AB361" s="51"/>
      <c r="AE361" s="47">
        <v>43605</v>
      </c>
      <c r="AF361" s="48">
        <f t="shared" si="23"/>
        <v>5.7839323721558404</v>
      </c>
      <c r="AG361" s="49"/>
      <c r="AH361" s="49"/>
      <c r="AI361" s="51"/>
    </row>
    <row r="362" spans="1:35" x14ac:dyDescent="0.3">
      <c r="A362" s="20">
        <v>43600</v>
      </c>
      <c r="C362">
        <f>-(Historical_Simulation!B363-Historical_Simulation!B364)</f>
        <v>-0.56499999999999773</v>
      </c>
      <c r="E362">
        <f>-(Historical_Simulation!C363-Historical_Simulation!C364)</f>
        <v>-31.0300000000002</v>
      </c>
      <c r="G362">
        <f>-(Historical_Simulation!D363-Historical_Simulation!D364)</f>
        <v>-5.5400000000000205</v>
      </c>
      <c r="J362" s="23">
        <v>43602</v>
      </c>
      <c r="K362" s="24">
        <f t="shared" si="20"/>
        <v>20.929547403909936</v>
      </c>
      <c r="L362" s="25"/>
      <c r="M362" s="25"/>
      <c r="N362" s="27"/>
      <c r="Q362" s="23">
        <v>43602</v>
      </c>
      <c r="R362" s="24">
        <f t="shared" si="21"/>
        <v>14.431404919015812</v>
      </c>
      <c r="S362" s="25"/>
      <c r="T362" s="25"/>
      <c r="U362" s="27"/>
      <c r="X362" s="47">
        <v>43602</v>
      </c>
      <c r="Y362" s="48">
        <f t="shared" si="22"/>
        <v>8.2263506244182967</v>
      </c>
      <c r="Z362" s="49"/>
      <c r="AA362" s="49"/>
      <c r="AB362" s="51"/>
      <c r="AE362" s="47">
        <v>43602</v>
      </c>
      <c r="AF362" s="48">
        <f t="shared" si="23"/>
        <v>5.816606774114466</v>
      </c>
      <c r="AG362" s="49"/>
      <c r="AH362" s="49"/>
      <c r="AI362" s="51"/>
    </row>
    <row r="363" spans="1:35" x14ac:dyDescent="0.3">
      <c r="A363" s="20">
        <v>43599</v>
      </c>
      <c r="C363">
        <f>-(Historical_Simulation!B364-Historical_Simulation!B365)</f>
        <v>-0.73499999999999943</v>
      </c>
      <c r="E363">
        <f>-(Historical_Simulation!C364-Historical_Simulation!C365)</f>
        <v>-17.439999999999827</v>
      </c>
      <c r="G363">
        <f>-(Historical_Simulation!D364-Historical_Simulation!D365)</f>
        <v>0.81000000000000227</v>
      </c>
      <c r="J363" s="23">
        <v>43601</v>
      </c>
      <c r="K363" s="24">
        <f t="shared" si="20"/>
        <v>-19.548726407446974</v>
      </c>
      <c r="L363" s="25"/>
      <c r="M363" s="25"/>
      <c r="N363" s="27"/>
      <c r="Q363" s="23">
        <v>43601</v>
      </c>
      <c r="R363" s="24">
        <f t="shared" si="21"/>
        <v>-13.333923294609606</v>
      </c>
      <c r="S363" s="25"/>
      <c r="T363" s="25"/>
      <c r="U363" s="27"/>
      <c r="X363" s="47">
        <v>43601</v>
      </c>
      <c r="Y363" s="48">
        <f t="shared" si="22"/>
        <v>-5.0008493526119659</v>
      </c>
      <c r="Z363" s="49"/>
      <c r="AA363" s="49"/>
      <c r="AB363" s="51"/>
      <c r="AE363" s="47">
        <v>43601</v>
      </c>
      <c r="AF363" s="48">
        <f t="shared" si="23"/>
        <v>-3.4226368309341115</v>
      </c>
      <c r="AG363" s="49"/>
      <c r="AH363" s="49"/>
      <c r="AI363" s="51"/>
    </row>
    <row r="364" spans="1:35" x14ac:dyDescent="0.3">
      <c r="A364" s="20">
        <v>43598</v>
      </c>
      <c r="C364">
        <f>-(Historical_Simulation!B365-Historical_Simulation!B366)</f>
        <v>2.865000000000002</v>
      </c>
      <c r="E364">
        <f>-(Historical_Simulation!C365-Historical_Simulation!C366)</f>
        <v>67.299999999999955</v>
      </c>
      <c r="G364">
        <f>-(Historical_Simulation!D365-Historical_Simulation!D366)</f>
        <v>6.8000000000000114</v>
      </c>
      <c r="J364" s="23">
        <v>43600</v>
      </c>
      <c r="K364" s="24">
        <f t="shared" si="20"/>
        <v>-16.998240513319093</v>
      </c>
      <c r="L364" s="25"/>
      <c r="M364" s="25"/>
      <c r="N364" s="27"/>
      <c r="Q364" s="23">
        <v>43600</v>
      </c>
      <c r="R364" s="24">
        <f t="shared" si="21"/>
        <v>-11.829417776966583</v>
      </c>
      <c r="S364" s="25"/>
      <c r="T364" s="25"/>
      <c r="U364" s="27"/>
      <c r="X364" s="47">
        <v>43600</v>
      </c>
      <c r="Y364" s="48">
        <f t="shared" si="22"/>
        <v>-28.440242504564324</v>
      </c>
      <c r="Z364" s="49"/>
      <c r="AA364" s="49"/>
      <c r="AB364" s="51"/>
      <c r="AE364" s="47">
        <v>43600</v>
      </c>
      <c r="AF364" s="48">
        <f t="shared" si="23"/>
        <v>-19.997654014943439</v>
      </c>
      <c r="AG364" s="49"/>
      <c r="AH364" s="49"/>
      <c r="AI364" s="51"/>
    </row>
    <row r="365" spans="1:35" x14ac:dyDescent="0.3">
      <c r="A365" s="20">
        <v>43595</v>
      </c>
      <c r="C365">
        <f>-(Historical_Simulation!B366-Historical_Simulation!B367)</f>
        <v>0.88499999999999801</v>
      </c>
      <c r="E365">
        <f>-(Historical_Simulation!C366-Historical_Simulation!C367)</f>
        <v>9.8899999999998727</v>
      </c>
      <c r="G365">
        <f>-(Historical_Simulation!D366-Historical_Simulation!D367)</f>
        <v>0.31000000000000227</v>
      </c>
      <c r="J365" s="23">
        <v>43599</v>
      </c>
      <c r="K365" s="24">
        <f t="shared" si="20"/>
        <v>-9.7459070334807425</v>
      </c>
      <c r="L365" s="25"/>
      <c r="M365" s="25"/>
      <c r="N365" s="27"/>
      <c r="Q365" s="23">
        <v>43599</v>
      </c>
      <c r="R365" s="24">
        <f t="shared" si="21"/>
        <v>-6.9116649914401318</v>
      </c>
      <c r="S365" s="25"/>
      <c r="T365" s="25"/>
      <c r="U365" s="27"/>
      <c r="X365" s="47">
        <v>43599</v>
      </c>
      <c r="Y365" s="48">
        <f t="shared" si="22"/>
        <v>7.9217336019199474</v>
      </c>
      <c r="Z365" s="49"/>
      <c r="AA365" s="49"/>
      <c r="AB365" s="51"/>
      <c r="AE365" s="47">
        <v>43599</v>
      </c>
      <c r="AF365" s="48">
        <f t="shared" si="23"/>
        <v>5.2998644126809076</v>
      </c>
      <c r="AG365" s="49"/>
      <c r="AH365" s="49"/>
      <c r="AI365" s="51"/>
    </row>
    <row r="366" spans="1:35" x14ac:dyDescent="0.3">
      <c r="A366" s="20">
        <v>43594</v>
      </c>
      <c r="C366">
        <f>-(Historical_Simulation!B367-Historical_Simulation!B368)</f>
        <v>0.54500000000000171</v>
      </c>
      <c r="E366">
        <f>-(Historical_Simulation!C367-Historical_Simulation!C368)</f>
        <v>17.900000000000091</v>
      </c>
      <c r="G366">
        <f>-(Historical_Simulation!D367-Historical_Simulation!D368)</f>
        <v>0.88999999999998636</v>
      </c>
      <c r="J366" s="23">
        <v>43598</v>
      </c>
      <c r="K366" s="24">
        <f t="shared" si="20"/>
        <v>37.622126291669403</v>
      </c>
      <c r="L366" s="25"/>
      <c r="M366" s="25"/>
      <c r="N366" s="27"/>
      <c r="Q366" s="23">
        <v>43598</v>
      </c>
      <c r="R366" s="24">
        <f t="shared" si="21"/>
        <v>26.689807466234587</v>
      </c>
      <c r="S366" s="25"/>
      <c r="T366" s="25"/>
      <c r="U366" s="27"/>
      <c r="X366" s="47">
        <v>43598</v>
      </c>
      <c r="Y366" s="48">
        <f t="shared" si="22"/>
        <v>24.913056131750835</v>
      </c>
      <c r="Z366" s="49"/>
      <c r="AA366" s="49"/>
      <c r="AB366" s="51"/>
      <c r="AE366" s="47">
        <v>43598</v>
      </c>
      <c r="AF366" s="48">
        <f t="shared" si="23"/>
        <v>18.235350462070812</v>
      </c>
      <c r="AG366" s="49"/>
      <c r="AH366" s="49"/>
      <c r="AI366" s="51"/>
    </row>
    <row r="367" spans="1:35" x14ac:dyDescent="0.3">
      <c r="A367" s="20">
        <v>43593</v>
      </c>
      <c r="C367">
        <f>-(Historical_Simulation!B368-Historical_Simulation!B369)</f>
        <v>-9.9999999999980105E-3</v>
      </c>
      <c r="E367">
        <f>-(Historical_Simulation!C368-Historical_Simulation!C369)</f>
        <v>3.2300000000000182</v>
      </c>
      <c r="G367">
        <f>-(Historical_Simulation!D368-Historical_Simulation!D369)</f>
        <v>0.23000000000001819</v>
      </c>
      <c r="J367" s="23">
        <v>43595</v>
      </c>
      <c r="K367" s="24">
        <f t="shared" si="20"/>
        <v>5.7424210018852904</v>
      </c>
      <c r="L367" s="25"/>
      <c r="M367" s="25"/>
      <c r="N367" s="27"/>
      <c r="Q367" s="23">
        <v>43595</v>
      </c>
      <c r="R367" s="24">
        <f t="shared" si="21"/>
        <v>4.2145940286092882</v>
      </c>
      <c r="S367" s="25"/>
      <c r="T367" s="25"/>
      <c r="U367" s="27"/>
      <c r="X367" s="47">
        <v>43595</v>
      </c>
      <c r="Y367" s="48">
        <f t="shared" si="22"/>
        <v>-2.3367616965073985</v>
      </c>
      <c r="Z367" s="49"/>
      <c r="AA367" s="49"/>
      <c r="AB367" s="51"/>
      <c r="AE367" s="47">
        <v>43595</v>
      </c>
      <c r="AF367" s="48">
        <f t="shared" si="23"/>
        <v>-1.3609851374054984</v>
      </c>
      <c r="AG367" s="49"/>
      <c r="AH367" s="49"/>
      <c r="AI367" s="51"/>
    </row>
    <row r="368" spans="1:35" x14ac:dyDescent="0.3">
      <c r="A368" s="20">
        <v>43592</v>
      </c>
      <c r="C368">
        <f>-(Historical_Simulation!B369-Historical_Simulation!B370)</f>
        <v>1.404999999999994</v>
      </c>
      <c r="E368">
        <f>-(Historical_Simulation!C369-Historical_Simulation!C370)</f>
        <v>29.549999999999955</v>
      </c>
      <c r="G368">
        <f>-(Historical_Simulation!D369-Historical_Simulation!D370)</f>
        <v>4.1099999999999852</v>
      </c>
      <c r="J368" s="23">
        <v>43594</v>
      </c>
      <c r="K368" s="24">
        <f t="shared" si="20"/>
        <v>9.9065259841999858</v>
      </c>
      <c r="L368" s="25"/>
      <c r="M368" s="25"/>
      <c r="N368" s="27"/>
      <c r="Q368" s="23">
        <v>43594</v>
      </c>
      <c r="R368" s="24">
        <f t="shared" si="21"/>
        <v>6.9620021506402381</v>
      </c>
      <c r="S368" s="25"/>
      <c r="T368" s="25"/>
      <c r="U368" s="27"/>
      <c r="X368" s="47">
        <v>43594</v>
      </c>
      <c r="Y368" s="48">
        <f t="shared" si="22"/>
        <v>2.4780570179043675</v>
      </c>
      <c r="Z368" s="49"/>
      <c r="AA368" s="49"/>
      <c r="AB368" s="51"/>
      <c r="AE368" s="47">
        <v>43594</v>
      </c>
      <c r="AF368" s="48">
        <f t="shared" si="23"/>
        <v>1.8925910824432497</v>
      </c>
      <c r="AG368" s="49"/>
      <c r="AH368" s="49"/>
      <c r="AI368" s="51"/>
    </row>
    <row r="369" spans="1:35" x14ac:dyDescent="0.3">
      <c r="A369" s="20">
        <v>43591</v>
      </c>
      <c r="C369">
        <f>-(Historical_Simulation!B370-Historical_Simulation!B371)</f>
        <v>0.81750000000000256</v>
      </c>
      <c r="E369">
        <f>-(Historical_Simulation!C370-Historical_Simulation!C371)</f>
        <v>11.910000000000082</v>
      </c>
      <c r="G369">
        <f>-(Historical_Simulation!D370-Historical_Simulation!D371)</f>
        <v>1.5900000000000034</v>
      </c>
      <c r="J369" s="23">
        <v>43593</v>
      </c>
      <c r="K369" s="24">
        <f t="shared" si="20"/>
        <v>1.7377006158921335</v>
      </c>
      <c r="L369" s="25"/>
      <c r="M369" s="25"/>
      <c r="N369" s="27"/>
      <c r="Q369" s="23">
        <v>43593</v>
      </c>
      <c r="R369" s="24">
        <f t="shared" si="21"/>
        <v>1.1879883012431227</v>
      </c>
      <c r="S369" s="25"/>
      <c r="T369" s="25"/>
      <c r="U369" s="27"/>
      <c r="X369" s="47">
        <v>43593</v>
      </c>
      <c r="Y369" s="48">
        <f t="shared" si="22"/>
        <v>1.3347353168031899</v>
      </c>
      <c r="Z369" s="49"/>
      <c r="AA369" s="49"/>
      <c r="AB369" s="51"/>
      <c r="AE369" s="47">
        <v>43593</v>
      </c>
      <c r="AF369" s="48">
        <f t="shared" si="23"/>
        <v>0.92745466604758375</v>
      </c>
      <c r="AG369" s="49"/>
      <c r="AH369" s="49"/>
      <c r="AI369" s="51"/>
    </row>
    <row r="370" spans="1:35" x14ac:dyDescent="0.3">
      <c r="A370" s="20">
        <v>43588</v>
      </c>
      <c r="C370">
        <f>-(Historical_Simulation!B371-Historical_Simulation!B372)</f>
        <v>-0.64999999999999858</v>
      </c>
      <c r="E370">
        <f>-(Historical_Simulation!C371-Historical_Simulation!C372)</f>
        <v>-61.6400000000001</v>
      </c>
      <c r="G370">
        <f>-(Historical_Simulation!D371-Historical_Simulation!D372)</f>
        <v>-2.9399999999999977</v>
      </c>
      <c r="J370" s="23">
        <v>43592</v>
      </c>
      <c r="K370" s="24">
        <f t="shared" si="20"/>
        <v>16.586800566136947</v>
      </c>
      <c r="L370" s="25"/>
      <c r="M370" s="25"/>
      <c r="N370" s="27"/>
      <c r="Q370" s="23">
        <v>43592</v>
      </c>
      <c r="R370" s="24">
        <f t="shared" si="21"/>
        <v>11.811598993360308</v>
      </c>
      <c r="S370" s="25"/>
      <c r="T370" s="25"/>
      <c r="U370" s="27"/>
      <c r="X370" s="47">
        <v>43592</v>
      </c>
      <c r="Y370" s="48">
        <f t="shared" si="22"/>
        <v>16.56128763313485</v>
      </c>
      <c r="Z370" s="49"/>
      <c r="AA370" s="49"/>
      <c r="AB370" s="51"/>
      <c r="AE370" s="47">
        <v>43592</v>
      </c>
      <c r="AF370" s="48">
        <f t="shared" si="23"/>
        <v>11.970895298577201</v>
      </c>
      <c r="AG370" s="49"/>
      <c r="AH370" s="49"/>
      <c r="AI370" s="51"/>
    </row>
    <row r="371" spans="1:35" x14ac:dyDescent="0.3">
      <c r="A371" s="20">
        <v>43587</v>
      </c>
      <c r="C371">
        <f>-(Historical_Simulation!B372-Historical_Simulation!B373)</f>
        <v>0.34250000000000114</v>
      </c>
      <c r="E371">
        <f>-(Historical_Simulation!C372-Historical_Simulation!C373)</f>
        <v>10.700000000000045</v>
      </c>
      <c r="G371">
        <f>-(Historical_Simulation!D372-Historical_Simulation!D373)</f>
        <v>0.5</v>
      </c>
      <c r="J371" s="23">
        <v>43591</v>
      </c>
      <c r="K371" s="24">
        <f t="shared" si="20"/>
        <v>6.8009472474640491</v>
      </c>
      <c r="L371" s="25"/>
      <c r="M371" s="25"/>
      <c r="N371" s="27"/>
      <c r="Q371" s="23">
        <v>43591</v>
      </c>
      <c r="R371" s="24">
        <f t="shared" si="21"/>
        <v>4.9189460591170855</v>
      </c>
      <c r="S371" s="25"/>
      <c r="T371" s="25"/>
      <c r="U371" s="27"/>
      <c r="X371" s="47">
        <v>43591</v>
      </c>
      <c r="Y371" s="48">
        <f t="shared" si="22"/>
        <v>5.1458668009599773</v>
      </c>
      <c r="Z371" s="49"/>
      <c r="AA371" s="49"/>
      <c r="AB371" s="51"/>
      <c r="AE371" s="47">
        <v>43591</v>
      </c>
      <c r="AF371" s="48">
        <f t="shared" si="23"/>
        <v>3.8349322063404565</v>
      </c>
      <c r="AG371" s="49"/>
      <c r="AH371" s="49"/>
      <c r="AI371" s="51"/>
    </row>
    <row r="372" spans="1:35" x14ac:dyDescent="0.3">
      <c r="A372" s="20">
        <v>43586</v>
      </c>
      <c r="C372">
        <f>-(Historical_Simulation!B373-Historical_Simulation!B374)</f>
        <v>-2.4625000000000057</v>
      </c>
      <c r="E372">
        <f>-(Historical_Simulation!C373-Historical_Simulation!C374)</f>
        <v>15</v>
      </c>
      <c r="G372">
        <f>-(Historical_Simulation!D373-Historical_Simulation!D374)</f>
        <v>0.37000000000000455</v>
      </c>
      <c r="J372" s="23">
        <v>43588</v>
      </c>
      <c r="K372" s="24">
        <f t="shared" si="20"/>
        <v>-33.548845852858257</v>
      </c>
      <c r="L372" s="25"/>
      <c r="M372" s="25"/>
      <c r="N372" s="27"/>
      <c r="Q372" s="23">
        <v>43588</v>
      </c>
      <c r="R372" s="24">
        <f t="shared" si="21"/>
        <v>-23.201020522474597</v>
      </c>
      <c r="S372" s="25"/>
      <c r="T372" s="25"/>
      <c r="U372" s="27"/>
      <c r="X372" s="47">
        <v>43588</v>
      </c>
      <c r="Y372" s="48">
        <f t="shared" si="22"/>
        <v>-13.481016147829546</v>
      </c>
      <c r="Z372" s="49"/>
      <c r="AA372" s="49"/>
      <c r="AB372" s="51"/>
      <c r="AE372" s="47">
        <v>43588</v>
      </c>
      <c r="AF372" s="48">
        <f t="shared" si="23"/>
        <v>-9.5948799385367334</v>
      </c>
      <c r="AG372" s="49"/>
      <c r="AH372" s="49"/>
      <c r="AI372" s="51"/>
    </row>
    <row r="373" spans="1:35" x14ac:dyDescent="0.3">
      <c r="A373" s="20">
        <v>43585</v>
      </c>
      <c r="C373">
        <f>-(Historical_Simulation!B374-Historical_Simulation!B375)</f>
        <v>0.98500000000000654</v>
      </c>
      <c r="E373">
        <f>-(Historical_Simulation!C374-Historical_Simulation!C375)</f>
        <v>11.910000000000082</v>
      </c>
      <c r="G373">
        <f>-(Historical_Simulation!D374-Historical_Simulation!D375)</f>
        <v>1.3799999999999955</v>
      </c>
      <c r="J373" s="23">
        <v>43587</v>
      </c>
      <c r="K373" s="24">
        <f t="shared" si="20"/>
        <v>5.9294781262662788</v>
      </c>
      <c r="L373" s="25"/>
      <c r="M373" s="25"/>
      <c r="N373" s="27"/>
      <c r="Q373" s="23">
        <v>43587</v>
      </c>
      <c r="R373" s="24">
        <f t="shared" si="21"/>
        <v>4.1721801944832162</v>
      </c>
      <c r="S373" s="25"/>
      <c r="T373" s="25"/>
      <c r="U373" s="27"/>
      <c r="X373" s="47">
        <v>43587</v>
      </c>
      <c r="Y373" s="48">
        <f t="shared" si="22"/>
        <v>1.2249825516520272</v>
      </c>
      <c r="Z373" s="49"/>
      <c r="AA373" s="49"/>
      <c r="AB373" s="51"/>
      <c r="AE373" s="47">
        <v>43587</v>
      </c>
      <c r="AF373" s="48">
        <f t="shared" si="23"/>
        <v>0.95770462459368078</v>
      </c>
      <c r="AG373" s="49"/>
      <c r="AH373" s="49"/>
      <c r="AI373" s="51"/>
    </row>
    <row r="374" spans="1:35" x14ac:dyDescent="0.3">
      <c r="A374" s="20">
        <v>43584</v>
      </c>
      <c r="C374">
        <f>-(Historical_Simulation!B375-Historical_Simulation!B376)</f>
        <v>-7.7500000000000568E-2</v>
      </c>
      <c r="E374">
        <f>-(Historical_Simulation!C375-Historical_Simulation!C376)</f>
        <v>12.200000000000045</v>
      </c>
      <c r="G374">
        <f>-(Historical_Simulation!D375-Historical_Simulation!D376)</f>
        <v>-3.289999999999992</v>
      </c>
      <c r="J374" s="23">
        <v>43586</v>
      </c>
      <c r="K374" s="24">
        <f t="shared" si="20"/>
        <v>6.9570129645111685</v>
      </c>
      <c r="L374" s="25"/>
      <c r="M374" s="25"/>
      <c r="N374" s="27"/>
      <c r="Q374" s="23">
        <v>43586</v>
      </c>
      <c r="R374" s="24">
        <f t="shared" si="21"/>
        <v>3.9942502192771236</v>
      </c>
      <c r="S374" s="25"/>
      <c r="T374" s="25"/>
      <c r="U374" s="27"/>
      <c r="X374" s="47">
        <v>43586</v>
      </c>
      <c r="Y374" s="48">
        <f t="shared" si="22"/>
        <v>13.408178270186603</v>
      </c>
      <c r="Z374" s="49"/>
      <c r="AA374" s="49"/>
      <c r="AB374" s="51"/>
      <c r="AE374" s="47">
        <v>43586</v>
      </c>
      <c r="AF374" s="48">
        <f t="shared" si="23"/>
        <v>8.6014180899150183</v>
      </c>
      <c r="AG374" s="49"/>
      <c r="AH374" s="49"/>
      <c r="AI374" s="51"/>
    </row>
    <row r="375" spans="1:35" x14ac:dyDescent="0.3">
      <c r="A375" s="20">
        <v>43581</v>
      </c>
      <c r="C375">
        <f>-(Historical_Simulation!B376-Historical_Simulation!B377)</f>
        <v>0.24499999999999744</v>
      </c>
      <c r="E375">
        <f>-(Historical_Simulation!C376-Historical_Simulation!C377)</f>
        <v>-48.380000000000109</v>
      </c>
      <c r="G375">
        <f>-(Historical_Simulation!D376-Historical_Simulation!D377)</f>
        <v>1.7699999999999818</v>
      </c>
      <c r="J375" s="23">
        <v>43585</v>
      </c>
      <c r="K375" s="24">
        <f t="shared" si="20"/>
        <v>6.878095440932591</v>
      </c>
      <c r="L375" s="25"/>
      <c r="M375" s="25"/>
      <c r="N375" s="27"/>
      <c r="Q375" s="23">
        <v>43585</v>
      </c>
      <c r="R375" s="24">
        <f t="shared" si="21"/>
        <v>5.024513021938624</v>
      </c>
      <c r="S375" s="25"/>
      <c r="T375" s="25"/>
      <c r="U375" s="27"/>
      <c r="X375" s="47">
        <v>43585</v>
      </c>
      <c r="Y375" s="48">
        <f t="shared" si="22"/>
        <v>3.1982102089050422</v>
      </c>
      <c r="Z375" s="49"/>
      <c r="AA375" s="49"/>
      <c r="AB375" s="51"/>
      <c r="AE375" s="47">
        <v>43585</v>
      </c>
      <c r="AF375" s="48">
        <f t="shared" si="23"/>
        <v>2.5278941378698376</v>
      </c>
      <c r="AG375" s="49"/>
      <c r="AH375" s="49"/>
      <c r="AI375" s="51"/>
    </row>
    <row r="376" spans="1:35" x14ac:dyDescent="0.3">
      <c r="A376" s="20">
        <v>43580</v>
      </c>
      <c r="C376">
        <f>-(Historical_Simulation!B377-Historical_Simulation!B378)</f>
        <v>0.46999999999999886</v>
      </c>
      <c r="E376">
        <f>-(Historical_Simulation!C377-Historical_Simulation!C378)</f>
        <v>-0.5</v>
      </c>
      <c r="G376">
        <f>-(Historical_Simulation!D377-Historical_Simulation!D378)</f>
        <v>-10.679999999999978</v>
      </c>
      <c r="J376" s="23">
        <v>43584</v>
      </c>
      <c r="K376" s="24">
        <f t="shared" si="20"/>
        <v>6.5451525653134617</v>
      </c>
      <c r="L376" s="25"/>
      <c r="M376" s="25"/>
      <c r="N376" s="27"/>
      <c r="Q376" s="23">
        <v>43584</v>
      </c>
      <c r="R376" s="24">
        <f t="shared" si="21"/>
        <v>4.4620991878124681</v>
      </c>
      <c r="S376" s="25"/>
      <c r="T376" s="25"/>
      <c r="U376" s="27"/>
      <c r="X376" s="47">
        <v>43584</v>
      </c>
      <c r="Y376" s="48">
        <f t="shared" si="22"/>
        <v>-18.077342521791408</v>
      </c>
      <c r="Z376" s="49"/>
      <c r="AA376" s="49"/>
      <c r="AB376" s="51"/>
      <c r="AE376" s="47">
        <v>43584</v>
      </c>
      <c r="AF376" s="48">
        <f t="shared" si="23"/>
        <v>-12.625721311156855</v>
      </c>
      <c r="AG376" s="49"/>
      <c r="AH376" s="49"/>
      <c r="AI376" s="51"/>
    </row>
    <row r="377" spans="1:35" x14ac:dyDescent="0.3">
      <c r="A377" s="20">
        <v>43579</v>
      </c>
      <c r="C377">
        <f>-(Historical_Simulation!B378-Historical_Simulation!B379)</f>
        <v>7.9999999999998295E-2</v>
      </c>
      <c r="E377">
        <f>-(Historical_Simulation!C378-Historical_Simulation!C379)</f>
        <v>22.019999999999982</v>
      </c>
      <c r="G377">
        <f>-(Historical_Simulation!D378-Historical_Simulation!D379)</f>
        <v>1.1999999999999886</v>
      </c>
      <c r="J377" s="23">
        <v>43581</v>
      </c>
      <c r="K377" s="24">
        <f t="shared" si="20"/>
        <v>-25.983994582640328</v>
      </c>
      <c r="L377" s="25"/>
      <c r="M377" s="25"/>
      <c r="N377" s="27"/>
      <c r="Q377" s="23">
        <v>43581</v>
      </c>
      <c r="R377" s="24">
        <f t="shared" si="21"/>
        <v>-17.734068255539075</v>
      </c>
      <c r="S377" s="25"/>
      <c r="T377" s="25"/>
      <c r="U377" s="27"/>
      <c r="X377" s="47">
        <v>43581</v>
      </c>
      <c r="Y377" s="48">
        <f t="shared" si="22"/>
        <v>8.7896723255195894</v>
      </c>
      <c r="Z377" s="49"/>
      <c r="AA377" s="49"/>
      <c r="AB377" s="51"/>
      <c r="AE377" s="47">
        <v>43581</v>
      </c>
      <c r="AF377" s="48">
        <f t="shared" si="23"/>
        <v>6.2017431905102107</v>
      </c>
      <c r="AG377" s="49"/>
      <c r="AH377" s="49"/>
      <c r="AI377" s="51"/>
    </row>
    <row r="378" spans="1:35" x14ac:dyDescent="0.3">
      <c r="A378" s="20">
        <v>43578</v>
      </c>
      <c r="C378">
        <f>-(Historical_Simulation!B379-Historical_Simulation!B380)</f>
        <v>-0.73749999999999716</v>
      </c>
      <c r="E378">
        <f>-(Historical_Simulation!C379-Historical_Simulation!C380)</f>
        <v>-36.460000000000036</v>
      </c>
      <c r="G378">
        <f>-(Historical_Simulation!D379-Historical_Simulation!D380)</f>
        <v>-2.3400000000000034</v>
      </c>
      <c r="J378" s="23">
        <v>43580</v>
      </c>
      <c r="K378" s="24">
        <f t="shared" si="20"/>
        <v>-5.3231357226963233E-2</v>
      </c>
      <c r="L378" s="25"/>
      <c r="M378" s="25"/>
      <c r="N378" s="27"/>
      <c r="Q378" s="23">
        <v>43580</v>
      </c>
      <c r="R378" s="24">
        <f t="shared" si="21"/>
        <v>0.11134300857844942</v>
      </c>
      <c r="S378" s="25"/>
      <c r="T378" s="25"/>
      <c r="U378" s="27"/>
      <c r="X378" s="47">
        <v>43580</v>
      </c>
      <c r="Y378" s="48">
        <f t="shared" si="22"/>
        <v>-62.004161593143756</v>
      </c>
      <c r="Z378" s="49"/>
      <c r="AA378" s="49"/>
      <c r="AB378" s="51"/>
      <c r="AE378" s="47">
        <v>43580</v>
      </c>
      <c r="AF378" s="48">
        <f t="shared" si="23"/>
        <v>-43.082581360124209</v>
      </c>
      <c r="AG378" s="49"/>
      <c r="AH378" s="49"/>
      <c r="AI378" s="51"/>
    </row>
    <row r="379" spans="1:35" x14ac:dyDescent="0.3">
      <c r="A379" s="20">
        <v>43577</v>
      </c>
      <c r="C379">
        <f>-(Historical_Simulation!B380-Historical_Simulation!B381)</f>
        <v>-0.16749999999999687</v>
      </c>
      <c r="E379">
        <f>-(Historical_Simulation!C380-Historical_Simulation!C381)</f>
        <v>-25.619999999999891</v>
      </c>
      <c r="G379">
        <f>-(Historical_Simulation!D380-Historical_Simulation!D381)</f>
        <v>-3.1599999999999966</v>
      </c>
      <c r="J379" s="23">
        <v>43579</v>
      </c>
      <c r="K379" s="24">
        <f t="shared" si="20"/>
        <v>11.914738121195414</v>
      </c>
      <c r="L379" s="25"/>
      <c r="M379" s="25"/>
      <c r="N379" s="27"/>
      <c r="Q379" s="23">
        <v>43579</v>
      </c>
      <c r="R379" s="24">
        <f t="shared" si="21"/>
        <v>8.1923034966894814</v>
      </c>
      <c r="S379" s="25"/>
      <c r="T379" s="25"/>
      <c r="U379" s="27"/>
      <c r="X379" s="47">
        <v>43579</v>
      </c>
      <c r="Y379" s="48">
        <f t="shared" si="22"/>
        <v>6.3554314784143964</v>
      </c>
      <c r="Z379" s="49"/>
      <c r="AA379" s="49"/>
      <c r="AB379" s="51"/>
      <c r="AE379" s="47">
        <v>43579</v>
      </c>
      <c r="AF379" s="48">
        <f t="shared" si="23"/>
        <v>4.4547884415550474</v>
      </c>
      <c r="AG379" s="49"/>
      <c r="AH379" s="49"/>
      <c r="AI379" s="51"/>
    </row>
    <row r="380" spans="1:35" x14ac:dyDescent="0.3">
      <c r="A380" s="20">
        <v>43574</v>
      </c>
      <c r="C380">
        <f>-(Historical_Simulation!B381-Historical_Simulation!B382)</f>
        <v>0</v>
      </c>
      <c r="E380">
        <f>-(Historical_Simulation!C381-Historical_Simulation!C382)</f>
        <v>0</v>
      </c>
      <c r="G380">
        <f>-(Historical_Simulation!D381-Historical_Simulation!D382)</f>
        <v>0</v>
      </c>
      <c r="J380" s="23">
        <v>43578</v>
      </c>
      <c r="K380" s="24">
        <f t="shared" si="20"/>
        <v>-20.006708410866178</v>
      </c>
      <c r="L380" s="25"/>
      <c r="M380" s="25"/>
      <c r="N380" s="27"/>
      <c r="Q380" s="23">
        <v>43578</v>
      </c>
      <c r="R380" s="24">
        <f t="shared" si="21"/>
        <v>-13.945875645418893</v>
      </c>
      <c r="S380" s="25"/>
      <c r="T380" s="25"/>
      <c r="U380" s="27"/>
      <c r="X380" s="47">
        <v>43578</v>
      </c>
      <c r="Y380" s="48">
        <f t="shared" si="22"/>
        <v>-9.7164097715707118</v>
      </c>
      <c r="Z380" s="49"/>
      <c r="AA380" s="49"/>
      <c r="AB380" s="51"/>
      <c r="AE380" s="47">
        <v>43578</v>
      </c>
      <c r="AF380" s="48">
        <f t="shared" si="23"/>
        <v>-6.9969629264214745</v>
      </c>
      <c r="AG380" s="49"/>
      <c r="AH380" s="49"/>
      <c r="AI380" s="51"/>
    </row>
    <row r="381" spans="1:35" x14ac:dyDescent="0.3">
      <c r="A381" s="20">
        <v>43573</v>
      </c>
      <c r="C381">
        <f>-(Historical_Simulation!B382-Historical_Simulation!B383)</f>
        <v>-0.18250000000000455</v>
      </c>
      <c r="E381">
        <f>-(Historical_Simulation!C382-Historical_Simulation!C383)</f>
        <v>3.1299999999998818</v>
      </c>
      <c r="G381">
        <f>-(Historical_Simulation!D382-Historical_Simulation!D383)</f>
        <v>0.5</v>
      </c>
      <c r="J381" s="23">
        <v>43577</v>
      </c>
      <c r="K381" s="24">
        <f t="shared" si="20"/>
        <v>-13.896928989504339</v>
      </c>
      <c r="L381" s="25"/>
      <c r="M381" s="25"/>
      <c r="N381" s="27"/>
      <c r="Q381" s="23">
        <v>43577</v>
      </c>
      <c r="R381" s="24">
        <f t="shared" si="21"/>
        <v>-9.5785485300587165</v>
      </c>
      <c r="S381" s="25"/>
      <c r="T381" s="25"/>
      <c r="U381" s="27"/>
      <c r="X381" s="47">
        <v>43577</v>
      </c>
      <c r="Y381" s="48">
        <f t="shared" si="22"/>
        <v>-16.934668481388609</v>
      </c>
      <c r="Z381" s="49"/>
      <c r="AA381" s="49"/>
      <c r="AB381" s="51"/>
      <c r="AE381" s="47">
        <v>43577</v>
      </c>
      <c r="AF381" s="48">
        <f t="shared" si="23"/>
        <v>-11.856387867279993</v>
      </c>
      <c r="AG381" s="49"/>
      <c r="AH381" s="49"/>
      <c r="AI381" s="51"/>
    </row>
    <row r="382" spans="1:35" x14ac:dyDescent="0.3">
      <c r="A382" s="20">
        <v>43572</v>
      </c>
      <c r="C382">
        <f>-(Historical_Simulation!B383-Historical_Simulation!B384)</f>
        <v>-0.96999999999999886</v>
      </c>
      <c r="E382">
        <f>-(Historical_Simulation!C383-Historical_Simulation!C384)</f>
        <v>-1.7799999999999727</v>
      </c>
      <c r="G382">
        <f>-(Historical_Simulation!D383-Historical_Simulation!D384)</f>
        <v>9.0000000000003411E-2</v>
      </c>
      <c r="J382" s="23">
        <v>43574</v>
      </c>
      <c r="K382" s="24">
        <f t="shared" si="20"/>
        <v>0</v>
      </c>
      <c r="L382" s="25"/>
      <c r="M382" s="25"/>
      <c r="N382" s="27"/>
      <c r="Q382" s="23">
        <v>43574</v>
      </c>
      <c r="R382" s="24">
        <f t="shared" si="21"/>
        <v>0</v>
      </c>
      <c r="S382" s="25"/>
      <c r="T382" s="25"/>
      <c r="U382" s="27"/>
      <c r="X382" s="47">
        <v>43574</v>
      </c>
      <c r="Y382" s="48">
        <f t="shared" si="22"/>
        <v>0</v>
      </c>
      <c r="Z382" s="49"/>
      <c r="AA382" s="49"/>
      <c r="AB382" s="51"/>
      <c r="AE382" s="47">
        <v>43574</v>
      </c>
      <c r="AF382" s="48">
        <f t="shared" si="23"/>
        <v>0</v>
      </c>
      <c r="AG382" s="49"/>
      <c r="AH382" s="49"/>
      <c r="AI382" s="51"/>
    </row>
    <row r="383" spans="1:35" x14ac:dyDescent="0.3">
      <c r="A383" s="20">
        <v>43571</v>
      </c>
      <c r="C383">
        <f>-(Historical_Simulation!B384-Historical_Simulation!B385)</f>
        <v>-5.000000000002558E-3</v>
      </c>
      <c r="E383">
        <f>-(Historical_Simulation!C384-Historical_Simulation!C385)</f>
        <v>-18.170000000000073</v>
      </c>
      <c r="G383">
        <f>-(Historical_Simulation!D384-Historical_Simulation!D385)</f>
        <v>0.78000000000000114</v>
      </c>
      <c r="J383" s="23">
        <v>43573</v>
      </c>
      <c r="K383" s="24">
        <f t="shared" si="20"/>
        <v>1.6043081142414948</v>
      </c>
      <c r="L383" s="25"/>
      <c r="M383" s="25"/>
      <c r="N383" s="27"/>
      <c r="Q383" s="23">
        <v>43573</v>
      </c>
      <c r="R383" s="24">
        <f t="shared" si="21"/>
        <v>1.0422951382307615</v>
      </c>
      <c r="S383" s="25"/>
      <c r="T383" s="25"/>
      <c r="U383" s="27"/>
      <c r="X383" s="47">
        <v>43573</v>
      </c>
      <c r="Y383" s="48">
        <f t="shared" si="22"/>
        <v>3.6415910571588279</v>
      </c>
      <c r="Z383" s="49"/>
      <c r="AA383" s="49"/>
      <c r="AB383" s="51"/>
      <c r="AE383" s="47">
        <v>43573</v>
      </c>
      <c r="AF383" s="48">
        <f t="shared" si="23"/>
        <v>2.4833867065726443</v>
      </c>
      <c r="AG383" s="49"/>
      <c r="AH383" s="49"/>
      <c r="AI383" s="51"/>
    </row>
    <row r="384" spans="1:35" x14ac:dyDescent="0.3">
      <c r="A384" s="20">
        <v>43570</v>
      </c>
      <c r="C384">
        <f>-(Historical_Simulation!B385-Historical_Simulation!B386)</f>
        <v>-8.9999999999996305E-2</v>
      </c>
      <c r="E384">
        <f>-(Historical_Simulation!C385-Historical_Simulation!C386)</f>
        <v>-1.8099999999999454</v>
      </c>
      <c r="G384">
        <f>-(Historical_Simulation!D385-Historical_Simulation!D386)</f>
        <v>-0.55000000000001137</v>
      </c>
      <c r="J384" s="23">
        <v>43572</v>
      </c>
      <c r="K384" s="24">
        <f t="shared" si="20"/>
        <v>-1.4069251539730154</v>
      </c>
      <c r="L384" s="25"/>
      <c r="M384" s="25"/>
      <c r="N384" s="27"/>
      <c r="Q384" s="23">
        <v>43572</v>
      </c>
      <c r="R384" s="24">
        <f t="shared" si="21"/>
        <v>-1.2694970753107679</v>
      </c>
      <c r="S384" s="25"/>
      <c r="T384" s="25"/>
      <c r="U384" s="27"/>
      <c r="X384" s="47">
        <v>43572</v>
      </c>
      <c r="Y384" s="48">
        <f t="shared" si="22"/>
        <v>4.9692476492136928</v>
      </c>
      <c r="Z384" s="49"/>
      <c r="AA384" s="49"/>
      <c r="AB384" s="51"/>
      <c r="AE384" s="47">
        <v>43572</v>
      </c>
      <c r="AF384" s="48">
        <f t="shared" si="23"/>
        <v>3.1704247750432168</v>
      </c>
      <c r="AG384" s="49"/>
      <c r="AH384" s="49"/>
      <c r="AI384" s="51"/>
    </row>
    <row r="385" spans="1:35" x14ac:dyDescent="0.3">
      <c r="A385" s="20">
        <v>43567</v>
      </c>
      <c r="C385">
        <f>-(Historical_Simulation!B386-Historical_Simulation!B387)</f>
        <v>1.9999999999996021E-2</v>
      </c>
      <c r="E385">
        <f>-(Historical_Simulation!C386-Historical_Simulation!C387)</f>
        <v>1.0099999999999909</v>
      </c>
      <c r="G385">
        <f>-(Historical_Simulation!D386-Historical_Simulation!D387)</f>
        <v>-1.5900000000000034</v>
      </c>
      <c r="J385" s="23">
        <v>43571</v>
      </c>
      <c r="K385" s="24">
        <f t="shared" si="20"/>
        <v>-9.8034511381730063</v>
      </c>
      <c r="L385" s="25"/>
      <c r="M385" s="25"/>
      <c r="N385" s="27"/>
      <c r="Q385" s="23">
        <v>43571</v>
      </c>
      <c r="R385" s="24">
        <f t="shared" si="21"/>
        <v>-6.7214992259510105</v>
      </c>
      <c r="S385" s="25"/>
      <c r="T385" s="25"/>
      <c r="U385" s="27"/>
      <c r="X385" s="47">
        <v>43571</v>
      </c>
      <c r="Y385" s="48">
        <f t="shared" si="22"/>
        <v>4.3934050987101481</v>
      </c>
      <c r="Z385" s="49"/>
      <c r="AA385" s="49"/>
      <c r="AB385" s="51"/>
      <c r="AE385" s="47">
        <v>43571</v>
      </c>
      <c r="AF385" s="48">
        <f t="shared" si="23"/>
        <v>3.0612579701971039</v>
      </c>
      <c r="AG385" s="49"/>
      <c r="AH385" s="49"/>
      <c r="AI385" s="51"/>
    </row>
    <row r="386" spans="1:35" x14ac:dyDescent="0.3">
      <c r="A386" s="20">
        <v>43566</v>
      </c>
      <c r="C386">
        <f>-(Historical_Simulation!B387-Historical_Simulation!B388)</f>
        <v>0.41750000000000398</v>
      </c>
      <c r="E386">
        <f>-(Historical_Simulation!C387-Historical_Simulation!C388)</f>
        <v>3.2599999999999909</v>
      </c>
      <c r="G386">
        <f>-(Historical_Simulation!D387-Historical_Simulation!D388)</f>
        <v>0.31000000000000227</v>
      </c>
      <c r="J386" s="23">
        <v>43570</v>
      </c>
      <c r="K386" s="24">
        <f t="shared" si="20"/>
        <v>-1.0177916849797377</v>
      </c>
      <c r="L386" s="25"/>
      <c r="M386" s="25"/>
      <c r="N386" s="27"/>
      <c r="Q386" s="23">
        <v>43570</v>
      </c>
      <c r="R386" s="24">
        <f t="shared" si="21"/>
        <v>-0.72596909819076683</v>
      </c>
      <c r="S386" s="25"/>
      <c r="T386" s="25"/>
      <c r="U386" s="27"/>
      <c r="X386" s="47">
        <v>43570</v>
      </c>
      <c r="Y386" s="48">
        <f t="shared" si="22"/>
        <v>-2.6674093572060169</v>
      </c>
      <c r="Z386" s="49"/>
      <c r="AA386" s="49"/>
      <c r="AB386" s="51"/>
      <c r="AE386" s="47">
        <v>43570</v>
      </c>
      <c r="AF386" s="48">
        <f t="shared" si="23"/>
        <v>-1.8867881099244657</v>
      </c>
      <c r="AG386" s="49"/>
      <c r="AH386" s="49"/>
      <c r="AI386" s="51"/>
    </row>
    <row r="387" spans="1:35" x14ac:dyDescent="0.3">
      <c r="A387" s="20">
        <v>43565</v>
      </c>
      <c r="C387">
        <f>-(Historical_Simulation!B388-Historical_Simulation!B389)</f>
        <v>-0.28000000000000114</v>
      </c>
      <c r="E387">
        <f>-(Historical_Simulation!C388-Historical_Simulation!C389)</f>
        <v>-11.490000000000009</v>
      </c>
      <c r="G387">
        <f>-(Historical_Simulation!D388-Historical_Simulation!D389)</f>
        <v>-0.23999999999998067</v>
      </c>
      <c r="J387" s="23">
        <v>43567</v>
      </c>
      <c r="K387" s="24">
        <f t="shared" si="20"/>
        <v>0.55401963263369747</v>
      </c>
      <c r="L387" s="25"/>
      <c r="M387" s="25"/>
      <c r="N387" s="27"/>
      <c r="Q387" s="23">
        <v>43567</v>
      </c>
      <c r="R387" s="24">
        <f t="shared" si="21"/>
        <v>0.38605198093539034</v>
      </c>
      <c r="S387" s="25"/>
      <c r="T387" s="25"/>
      <c r="U387" s="27"/>
      <c r="X387" s="47">
        <v>43567</v>
      </c>
      <c r="Y387" s="48">
        <f t="shared" si="22"/>
        <v>-9.0009327502207785</v>
      </c>
      <c r="Z387" s="49"/>
      <c r="AA387" s="49"/>
      <c r="AB387" s="51"/>
      <c r="AE387" s="47">
        <v>43567</v>
      </c>
      <c r="AF387" s="48">
        <f t="shared" si="23"/>
        <v>-6.2687583847354391</v>
      </c>
      <c r="AG387" s="49"/>
      <c r="AH387" s="49"/>
      <c r="AI387" s="51"/>
    </row>
    <row r="388" spans="1:35" x14ac:dyDescent="0.3">
      <c r="A388" s="20">
        <v>43564</v>
      </c>
      <c r="C388">
        <f>-(Historical_Simulation!B389-Historical_Simulation!B390)</f>
        <v>0.14999999999999858</v>
      </c>
      <c r="E388">
        <f>-(Historical_Simulation!C389-Historical_Simulation!C390)</f>
        <v>14.019999999999982</v>
      </c>
      <c r="G388">
        <f>-(Historical_Simulation!D389-Historical_Simulation!D390)</f>
        <v>-2.6500000000000057</v>
      </c>
      <c r="J388" s="23">
        <v>43566</v>
      </c>
      <c r="K388" s="24">
        <f t="shared" si="20"/>
        <v>1.9507836421831324</v>
      </c>
      <c r="L388" s="25"/>
      <c r="M388" s="25"/>
      <c r="N388" s="27"/>
      <c r="Q388" s="23">
        <v>43566</v>
      </c>
      <c r="R388" s="24">
        <f t="shared" si="21"/>
        <v>1.468512884655417</v>
      </c>
      <c r="S388" s="25"/>
      <c r="T388" s="25"/>
      <c r="U388" s="27"/>
      <c r="X388" s="47">
        <v>43566</v>
      </c>
      <c r="Y388" s="48">
        <f t="shared" si="22"/>
        <v>-0.18482936065139266</v>
      </c>
      <c r="Z388" s="49"/>
      <c r="AA388" s="49"/>
      <c r="AB388" s="51"/>
      <c r="AE388" s="47">
        <v>43566</v>
      </c>
      <c r="AF388" s="48">
        <f t="shared" si="23"/>
        <v>-2.4015691671204209E-3</v>
      </c>
      <c r="AG388" s="49"/>
      <c r="AH388" s="49"/>
      <c r="AI388" s="51"/>
    </row>
    <row r="389" spans="1:35" x14ac:dyDescent="0.3">
      <c r="A389" s="20">
        <v>43563</v>
      </c>
      <c r="C389">
        <f>-(Historical_Simulation!B390-Historical_Simulation!B391)</f>
        <v>-0.77499999999999858</v>
      </c>
      <c r="E389">
        <f>-(Historical_Simulation!C390-Historical_Simulation!C391)</f>
        <v>-12.579999999999927</v>
      </c>
      <c r="G389">
        <f>-(Historical_Simulation!D390-Historical_Simulation!D391)</f>
        <v>0.78999999999999204</v>
      </c>
      <c r="J389" s="23">
        <v>43565</v>
      </c>
      <c r="K389" s="24">
        <f t="shared" si="20"/>
        <v>-6.3268283654786153</v>
      </c>
      <c r="L389" s="25"/>
      <c r="M389" s="25"/>
      <c r="N389" s="27"/>
      <c r="Q389" s="23">
        <v>43565</v>
      </c>
      <c r="R389" s="24">
        <f t="shared" si="21"/>
        <v>-4.4248916225109047</v>
      </c>
      <c r="S389" s="25"/>
      <c r="T389" s="25"/>
      <c r="U389" s="27"/>
      <c r="X389" s="47">
        <v>43565</v>
      </c>
      <c r="Y389" s="48">
        <f t="shared" si="22"/>
        <v>-5.5877447199370378E-2</v>
      </c>
      <c r="Z389" s="49"/>
      <c r="AA389" s="49"/>
      <c r="AB389" s="51"/>
      <c r="AE389" s="47">
        <v>43565</v>
      </c>
      <c r="AF389" s="48">
        <f t="shared" si="23"/>
        <v>-0.12375755565866819</v>
      </c>
      <c r="AG389" s="49"/>
      <c r="AH389" s="49"/>
      <c r="AI389" s="51"/>
    </row>
    <row r="390" spans="1:35" x14ac:dyDescent="0.3">
      <c r="A390" s="20">
        <v>43560</v>
      </c>
      <c r="C390">
        <f>-(Historical_Simulation!B391-Historical_Simulation!B392)</f>
        <v>-0.32750000000000057</v>
      </c>
      <c r="E390">
        <f>-(Historical_Simulation!C391-Historical_Simulation!C392)</f>
        <v>-18.420000000000073</v>
      </c>
      <c r="G390">
        <f>-(Historical_Simulation!D391-Historical_Simulation!D392)</f>
        <v>0.30000000000001137</v>
      </c>
      <c r="J390" s="23">
        <v>43564</v>
      </c>
      <c r="K390" s="24">
        <f t="shared" ref="K390:K453" si="24">C388*$K$3+E388*(1-$K$3)</f>
        <v>7.631668994575219</v>
      </c>
      <c r="L390" s="25"/>
      <c r="M390" s="25"/>
      <c r="N390" s="27"/>
      <c r="Q390" s="23">
        <v>43564</v>
      </c>
      <c r="R390" s="24">
        <f t="shared" si="21"/>
        <v>5.2784252278524626</v>
      </c>
      <c r="S390" s="25"/>
      <c r="T390" s="25"/>
      <c r="U390" s="27"/>
      <c r="X390" s="47">
        <v>43564</v>
      </c>
      <c r="Y390" s="48">
        <f t="shared" si="22"/>
        <v>-15.538578696036158</v>
      </c>
      <c r="Z390" s="49"/>
      <c r="AA390" s="49"/>
      <c r="AB390" s="51"/>
      <c r="AE390" s="47">
        <v>43564</v>
      </c>
      <c r="AF390" s="48">
        <f t="shared" si="23"/>
        <v>-10.786971103887733</v>
      </c>
      <c r="AG390" s="49"/>
      <c r="AH390" s="49"/>
      <c r="AI390" s="51"/>
    </row>
    <row r="391" spans="1:35" x14ac:dyDescent="0.3">
      <c r="A391" s="20">
        <v>43559</v>
      </c>
      <c r="C391">
        <f>-(Historical_Simulation!B392-Historical_Simulation!B393)</f>
        <v>-8.5000000000000853E-2</v>
      </c>
      <c r="E391">
        <f>-(Historical_Simulation!C392-Historical_Simulation!C393)</f>
        <v>1.8400000000001455</v>
      </c>
      <c r="G391">
        <f>-(Historical_Simulation!D392-Historical_Simulation!D393)</f>
        <v>-2.4800000000000182</v>
      </c>
      <c r="J391" s="23">
        <v>43563</v>
      </c>
      <c r="K391" s="24">
        <f t="shared" si="24"/>
        <v>-7.1427795588291296</v>
      </c>
      <c r="L391" s="25"/>
      <c r="M391" s="25"/>
      <c r="N391" s="27"/>
      <c r="Q391" s="23">
        <v>43563</v>
      </c>
      <c r="R391" s="24">
        <f t="shared" ref="R391:R454" si="25">C389*$R$3+E389*(1-$R$3)</f>
        <v>-5.1398925605478034</v>
      </c>
      <c r="S391" s="25"/>
      <c r="T391" s="25"/>
      <c r="U391" s="27"/>
      <c r="X391" s="47">
        <v>43563</v>
      </c>
      <c r="Y391" s="48">
        <f t="shared" ref="Y391:Y454" si="26">C389*$Y$3+G389*(1-$Y$3)</f>
        <v>7.9937948783201449</v>
      </c>
      <c r="Z391" s="49"/>
      <c r="AA391" s="49"/>
      <c r="AB391" s="51"/>
      <c r="AE391" s="47">
        <v>43563</v>
      </c>
      <c r="AF391" s="48">
        <f t="shared" ref="AF391:AF454" si="27">C389*$AF$3+G389*(1-$AF$3)</f>
        <v>5.337985634851492</v>
      </c>
      <c r="AG391" s="49"/>
      <c r="AH391" s="49"/>
      <c r="AI391" s="51"/>
    </row>
    <row r="392" spans="1:35" x14ac:dyDescent="0.3">
      <c r="A392" s="20">
        <v>43558</v>
      </c>
      <c r="C392">
        <f>-(Historical_Simulation!B393-Historical_Simulation!B394)</f>
        <v>-0.33249999999999602</v>
      </c>
      <c r="E392">
        <f>-(Historical_Simulation!C393-Historical_Simulation!C394)</f>
        <v>-6.7200000000000273</v>
      </c>
      <c r="G392">
        <f>-(Historical_Simulation!D393-Historical_Simulation!D394)</f>
        <v>0.65999999999999659</v>
      </c>
      <c r="J392" s="23">
        <v>43560</v>
      </c>
      <c r="K392" s="24">
        <f t="shared" si="24"/>
        <v>-10.086843639823568</v>
      </c>
      <c r="L392" s="25"/>
      <c r="M392" s="25"/>
      <c r="N392" s="27"/>
      <c r="Q392" s="23">
        <v>43560</v>
      </c>
      <c r="R392" s="24">
        <f t="shared" si="25"/>
        <v>-7.0171923889633163</v>
      </c>
      <c r="S392" s="25"/>
      <c r="T392" s="25"/>
      <c r="U392" s="27"/>
      <c r="X392" s="47">
        <v>43560</v>
      </c>
      <c r="Y392" s="48">
        <f t="shared" si="26"/>
        <v>3.1884225470581637</v>
      </c>
      <c r="Z392" s="49"/>
      <c r="AA392" s="49"/>
      <c r="AB392" s="51"/>
      <c r="AE392" s="47">
        <v>43560</v>
      </c>
      <c r="AF392" s="48">
        <f t="shared" si="27"/>
        <v>2.1235533456034541</v>
      </c>
      <c r="AG392" s="49"/>
      <c r="AH392" s="49"/>
      <c r="AI392" s="51"/>
    </row>
    <row r="393" spans="1:35" x14ac:dyDescent="0.3">
      <c r="A393" s="20">
        <v>43557</v>
      </c>
      <c r="C393">
        <f>-(Historical_Simulation!B394-Historical_Simulation!B395)</f>
        <v>-0.69500000000000028</v>
      </c>
      <c r="E393">
        <f>-(Historical_Simulation!C394-Historical_Simulation!C395)</f>
        <v>0.21000000000003638</v>
      </c>
      <c r="G393">
        <f>-(Historical_Simulation!D394-Historical_Simulation!D395)</f>
        <v>-5.5</v>
      </c>
      <c r="J393" s="23">
        <v>43559</v>
      </c>
      <c r="K393" s="24">
        <f t="shared" si="24"/>
        <v>0.95337150789894731</v>
      </c>
      <c r="L393" s="25"/>
      <c r="M393" s="25"/>
      <c r="N393" s="27"/>
      <c r="Q393" s="23">
        <v>43559</v>
      </c>
      <c r="R393" s="24">
        <f t="shared" si="25"/>
        <v>0.6267677407077682</v>
      </c>
      <c r="S393" s="25"/>
      <c r="T393" s="25"/>
      <c r="U393" s="27"/>
      <c r="X393" s="47">
        <v>43559</v>
      </c>
      <c r="Y393" s="48">
        <f t="shared" si="26"/>
        <v>-13.504337848931005</v>
      </c>
      <c r="Z393" s="49"/>
      <c r="AA393" s="49"/>
      <c r="AB393" s="51"/>
      <c r="AE393" s="47">
        <v>43559</v>
      </c>
      <c r="AF393" s="48">
        <f t="shared" si="27"/>
        <v>-9.4400163549325971</v>
      </c>
      <c r="AG393" s="49"/>
      <c r="AH393" s="49"/>
      <c r="AI393" s="51"/>
    </row>
    <row r="394" spans="1:35" x14ac:dyDescent="0.3">
      <c r="A394" s="20">
        <v>43556</v>
      </c>
      <c r="C394">
        <f>-(Historical_Simulation!B395-Historical_Simulation!B396)</f>
        <v>-0.32250000000000512</v>
      </c>
      <c r="E394">
        <f>-(Historical_Simulation!C395-Historical_Simulation!C396)</f>
        <v>-33.440000000000055</v>
      </c>
      <c r="G394">
        <f>-(Historical_Simulation!D395-Historical_Simulation!D396)</f>
        <v>-2.0099999999999909</v>
      </c>
      <c r="J394" s="23">
        <v>43558</v>
      </c>
      <c r="K394" s="24">
        <f t="shared" si="24"/>
        <v>-3.7780054580280793</v>
      </c>
      <c r="L394" s="25"/>
      <c r="M394" s="25"/>
      <c r="N394" s="27"/>
      <c r="Q394" s="23">
        <v>43558</v>
      </c>
      <c r="R394" s="24">
        <f t="shared" si="25"/>
        <v>-2.6942747759846974</v>
      </c>
      <c r="S394" s="25"/>
      <c r="T394" s="25"/>
      <c r="U394" s="27"/>
      <c r="X394" s="47">
        <v>43558</v>
      </c>
      <c r="Y394" s="48">
        <f t="shared" si="26"/>
        <v>5.2285408413627703</v>
      </c>
      <c r="Z394" s="49"/>
      <c r="AA394" s="49"/>
      <c r="AB394" s="51"/>
      <c r="AE394" s="47">
        <v>43558</v>
      </c>
      <c r="AF394" s="48">
        <f t="shared" si="27"/>
        <v>3.5442656502173175</v>
      </c>
      <c r="AG394" s="49"/>
      <c r="AH394" s="49"/>
      <c r="AI394" s="51"/>
    </row>
    <row r="395" spans="1:35" x14ac:dyDescent="0.3">
      <c r="A395" s="20">
        <v>43553</v>
      </c>
      <c r="C395">
        <f>-(Historical_Simulation!B396-Historical_Simulation!B397)</f>
        <v>-0.30749999999999744</v>
      </c>
      <c r="E395">
        <f>-(Historical_Simulation!C396-Historical_Simulation!C397)</f>
        <v>-7.3299999999999272</v>
      </c>
      <c r="G395">
        <f>-(Historical_Simulation!D396-Historical_Simulation!D397)</f>
        <v>-1.1399999999999864</v>
      </c>
      <c r="J395" s="23">
        <v>43557</v>
      </c>
      <c r="K395" s="24">
        <f t="shared" si="24"/>
        <v>-0.20683053784492766</v>
      </c>
      <c r="L395" s="25"/>
      <c r="M395" s="25"/>
      <c r="N395" s="27"/>
      <c r="Q395" s="23">
        <v>43557</v>
      </c>
      <c r="R395" s="24">
        <f t="shared" si="25"/>
        <v>-0.36037672449843766</v>
      </c>
      <c r="S395" s="25"/>
      <c r="T395" s="25"/>
      <c r="U395" s="27"/>
      <c r="X395" s="47">
        <v>43557</v>
      </c>
      <c r="Y395" s="48">
        <f t="shared" si="26"/>
        <v>-27.617721655162004</v>
      </c>
      <c r="Z395" s="49"/>
      <c r="AA395" s="49"/>
      <c r="AB395" s="51"/>
      <c r="AE395" s="47">
        <v>43557</v>
      </c>
      <c r="AF395" s="48">
        <f t="shared" si="27"/>
        <v>-19.463623626493028</v>
      </c>
      <c r="AG395" s="49"/>
      <c r="AH395" s="49"/>
      <c r="AI395" s="51"/>
    </row>
    <row r="396" spans="1:35" x14ac:dyDescent="0.3">
      <c r="A396" s="20">
        <v>43552</v>
      </c>
      <c r="C396">
        <f>-(Historical_Simulation!B397-Historical_Simulation!B398)</f>
        <v>-6.25E-2</v>
      </c>
      <c r="E396">
        <f>-(Historical_Simulation!C397-Historical_Simulation!C398)</f>
        <v>-7.7200000000000273</v>
      </c>
      <c r="G396">
        <f>-(Historical_Simulation!D397-Historical_Simulation!D398)</f>
        <v>0.31999999999999318</v>
      </c>
      <c r="J396" s="23">
        <v>43556</v>
      </c>
      <c r="K396" s="24">
        <f t="shared" si="24"/>
        <v>-18.186535539138109</v>
      </c>
      <c r="L396" s="25"/>
      <c r="M396" s="25"/>
      <c r="N396" s="27"/>
      <c r="Q396" s="23">
        <v>43556</v>
      </c>
      <c r="R396" s="24">
        <f t="shared" si="25"/>
        <v>-12.567678261240411</v>
      </c>
      <c r="S396" s="25"/>
      <c r="T396" s="25"/>
      <c r="U396" s="27"/>
      <c r="X396" s="47">
        <v>43556</v>
      </c>
      <c r="Y396" s="48">
        <f t="shared" si="26"/>
        <v>-9.7776701962717016</v>
      </c>
      <c r="Z396" s="49"/>
      <c r="AA396" s="49"/>
      <c r="AB396" s="51"/>
      <c r="AE396" s="47">
        <v>43556</v>
      </c>
      <c r="AF396" s="48">
        <f t="shared" si="27"/>
        <v>-6.913978120646564</v>
      </c>
      <c r="AG396" s="49"/>
      <c r="AH396" s="49"/>
      <c r="AI396" s="51"/>
    </row>
    <row r="397" spans="1:35" x14ac:dyDescent="0.3">
      <c r="A397" s="20">
        <v>43551</v>
      </c>
      <c r="C397">
        <f>-(Historical_Simulation!B398-Historical_Simulation!B399)</f>
        <v>-0.42000000000000171</v>
      </c>
      <c r="E397">
        <f>-(Historical_Simulation!C398-Historical_Simulation!C399)</f>
        <v>18.059999999999945</v>
      </c>
      <c r="G397">
        <f>-(Historical_Simulation!D398-Historical_Simulation!D399)</f>
        <v>1.8100000000000023</v>
      </c>
      <c r="J397" s="23">
        <v>43553</v>
      </c>
      <c r="K397" s="24">
        <f t="shared" si="24"/>
        <v>-4.0955332021920681</v>
      </c>
      <c r="L397" s="25"/>
      <c r="M397" s="25"/>
      <c r="N397" s="27"/>
      <c r="Q397" s="23">
        <v>43553</v>
      </c>
      <c r="R397" s="24">
        <f t="shared" si="25"/>
        <v>-2.9040656930492847</v>
      </c>
      <c r="S397" s="25"/>
      <c r="T397" s="25"/>
      <c r="U397" s="27"/>
      <c r="X397" s="47">
        <v>43553</v>
      </c>
      <c r="Y397" s="48">
        <f t="shared" si="26"/>
        <v>-4.9720506301606786</v>
      </c>
      <c r="Z397" s="49"/>
      <c r="AA397" s="49"/>
      <c r="AB397" s="51"/>
      <c r="AE397" s="47">
        <v>43553</v>
      </c>
      <c r="AF397" s="48">
        <f t="shared" si="27"/>
        <v>-3.5592958728522843</v>
      </c>
      <c r="AG397" s="49"/>
      <c r="AH397" s="49"/>
      <c r="AI397" s="51"/>
    </row>
    <row r="398" spans="1:35" x14ac:dyDescent="0.3">
      <c r="A398" s="20">
        <v>43550</v>
      </c>
      <c r="C398">
        <f>-(Historical_Simulation!B399-Historical_Simulation!B400)</f>
        <v>0.48750000000000426</v>
      </c>
      <c r="E398">
        <f>-(Historical_Simulation!C399-Historical_Simulation!C400)</f>
        <v>-9.5</v>
      </c>
      <c r="G398">
        <f>-(Historical_Simulation!D399-Historical_Simulation!D400)</f>
        <v>-1.3900000000000148</v>
      </c>
      <c r="J398" s="23">
        <v>43552</v>
      </c>
      <c r="K398" s="24">
        <f t="shared" si="24"/>
        <v>-4.1930609463561659</v>
      </c>
      <c r="L398" s="25"/>
      <c r="M398" s="25"/>
      <c r="N398" s="27"/>
      <c r="Q398" s="23">
        <v>43552</v>
      </c>
      <c r="R398" s="24">
        <f t="shared" si="25"/>
        <v>-2.893856610113946</v>
      </c>
      <c r="S398" s="25"/>
      <c r="T398" s="25"/>
      <c r="U398" s="27"/>
      <c r="X398" s="47">
        <v>43552</v>
      </c>
      <c r="Y398" s="48">
        <f t="shared" si="26"/>
        <v>2.0806719111548979</v>
      </c>
      <c r="Z398" s="49"/>
      <c r="AA398" s="49"/>
      <c r="AB398" s="51"/>
      <c r="AE398" s="47">
        <v>43552</v>
      </c>
      <c r="AF398" s="48">
        <f t="shared" si="27"/>
        <v>1.4315683740132061</v>
      </c>
      <c r="AG398" s="49"/>
      <c r="AH398" s="49"/>
      <c r="AI398" s="51"/>
    </row>
    <row r="399" spans="1:35" x14ac:dyDescent="0.3">
      <c r="A399" s="20">
        <v>43549</v>
      </c>
      <c r="C399">
        <f>-(Historical_Simulation!B400-Historical_Simulation!B401)</f>
        <v>0.57750000000000057</v>
      </c>
      <c r="E399">
        <f>-(Historical_Simulation!C400-Historical_Simulation!C401)</f>
        <v>-9.4900000000000091</v>
      </c>
      <c r="G399">
        <f>-(Historical_Simulation!D400-Historical_Simulation!D401)</f>
        <v>-1.9499999999999886</v>
      </c>
      <c r="J399" s="23">
        <v>43551</v>
      </c>
      <c r="K399" s="24">
        <f t="shared" si="24"/>
        <v>9.5483664758291145</v>
      </c>
      <c r="L399" s="25"/>
      <c r="M399" s="25"/>
      <c r="N399" s="27"/>
      <c r="Q399" s="23">
        <v>43551</v>
      </c>
      <c r="R399" s="24">
        <f t="shared" si="25"/>
        <v>6.4129703107940417</v>
      </c>
      <c r="S399" s="25"/>
      <c r="T399" s="25"/>
      <c r="U399" s="27"/>
      <c r="X399" s="47">
        <v>43551</v>
      </c>
      <c r="Y399" s="48">
        <f t="shared" si="26"/>
        <v>12.074832318628799</v>
      </c>
      <c r="Z399" s="49"/>
      <c r="AA399" s="49"/>
      <c r="AB399" s="51"/>
      <c r="AE399" s="47">
        <v>43551</v>
      </c>
      <c r="AF399" s="48">
        <f t="shared" si="27"/>
        <v>8.290516272024874</v>
      </c>
      <c r="AG399" s="49"/>
      <c r="AH399" s="49"/>
      <c r="AI399" s="51"/>
    </row>
    <row r="400" spans="1:35" x14ac:dyDescent="0.3">
      <c r="A400" s="20">
        <v>43546</v>
      </c>
      <c r="C400">
        <f>-(Historical_Simulation!B401-Historical_Simulation!B402)</f>
        <v>1.009999999999998</v>
      </c>
      <c r="E400">
        <f>-(Historical_Simulation!C401-Historical_Simulation!C402)</f>
        <v>54.490000000000009</v>
      </c>
      <c r="G400">
        <f>-(Historical_Simulation!D401-Historical_Simulation!D402)</f>
        <v>1.7400000000000091</v>
      </c>
      <c r="J400" s="23">
        <v>43550</v>
      </c>
      <c r="K400" s="24">
        <f t="shared" si="24"/>
        <v>-4.8998950312415337</v>
      </c>
      <c r="L400" s="25"/>
      <c r="M400" s="25"/>
      <c r="N400" s="27"/>
      <c r="Q400" s="23">
        <v>43550</v>
      </c>
      <c r="R400" s="24">
        <f t="shared" si="25"/>
        <v>-3.2053728884770374</v>
      </c>
      <c r="S400" s="25"/>
      <c r="T400" s="25"/>
      <c r="U400" s="27"/>
      <c r="X400" s="47">
        <v>43550</v>
      </c>
      <c r="Y400" s="48">
        <f t="shared" si="26"/>
        <v>-10.032252322074331</v>
      </c>
      <c r="Z400" s="49"/>
      <c r="AA400" s="49"/>
      <c r="AB400" s="51"/>
      <c r="AE400" s="47">
        <v>43550</v>
      </c>
      <c r="AF400" s="48">
        <f t="shared" si="27"/>
        <v>-6.846129731267637</v>
      </c>
      <c r="AG400" s="49"/>
      <c r="AH400" s="49"/>
      <c r="AI400" s="51"/>
    </row>
    <row r="401" spans="1:35" x14ac:dyDescent="0.3">
      <c r="A401" s="20">
        <v>43545</v>
      </c>
      <c r="C401">
        <f>-(Historical_Simulation!B402-Historical_Simulation!B403)</f>
        <v>-1.7325000000000017</v>
      </c>
      <c r="E401">
        <f>-(Historical_Simulation!C402-Historical_Simulation!C403)</f>
        <v>-21.990000000000009</v>
      </c>
      <c r="G401">
        <f>-(Historical_Simulation!D402-Historical_Simulation!D403)</f>
        <v>-0.64000000000001478</v>
      </c>
      <c r="J401" s="23">
        <v>43549</v>
      </c>
      <c r="K401" s="24">
        <f t="shared" si="24"/>
        <v>-4.8530481328685067</v>
      </c>
      <c r="L401" s="25"/>
      <c r="M401" s="25"/>
      <c r="N401" s="27"/>
      <c r="Q401" s="23">
        <v>43549</v>
      </c>
      <c r="R401" s="24">
        <f t="shared" si="25"/>
        <v>-3.1449528465324286</v>
      </c>
      <c r="S401" s="25"/>
      <c r="T401" s="25"/>
      <c r="U401" s="27"/>
      <c r="X401" s="47">
        <v>43549</v>
      </c>
      <c r="Y401" s="48">
        <f t="shared" si="26"/>
        <v>-13.584243805082554</v>
      </c>
      <c r="Z401" s="49"/>
      <c r="AA401" s="49"/>
      <c r="AB401" s="51"/>
      <c r="AE401" s="47">
        <v>43549</v>
      </c>
      <c r="AF401" s="48">
        <f t="shared" si="27"/>
        <v>-9.2950694518128874</v>
      </c>
      <c r="AG401" s="49"/>
      <c r="AH401" s="49"/>
      <c r="AI401" s="51"/>
    </row>
    <row r="402" spans="1:35" x14ac:dyDescent="0.3">
      <c r="A402" s="20">
        <v>43544</v>
      </c>
      <c r="C402">
        <f>-(Historical_Simulation!B403-Historical_Simulation!B404)</f>
        <v>-0.40749999999999886</v>
      </c>
      <c r="E402">
        <f>-(Historical_Simulation!C403-Historical_Simulation!C404)</f>
        <v>-35.420000000000073</v>
      </c>
      <c r="G402">
        <f>-(Historical_Simulation!D403-Historical_Simulation!D404)</f>
        <v>-3.8700000000000045</v>
      </c>
      <c r="J402" s="23">
        <v>43546</v>
      </c>
      <c r="K402" s="24">
        <f t="shared" si="24"/>
        <v>29.857848437626775</v>
      </c>
      <c r="L402" s="25"/>
      <c r="M402" s="25"/>
      <c r="N402" s="27"/>
      <c r="Q402" s="23">
        <v>43546</v>
      </c>
      <c r="R402" s="24">
        <f t="shared" si="25"/>
        <v>20.784201960025246</v>
      </c>
      <c r="S402" s="25"/>
      <c r="T402" s="25"/>
      <c r="U402" s="27"/>
      <c r="X402" s="47">
        <v>43546</v>
      </c>
      <c r="Y402" s="48">
        <f t="shared" si="26"/>
        <v>5.10023658860948</v>
      </c>
      <c r="Z402" s="49"/>
      <c r="AA402" s="49"/>
      <c r="AB402" s="51"/>
      <c r="AE402" s="47">
        <v>43546</v>
      </c>
      <c r="AF402" s="48">
        <f t="shared" si="27"/>
        <v>3.8614246092279099</v>
      </c>
      <c r="AG402" s="49"/>
      <c r="AH402" s="49"/>
      <c r="AI402" s="51"/>
    </row>
    <row r="403" spans="1:35" x14ac:dyDescent="0.3">
      <c r="A403" s="20">
        <v>43543</v>
      </c>
      <c r="C403">
        <f>-(Historical_Simulation!B404-Historical_Simulation!B405)</f>
        <v>0.37250000000000227</v>
      </c>
      <c r="E403">
        <f>-(Historical_Simulation!C404-Historical_Simulation!C405)</f>
        <v>-19.699999999999818</v>
      </c>
      <c r="G403">
        <f>-(Historical_Simulation!D404-Historical_Simulation!D405)</f>
        <v>-1.0999999999999943</v>
      </c>
      <c r="J403" s="23">
        <v>43545</v>
      </c>
      <c r="K403" s="24">
        <f t="shared" si="24"/>
        <v>-12.659674452603301</v>
      </c>
      <c r="L403" s="25"/>
      <c r="M403" s="25"/>
      <c r="N403" s="27"/>
      <c r="Q403" s="23">
        <v>43545</v>
      </c>
      <c r="R403" s="24">
        <f t="shared" si="25"/>
        <v>-9.2227000038371649</v>
      </c>
      <c r="S403" s="25"/>
      <c r="T403" s="25"/>
      <c r="U403" s="27"/>
      <c r="X403" s="47">
        <v>43545</v>
      </c>
      <c r="Y403" s="48">
        <f t="shared" si="26"/>
        <v>4.3888472233640234</v>
      </c>
      <c r="Z403" s="49"/>
      <c r="AA403" s="49"/>
      <c r="AB403" s="51"/>
      <c r="AE403" s="47">
        <v>43545</v>
      </c>
      <c r="AF403" s="48">
        <f t="shared" si="27"/>
        <v>2.5348717610704221</v>
      </c>
      <c r="AG403" s="49"/>
      <c r="AH403" s="49"/>
      <c r="AI403" s="51"/>
    </row>
    <row r="404" spans="1:35" x14ac:dyDescent="0.3">
      <c r="A404" s="20">
        <v>43542</v>
      </c>
      <c r="C404">
        <f>-(Historical_Simulation!B405-Historical_Simulation!B406)</f>
        <v>-0.47500000000000142</v>
      </c>
      <c r="E404">
        <f>-(Historical_Simulation!C405-Historical_Simulation!C406)</f>
        <v>-29.790000000000191</v>
      </c>
      <c r="G404">
        <f>-(Historical_Simulation!D405-Historical_Simulation!D406)</f>
        <v>5.5099999999999909</v>
      </c>
      <c r="J404" s="23">
        <v>43544</v>
      </c>
      <c r="K404" s="24">
        <f t="shared" si="24"/>
        <v>-19.293724633926875</v>
      </c>
      <c r="L404" s="25"/>
      <c r="M404" s="25"/>
      <c r="N404" s="27"/>
      <c r="Q404" s="23">
        <v>43544</v>
      </c>
      <c r="R404" s="24">
        <f t="shared" si="25"/>
        <v>-13.353353517677361</v>
      </c>
      <c r="S404" s="25"/>
      <c r="T404" s="25"/>
      <c r="U404" s="27"/>
      <c r="X404" s="47">
        <v>43544</v>
      </c>
      <c r="Y404" s="48">
        <f t="shared" si="26"/>
        <v>-19.808108476794711</v>
      </c>
      <c r="Z404" s="49"/>
      <c r="AA404" s="49"/>
      <c r="AB404" s="51"/>
      <c r="AE404" s="47">
        <v>43544</v>
      </c>
      <c r="AF404" s="48">
        <f t="shared" si="27"/>
        <v>-13.932236588289742</v>
      </c>
      <c r="AG404" s="49"/>
      <c r="AH404" s="49"/>
      <c r="AI404" s="51"/>
    </row>
    <row r="405" spans="1:35" x14ac:dyDescent="0.3">
      <c r="A405" s="20">
        <v>43539</v>
      </c>
      <c r="C405">
        <f>-(Historical_Simulation!B406-Historical_Simulation!B407)</f>
        <v>-0.59750000000000369</v>
      </c>
      <c r="E405">
        <f>-(Historical_Simulation!C406-Historical_Simulation!C407)</f>
        <v>-26.139999999999873</v>
      </c>
      <c r="G405">
        <f>-(Historical_Simulation!D406-Historical_Simulation!D407)</f>
        <v>4.1899999999999977</v>
      </c>
      <c r="J405" s="23">
        <v>43543</v>
      </c>
      <c r="K405" s="24">
        <f t="shared" si="24"/>
        <v>-10.454882905090837</v>
      </c>
      <c r="L405" s="25"/>
      <c r="M405" s="25"/>
      <c r="N405" s="27"/>
      <c r="Q405" s="23">
        <v>43543</v>
      </c>
      <c r="R405" s="24">
        <f t="shared" si="25"/>
        <v>-7.0492963508340134</v>
      </c>
      <c r="S405" s="25"/>
      <c r="T405" s="25"/>
      <c r="U405" s="27"/>
      <c r="X405" s="47">
        <v>43543</v>
      </c>
      <c r="Y405" s="48">
        <f t="shared" si="26"/>
        <v>-7.8780114749689805</v>
      </c>
      <c r="Z405" s="49"/>
      <c r="AA405" s="49"/>
      <c r="AB405" s="51"/>
      <c r="AE405" s="47">
        <v>43543</v>
      </c>
      <c r="AF405" s="48">
        <f t="shared" si="27"/>
        <v>-5.3791749823123638</v>
      </c>
      <c r="AG405" s="49"/>
      <c r="AH405" s="49"/>
      <c r="AI405" s="51"/>
    </row>
    <row r="406" spans="1:35" x14ac:dyDescent="0.3">
      <c r="A406" s="20">
        <v>43538</v>
      </c>
      <c r="C406">
        <f>-(Historical_Simulation!B407-Historical_Simulation!B408)</f>
        <v>-0.50499999999999545</v>
      </c>
      <c r="E406">
        <f>-(Historical_Simulation!C407-Historical_Simulation!C408)</f>
        <v>4.5899999999999181</v>
      </c>
      <c r="G406">
        <f>-(Historical_Simulation!D407-Historical_Simulation!D408)</f>
        <v>3.2000000000000171</v>
      </c>
      <c r="J406" s="23">
        <v>43542</v>
      </c>
      <c r="K406" s="24">
        <f t="shared" si="24"/>
        <v>-16.287914677431456</v>
      </c>
      <c r="L406" s="25"/>
      <c r="M406" s="25"/>
      <c r="N406" s="27"/>
      <c r="Q406" s="23">
        <v>43542</v>
      </c>
      <c r="R406" s="24">
        <f t="shared" si="25"/>
        <v>-11.314205879920415</v>
      </c>
      <c r="S406" s="25"/>
      <c r="T406" s="25"/>
      <c r="U406" s="27"/>
      <c r="X406" s="47">
        <v>43542</v>
      </c>
      <c r="Y406" s="48">
        <f t="shared" si="26"/>
        <v>33.059336962777188</v>
      </c>
      <c r="Z406" s="49"/>
      <c r="AA406" s="49"/>
      <c r="AB406" s="51"/>
      <c r="AE406" s="47">
        <v>43542</v>
      </c>
      <c r="AF406" s="48">
        <f t="shared" si="27"/>
        <v>22.90277573455996</v>
      </c>
      <c r="AG406" s="49"/>
      <c r="AH406" s="49"/>
      <c r="AI406" s="51"/>
    </row>
    <row r="407" spans="1:35" x14ac:dyDescent="0.3">
      <c r="A407" s="20">
        <v>43537</v>
      </c>
      <c r="C407">
        <f>-(Historical_Simulation!B408-Historical_Simulation!B409)</f>
        <v>-0.20000000000000284</v>
      </c>
      <c r="E407">
        <f>-(Historical_Simulation!C408-Historical_Simulation!C409)</f>
        <v>-17.710000000000036</v>
      </c>
      <c r="G407">
        <f>-(Historical_Simulation!D408-Historical_Simulation!D409)</f>
        <v>-1.4500000000000171</v>
      </c>
      <c r="J407" s="23">
        <v>43539</v>
      </c>
      <c r="K407" s="24">
        <f t="shared" si="24"/>
        <v>-14.375476228834669</v>
      </c>
      <c r="L407" s="25"/>
      <c r="M407" s="25"/>
      <c r="N407" s="27"/>
      <c r="Q407" s="23">
        <v>43539</v>
      </c>
      <c r="R407" s="24">
        <f t="shared" si="25"/>
        <v>-10.041825982871023</v>
      </c>
      <c r="S407" s="25"/>
      <c r="T407" s="25"/>
      <c r="U407" s="27"/>
      <c r="X407" s="47">
        <v>43539</v>
      </c>
      <c r="Y407" s="48">
        <f t="shared" si="26"/>
        <v>26.227168038311785</v>
      </c>
      <c r="Z407" s="49"/>
      <c r="AA407" s="49"/>
      <c r="AB407" s="51"/>
      <c r="AE407" s="47">
        <v>43539</v>
      </c>
      <c r="AF407" s="48">
        <f t="shared" si="27"/>
        <v>18.102767557093731</v>
      </c>
      <c r="AG407" s="49"/>
      <c r="AH407" s="49"/>
      <c r="AI407" s="51"/>
    </row>
    <row r="408" spans="1:35" x14ac:dyDescent="0.3">
      <c r="A408" s="20">
        <v>43536</v>
      </c>
      <c r="C408">
        <f>-(Historical_Simulation!B409-Historical_Simulation!B410)</f>
        <v>-0.50249999999999773</v>
      </c>
      <c r="E408">
        <f>-(Historical_Simulation!C409-Historical_Simulation!C410)</f>
        <v>-2.4800000000000182</v>
      </c>
      <c r="G408">
        <f>-(Historical_Simulation!D409-Historical_Simulation!D410)</f>
        <v>0.15000000000000568</v>
      </c>
      <c r="J408" s="23">
        <v>43538</v>
      </c>
      <c r="K408" s="24">
        <f t="shared" si="24"/>
        <v>2.2433131598673546</v>
      </c>
      <c r="L408" s="25"/>
      <c r="M408" s="25"/>
      <c r="N408" s="27"/>
      <c r="Q408" s="23">
        <v>43538</v>
      </c>
      <c r="R408" s="24">
        <f t="shared" si="25"/>
        <v>1.3788735786523401</v>
      </c>
      <c r="S408" s="25"/>
      <c r="T408" s="25"/>
      <c r="U408" s="27"/>
      <c r="X408" s="47">
        <v>43538</v>
      </c>
      <c r="Y408" s="48">
        <f t="shared" si="26"/>
        <v>20.254351453147887</v>
      </c>
      <c r="Z408" s="49"/>
      <c r="AA408" s="49"/>
      <c r="AB408" s="51"/>
      <c r="AE408" s="47">
        <v>43538</v>
      </c>
      <c r="AF408" s="48">
        <f t="shared" si="27"/>
        <v>13.96695640710862</v>
      </c>
      <c r="AG408" s="49"/>
      <c r="AH408" s="49"/>
      <c r="AI408" s="51"/>
    </row>
    <row r="409" spans="1:35" x14ac:dyDescent="0.3">
      <c r="A409" s="20">
        <v>43535</v>
      </c>
      <c r="C409">
        <f>-(Historical_Simulation!B410-Historical_Simulation!B411)</f>
        <v>-1.4975000000000023</v>
      </c>
      <c r="E409">
        <f>-(Historical_Simulation!C410-Historical_Simulation!C411)</f>
        <v>-49.819999999999936</v>
      </c>
      <c r="G409">
        <f>-(Historical_Simulation!D410-Historical_Simulation!D411)</f>
        <v>-2.4699999999999989</v>
      </c>
      <c r="J409" s="23">
        <v>43537</v>
      </c>
      <c r="K409" s="24">
        <f t="shared" si="24"/>
        <v>-9.6451351186022034</v>
      </c>
      <c r="L409" s="25"/>
      <c r="M409" s="25"/>
      <c r="N409" s="27"/>
      <c r="Q409" s="23">
        <v>43537</v>
      </c>
      <c r="R409" s="24">
        <f t="shared" si="25"/>
        <v>-6.674313319372529</v>
      </c>
      <c r="S409" s="25"/>
      <c r="T409" s="25"/>
      <c r="U409" s="27"/>
      <c r="X409" s="47">
        <v>43537</v>
      </c>
      <c r="Y409" s="48">
        <f t="shared" si="26"/>
        <v>-7.2038297750162128</v>
      </c>
      <c r="Z409" s="49"/>
      <c r="AA409" s="49"/>
      <c r="AB409" s="51"/>
      <c r="AE409" s="47">
        <v>43537</v>
      </c>
      <c r="AF409" s="48">
        <f t="shared" si="27"/>
        <v>-5.0825763856642174</v>
      </c>
      <c r="AG409" s="49"/>
      <c r="AH409" s="49"/>
      <c r="AI409" s="51"/>
    </row>
    <row r="410" spans="1:35" x14ac:dyDescent="0.3">
      <c r="A410" s="20">
        <v>43532</v>
      </c>
      <c r="C410">
        <f>-(Historical_Simulation!B411-Historical_Simulation!B412)</f>
        <v>-0.10249999999999915</v>
      </c>
      <c r="E410">
        <f>-(Historical_Simulation!C411-Historical_Simulation!C412)</f>
        <v>5.1500000000000909</v>
      </c>
      <c r="G410">
        <f>-(Historical_Simulation!D411-Historical_Simulation!D412)</f>
        <v>-0.46999999999999886</v>
      </c>
      <c r="J410" s="23">
        <v>43536</v>
      </c>
      <c r="K410" s="24">
        <f t="shared" si="24"/>
        <v>-1.5691907308415742</v>
      </c>
      <c r="L410" s="25"/>
      <c r="M410" s="25"/>
      <c r="N410" s="27"/>
      <c r="Q410" s="23">
        <v>43536</v>
      </c>
      <c r="R410" s="24">
        <f t="shared" si="25"/>
        <v>-1.233679588181567</v>
      </c>
      <c r="S410" s="25"/>
      <c r="T410" s="25"/>
      <c r="U410" s="27"/>
      <c r="X410" s="47">
        <v>43536</v>
      </c>
      <c r="Y410" s="48">
        <f t="shared" si="26"/>
        <v>3.1534991425584415</v>
      </c>
      <c r="Z410" s="49"/>
      <c r="AA410" s="49"/>
      <c r="AB410" s="51"/>
      <c r="AE410" s="47">
        <v>43536</v>
      </c>
      <c r="AF410" s="48">
        <f t="shared" si="27"/>
        <v>2.0462048733167064</v>
      </c>
      <c r="AG410" s="49"/>
      <c r="AH410" s="49"/>
      <c r="AI410" s="51"/>
    </row>
    <row r="411" spans="1:35" x14ac:dyDescent="0.3">
      <c r="A411" s="20">
        <v>43531</v>
      </c>
      <c r="C411">
        <f>-(Historical_Simulation!B412-Historical_Simulation!B413)</f>
        <v>0.50500000000000256</v>
      </c>
      <c r="E411">
        <f>-(Historical_Simulation!C412-Historical_Simulation!C413)</f>
        <v>43</v>
      </c>
      <c r="G411">
        <f>-(Historical_Simulation!D412-Historical_Simulation!D413)</f>
        <v>3.3799999999999955</v>
      </c>
      <c r="J411" s="23">
        <v>43535</v>
      </c>
      <c r="K411" s="24">
        <f t="shared" si="24"/>
        <v>-27.563321917113271</v>
      </c>
      <c r="L411" s="25"/>
      <c r="M411" s="25"/>
      <c r="N411" s="27"/>
      <c r="Q411" s="23">
        <v>43535</v>
      </c>
      <c r="R411" s="24">
        <f t="shared" si="25"/>
        <v>-19.364719039142084</v>
      </c>
      <c r="S411" s="25"/>
      <c r="T411" s="25"/>
      <c r="U411" s="27"/>
      <c r="X411" s="47">
        <v>43535</v>
      </c>
      <c r="Y411" s="48">
        <f t="shared" si="26"/>
        <v>-6.9464795649625328</v>
      </c>
      <c r="Z411" s="49"/>
      <c r="AA411" s="49"/>
      <c r="AB411" s="51"/>
      <c r="AE411" s="47">
        <v>43535</v>
      </c>
      <c r="AF411" s="48">
        <f t="shared" si="27"/>
        <v>-5.2961444280467056</v>
      </c>
      <c r="AG411" s="49"/>
      <c r="AH411" s="49"/>
      <c r="AI411" s="51"/>
    </row>
    <row r="412" spans="1:35" x14ac:dyDescent="0.3">
      <c r="A412" s="20">
        <v>43530</v>
      </c>
      <c r="C412">
        <f>-(Historical_Simulation!B413-Historical_Simulation!B414)</f>
        <v>0.25249999999999773</v>
      </c>
      <c r="E412">
        <f>-(Historical_Simulation!C413-Historical_Simulation!C414)</f>
        <v>23.480000000000018</v>
      </c>
      <c r="G412">
        <f>-(Historical_Simulation!D413-Historical_Simulation!D414)</f>
        <v>-1.25</v>
      </c>
      <c r="J412" s="23">
        <v>43532</v>
      </c>
      <c r="K412" s="24">
        <f t="shared" si="24"/>
        <v>2.7307708286955354</v>
      </c>
      <c r="L412" s="25"/>
      <c r="M412" s="25"/>
      <c r="N412" s="27"/>
      <c r="Q412" s="23">
        <v>43532</v>
      </c>
      <c r="R412" s="24">
        <f t="shared" si="25"/>
        <v>1.8396091210739418</v>
      </c>
      <c r="S412" s="25"/>
      <c r="T412" s="25"/>
      <c r="U412" s="27"/>
      <c r="X412" s="47">
        <v>43532</v>
      </c>
      <c r="Y412" s="48">
        <f t="shared" si="26"/>
        <v>-2.16162595385474</v>
      </c>
      <c r="Z412" s="49"/>
      <c r="AA412" s="49"/>
      <c r="AB412" s="51"/>
      <c r="AE412" s="47">
        <v>43532</v>
      </c>
      <c r="AF412" s="48">
        <f t="shared" si="27"/>
        <v>-1.5379774573852609</v>
      </c>
      <c r="AG412" s="49"/>
      <c r="AH412" s="49"/>
      <c r="AI412" s="51"/>
    </row>
    <row r="413" spans="1:35" x14ac:dyDescent="0.3">
      <c r="A413" s="20">
        <v>43529</v>
      </c>
      <c r="C413">
        <f>-(Historical_Simulation!B414-Historical_Simulation!B415)</f>
        <v>7.9999999999998295E-2</v>
      </c>
      <c r="E413">
        <f>-(Historical_Simulation!C414-Historical_Simulation!C415)</f>
        <v>3.7400000000000091</v>
      </c>
      <c r="G413">
        <f>-(Historical_Simulation!D414-Historical_Simulation!D415)</f>
        <v>-3.8899999999999864</v>
      </c>
      <c r="J413" s="23">
        <v>43531</v>
      </c>
      <c r="K413" s="24">
        <f t="shared" si="24"/>
        <v>23.427388170474</v>
      </c>
      <c r="L413" s="25"/>
      <c r="M413" s="25"/>
      <c r="N413" s="27"/>
      <c r="Q413" s="23">
        <v>43531</v>
      </c>
      <c r="R413" s="24">
        <f t="shared" si="25"/>
        <v>16.217503969545113</v>
      </c>
      <c r="S413" s="25"/>
      <c r="T413" s="25"/>
      <c r="U413" s="27"/>
      <c r="X413" s="47">
        <v>43531</v>
      </c>
      <c r="Y413" s="48">
        <f t="shared" si="26"/>
        <v>16.613808482537063</v>
      </c>
      <c r="Z413" s="49"/>
      <c r="AA413" s="49"/>
      <c r="AB413" s="51"/>
      <c r="AE413" s="47">
        <v>43531</v>
      </c>
      <c r="AF413" s="48">
        <f t="shared" si="27"/>
        <v>11.734925687027539</v>
      </c>
      <c r="AG413" s="49"/>
      <c r="AH413" s="49"/>
      <c r="AI413" s="51"/>
    </row>
    <row r="414" spans="1:35" x14ac:dyDescent="0.3">
      <c r="A414" s="20">
        <v>43528</v>
      </c>
      <c r="C414">
        <f>-(Historical_Simulation!B415-Historical_Simulation!B416)</f>
        <v>-0.21999999999999886</v>
      </c>
      <c r="E414">
        <f>-(Historical_Simulation!C415-Historical_Simulation!C416)</f>
        <v>-24.440000000000055</v>
      </c>
      <c r="G414">
        <f>-(Historical_Simulation!D415-Historical_Simulation!D416)</f>
        <v>-5.0900000000000034</v>
      </c>
      <c r="J414" s="23">
        <v>43530</v>
      </c>
      <c r="K414" s="24">
        <f t="shared" si="24"/>
        <v>12.781733350504418</v>
      </c>
      <c r="L414" s="25"/>
      <c r="M414" s="25"/>
      <c r="N414" s="27"/>
      <c r="Q414" s="23">
        <v>43530</v>
      </c>
      <c r="R414" s="24">
        <f t="shared" si="25"/>
        <v>8.8408559466433552</v>
      </c>
      <c r="S414" s="25"/>
      <c r="T414" s="25"/>
      <c r="U414" s="27"/>
      <c r="X414" s="47">
        <v>43530</v>
      </c>
      <c r="Y414" s="48">
        <f t="shared" si="26"/>
        <v>-8.1661033895693791</v>
      </c>
      <c r="Z414" s="49"/>
      <c r="AA414" s="49"/>
      <c r="AB414" s="51"/>
      <c r="AE414" s="47">
        <v>43530</v>
      </c>
      <c r="AF414" s="48">
        <f t="shared" si="27"/>
        <v>-5.6163568155683121</v>
      </c>
      <c r="AG414" s="49"/>
      <c r="AH414" s="49"/>
      <c r="AI414" s="51"/>
    </row>
    <row r="415" spans="1:35" x14ac:dyDescent="0.3">
      <c r="A415" s="20">
        <v>43525</v>
      </c>
      <c r="C415">
        <f>-(Historical_Simulation!B416-Historical_Simulation!B417)</f>
        <v>-0.45499999999999829</v>
      </c>
      <c r="E415">
        <f>-(Historical_Simulation!C416-Historical_Simulation!C417)</f>
        <v>-31.900000000000091</v>
      </c>
      <c r="G415">
        <f>-(Historical_Simulation!D416-Historical_Simulation!D417)</f>
        <v>-0.83000000000001251</v>
      </c>
      <c r="J415" s="23">
        <v>43529</v>
      </c>
      <c r="K415" s="24">
        <f t="shared" si="24"/>
        <v>2.0542543994336984</v>
      </c>
      <c r="L415" s="25"/>
      <c r="M415" s="25"/>
      <c r="N415" s="27"/>
      <c r="Q415" s="23">
        <v>43529</v>
      </c>
      <c r="R415" s="24">
        <f t="shared" si="25"/>
        <v>1.4332830810338915</v>
      </c>
      <c r="S415" s="25"/>
      <c r="T415" s="25"/>
      <c r="U415" s="27"/>
      <c r="X415" s="47">
        <v>43529</v>
      </c>
      <c r="Y415" s="48">
        <f t="shared" si="26"/>
        <v>-22.164163365451145</v>
      </c>
      <c r="Z415" s="49"/>
      <c r="AA415" s="49"/>
      <c r="AB415" s="51"/>
      <c r="AE415" s="47">
        <v>43529</v>
      </c>
      <c r="AF415" s="48">
        <f t="shared" si="27"/>
        <v>-15.427062600869311</v>
      </c>
      <c r="AG415" s="49"/>
      <c r="AH415" s="49"/>
      <c r="AI415" s="51"/>
    </row>
    <row r="416" spans="1:35" x14ac:dyDescent="0.3">
      <c r="A416" s="20">
        <v>43524</v>
      </c>
      <c r="C416">
        <f>-(Historical_Simulation!B417-Historical_Simulation!B418)</f>
        <v>0.42999999999999972</v>
      </c>
      <c r="E416">
        <f>-(Historical_Simulation!C417-Historical_Simulation!C418)</f>
        <v>1.2599999999999909</v>
      </c>
      <c r="G416">
        <f>-(Historical_Simulation!D417-Historical_Simulation!D418)</f>
        <v>1.3600000000000136</v>
      </c>
      <c r="J416" s="23">
        <v>43528</v>
      </c>
      <c r="K416" s="24">
        <f t="shared" si="24"/>
        <v>-13.284601517563985</v>
      </c>
      <c r="L416" s="25"/>
      <c r="M416" s="25"/>
      <c r="N416" s="27"/>
      <c r="Q416" s="23">
        <v>43528</v>
      </c>
      <c r="R416" s="24">
        <f t="shared" si="25"/>
        <v>-9.1753323012679946</v>
      </c>
      <c r="S416" s="25"/>
      <c r="T416" s="25"/>
      <c r="U416" s="27"/>
      <c r="X416" s="47">
        <v>43528</v>
      </c>
      <c r="Y416" s="48">
        <f t="shared" si="26"/>
        <v>-27.506920803462869</v>
      </c>
      <c r="Z416" s="49"/>
      <c r="AA416" s="49"/>
      <c r="AB416" s="51"/>
      <c r="AE416" s="47">
        <v>43528</v>
      </c>
      <c r="AF416" s="48">
        <f t="shared" si="27"/>
        <v>-19.242517598547579</v>
      </c>
      <c r="AG416" s="49"/>
      <c r="AH416" s="49"/>
      <c r="AI416" s="51"/>
    </row>
    <row r="417" spans="1:35" x14ac:dyDescent="0.3">
      <c r="A417" s="20">
        <v>43523</v>
      </c>
      <c r="C417">
        <f>-(Historical_Simulation!B418-Historical_Simulation!B419)</f>
        <v>-0.13499999999999801</v>
      </c>
      <c r="E417">
        <f>-(Historical_Simulation!C418-Historical_Simulation!C419)</f>
        <v>-4.6899999999998272</v>
      </c>
      <c r="G417">
        <f>-(Historical_Simulation!D418-Historical_Simulation!D419)</f>
        <v>1.3199999999999932</v>
      </c>
      <c r="J417" s="23">
        <v>43525</v>
      </c>
      <c r="K417" s="24">
        <f t="shared" si="24"/>
        <v>-17.416866008249368</v>
      </c>
      <c r="L417" s="25"/>
      <c r="M417" s="25"/>
      <c r="N417" s="27"/>
      <c r="Q417" s="23">
        <v>43525</v>
      </c>
      <c r="R417" s="24">
        <f t="shared" si="25"/>
        <v>-12.081772263145016</v>
      </c>
      <c r="S417" s="25"/>
      <c r="T417" s="25"/>
      <c r="U417" s="27"/>
      <c r="X417" s="47">
        <v>43525</v>
      </c>
      <c r="Y417" s="48">
        <f t="shared" si="26"/>
        <v>-2.5561489325049171</v>
      </c>
      <c r="Z417" s="49"/>
      <c r="AA417" s="49"/>
      <c r="AB417" s="51"/>
      <c r="AE417" s="47">
        <v>43525</v>
      </c>
      <c r="AF417" s="48">
        <f t="shared" si="27"/>
        <v>-1.9197729156993015</v>
      </c>
      <c r="AG417" s="49"/>
      <c r="AH417" s="49"/>
      <c r="AI417" s="51"/>
    </row>
    <row r="418" spans="1:35" x14ac:dyDescent="0.3">
      <c r="A418" s="20">
        <v>43522</v>
      </c>
      <c r="C418">
        <f>-(Historical_Simulation!B419-Historical_Simulation!B420)</f>
        <v>-2.5000000000005684E-2</v>
      </c>
      <c r="E418">
        <f>-(Historical_Simulation!C419-Historical_Simulation!C420)</f>
        <v>-3.4000000000000909</v>
      </c>
      <c r="G418">
        <f>-(Historical_Simulation!D419-Historical_Simulation!D420)</f>
        <v>0.49000000000000909</v>
      </c>
      <c r="J418" s="23">
        <v>43524</v>
      </c>
      <c r="K418" s="24">
        <f t="shared" si="24"/>
        <v>0.87771342937976715</v>
      </c>
      <c r="L418" s="25"/>
      <c r="M418" s="25"/>
      <c r="N418" s="27"/>
      <c r="Q418" s="23">
        <v>43524</v>
      </c>
      <c r="R418" s="24">
        <f t="shared" si="25"/>
        <v>0.73689206482462155</v>
      </c>
      <c r="S418" s="25"/>
      <c r="T418" s="25"/>
      <c r="U418" s="27"/>
      <c r="X418" s="47">
        <v>43524</v>
      </c>
      <c r="Y418" s="48">
        <f t="shared" si="26"/>
        <v>5.6408493526120784</v>
      </c>
      <c r="Z418" s="49"/>
      <c r="AA418" s="49"/>
      <c r="AB418" s="51"/>
      <c r="AE418" s="47">
        <v>43524</v>
      </c>
      <c r="AF418" s="48">
        <f t="shared" si="27"/>
        <v>4.0626368309341885</v>
      </c>
      <c r="AG418" s="49"/>
      <c r="AH418" s="49"/>
      <c r="AI418" s="51"/>
    </row>
    <row r="419" spans="1:35" x14ac:dyDescent="0.3">
      <c r="A419" s="20">
        <v>43521</v>
      </c>
      <c r="C419">
        <f>-(Historical_Simulation!B420-Historical_Simulation!B421)</f>
        <v>-0.31499999999999773</v>
      </c>
      <c r="E419">
        <f>-(Historical_Simulation!C420-Historical_Simulation!C421)</f>
        <v>-1.4400000000000546</v>
      </c>
      <c r="G419">
        <f>-(Historical_Simulation!D420-Historical_Simulation!D421)</f>
        <v>-2.7300000000000182</v>
      </c>
      <c r="J419" s="23">
        <v>43523</v>
      </c>
      <c r="K419" s="24">
        <f t="shared" si="24"/>
        <v>-2.5920297238852821</v>
      </c>
      <c r="L419" s="25"/>
      <c r="M419" s="25"/>
      <c r="N419" s="27"/>
      <c r="Q419" s="23">
        <v>43523</v>
      </c>
      <c r="R419" s="24">
        <f t="shared" si="25"/>
        <v>-1.8192088617784499</v>
      </c>
      <c r="S419" s="25"/>
      <c r="T419" s="25"/>
      <c r="U419" s="27"/>
      <c r="X419" s="47">
        <v>43523</v>
      </c>
      <c r="Y419" s="48">
        <f t="shared" si="26"/>
        <v>8.0174578581187284</v>
      </c>
      <c r="Z419" s="49"/>
      <c r="AA419" s="49"/>
      <c r="AB419" s="51"/>
      <c r="AE419" s="47">
        <v>43523</v>
      </c>
      <c r="AF419" s="48">
        <f t="shared" si="27"/>
        <v>5.5483189129130492</v>
      </c>
      <c r="AG419" s="49"/>
      <c r="AH419" s="49"/>
      <c r="AI419" s="51"/>
    </row>
    <row r="420" spans="1:35" x14ac:dyDescent="0.3">
      <c r="A420" s="20">
        <v>43518</v>
      </c>
      <c r="C420">
        <f>-(Historical_Simulation!B421-Historical_Simulation!B422)</f>
        <v>-0.47749999999999915</v>
      </c>
      <c r="E420">
        <f>-(Historical_Simulation!C421-Historical_Simulation!C422)</f>
        <v>-12.119999999999891</v>
      </c>
      <c r="G420">
        <f>-(Historical_Simulation!D421-Historical_Simulation!D422)</f>
        <v>-1.8499999999999943</v>
      </c>
      <c r="J420" s="23">
        <v>43522</v>
      </c>
      <c r="K420" s="24">
        <f t="shared" si="24"/>
        <v>-1.8455214748876796</v>
      </c>
      <c r="L420" s="25"/>
      <c r="M420" s="25"/>
      <c r="N420" s="27"/>
      <c r="Q420" s="23">
        <v>43522</v>
      </c>
      <c r="R420" s="24">
        <f t="shared" si="25"/>
        <v>-1.2729044804616152</v>
      </c>
      <c r="S420" s="25"/>
      <c r="T420" s="25"/>
      <c r="U420" s="27"/>
      <c r="X420" s="47">
        <v>43522</v>
      </c>
      <c r="Y420" s="48">
        <f t="shared" si="26"/>
        <v>2.860577867306723</v>
      </c>
      <c r="Z420" s="49"/>
      <c r="AA420" s="49"/>
      <c r="AB420" s="51"/>
      <c r="AE420" s="47">
        <v>43522</v>
      </c>
      <c r="AF420" s="48">
        <f t="shared" si="27"/>
        <v>1.9866214708936856</v>
      </c>
      <c r="AG420" s="49"/>
      <c r="AH420" s="49"/>
      <c r="AI420" s="51"/>
    </row>
    <row r="421" spans="1:35" x14ac:dyDescent="0.3">
      <c r="A421" s="20">
        <v>43517</v>
      </c>
      <c r="C421">
        <f>-(Historical_Simulation!B422-Historical_Simulation!B423)</f>
        <v>0.24249999999999972</v>
      </c>
      <c r="E421">
        <f>-(Historical_Simulation!C422-Historical_Simulation!C423)</f>
        <v>2.6599999999998545</v>
      </c>
      <c r="G421">
        <f>-(Historical_Simulation!D422-Historical_Simulation!D423)</f>
        <v>2.5200000000000102</v>
      </c>
      <c r="J421" s="23">
        <v>43521</v>
      </c>
      <c r="K421" s="24">
        <f t="shared" si="24"/>
        <v>-0.92184049162923765</v>
      </c>
      <c r="L421" s="25"/>
      <c r="M421" s="25"/>
      <c r="N421" s="27"/>
      <c r="Q421" s="23">
        <v>43521</v>
      </c>
      <c r="R421" s="24">
        <f t="shared" si="25"/>
        <v>-0.73096816015387811</v>
      </c>
      <c r="S421" s="25"/>
      <c r="T421" s="25"/>
      <c r="U421" s="27"/>
      <c r="X421" s="47">
        <v>43521</v>
      </c>
      <c r="Y421" s="48">
        <f t="shared" si="26"/>
        <v>-13.846399125331278</v>
      </c>
      <c r="Z421" s="49"/>
      <c r="AA421" s="49"/>
      <c r="AB421" s="51"/>
      <c r="AE421" s="47">
        <v>43521</v>
      </c>
      <c r="AF421" s="48">
        <f t="shared" si="27"/>
        <v>-9.7481375771032344</v>
      </c>
      <c r="AG421" s="49"/>
      <c r="AH421" s="49"/>
      <c r="AI421" s="51"/>
    </row>
    <row r="422" spans="1:35" x14ac:dyDescent="0.3">
      <c r="A422" s="20">
        <v>43516</v>
      </c>
      <c r="C422">
        <f>-(Historical_Simulation!B423-Historical_Simulation!B424)</f>
        <v>-0.27499999999999858</v>
      </c>
      <c r="E422">
        <f>-(Historical_Simulation!C423-Historical_Simulation!C424)</f>
        <v>5.4800000000000182</v>
      </c>
      <c r="G422">
        <f>-(Historical_Simulation!D423-Historical_Simulation!D424)</f>
        <v>-0.27000000000001023</v>
      </c>
      <c r="J422" s="23">
        <v>43518</v>
      </c>
      <c r="K422" s="24">
        <f t="shared" si="24"/>
        <v>-6.7576248211493359</v>
      </c>
      <c r="L422" s="25"/>
      <c r="M422" s="25"/>
      <c r="N422" s="27"/>
      <c r="Q422" s="23">
        <v>43518</v>
      </c>
      <c r="R422" s="24">
        <f t="shared" si="25"/>
        <v>-4.7823082707477882</v>
      </c>
      <c r="S422" s="25"/>
      <c r="T422" s="25"/>
      <c r="U422" s="27"/>
      <c r="X422" s="47">
        <v>43518</v>
      </c>
      <c r="Y422" s="48">
        <f t="shared" si="26"/>
        <v>-8.1677050929676831</v>
      </c>
      <c r="Z422" s="49"/>
      <c r="AA422" s="49"/>
      <c r="AB422" s="51"/>
      <c r="AE422" s="47">
        <v>43518</v>
      </c>
      <c r="AF422" s="48">
        <f t="shared" si="27"/>
        <v>-5.838568871459227</v>
      </c>
      <c r="AG422" s="49"/>
      <c r="AH422" s="49"/>
      <c r="AI422" s="51"/>
    </row>
    <row r="423" spans="1:35" x14ac:dyDescent="0.3">
      <c r="A423" s="20">
        <v>43515</v>
      </c>
      <c r="C423">
        <f>-(Historical_Simulation!B424-Historical_Simulation!B425)</f>
        <v>-0.12750000000000483</v>
      </c>
      <c r="E423">
        <f>-(Historical_Simulation!C424-Historical_Simulation!C425)</f>
        <v>-19.629999999999882</v>
      </c>
      <c r="G423">
        <f>-(Historical_Simulation!D424-Historical_Simulation!D425)</f>
        <v>0.21000000000000796</v>
      </c>
      <c r="J423" s="23">
        <v>43517</v>
      </c>
      <c r="K423" s="24">
        <f t="shared" si="24"/>
        <v>1.5465327897898</v>
      </c>
      <c r="L423" s="25"/>
      <c r="M423" s="25"/>
      <c r="N423" s="27"/>
      <c r="Q423" s="23">
        <v>43517</v>
      </c>
      <c r="R423" s="24">
        <f t="shared" si="25"/>
        <v>1.1363693574861282</v>
      </c>
      <c r="S423" s="25"/>
      <c r="T423" s="25"/>
      <c r="U423" s="27"/>
      <c r="X423" s="47">
        <v>43517</v>
      </c>
      <c r="Y423" s="48">
        <f t="shared" si="26"/>
        <v>13.003477850079449</v>
      </c>
      <c r="Z423" s="49"/>
      <c r="AA423" s="49"/>
      <c r="AB423" s="51"/>
      <c r="AE423" s="47">
        <v>43517</v>
      </c>
      <c r="AF423" s="48">
        <f t="shared" si="27"/>
        <v>9.138554174680138</v>
      </c>
      <c r="AG423" s="49"/>
      <c r="AH423" s="49"/>
      <c r="AI423" s="51"/>
    </row>
    <row r="424" spans="1:35" x14ac:dyDescent="0.3">
      <c r="A424" s="20">
        <v>43514</v>
      </c>
      <c r="C424">
        <f>-(Historical_Simulation!B425-Historical_Simulation!B426)</f>
        <v>0</v>
      </c>
      <c r="E424">
        <f>-(Historical_Simulation!C425-Historical_Simulation!C426)</f>
        <v>0</v>
      </c>
      <c r="G424">
        <f>-(Historical_Simulation!D425-Historical_Simulation!D426)</f>
        <v>0</v>
      </c>
      <c r="J424" s="23">
        <v>43516</v>
      </c>
      <c r="K424" s="24">
        <f t="shared" si="24"/>
        <v>2.8293262482898767</v>
      </c>
      <c r="L424" s="25"/>
      <c r="M424" s="25"/>
      <c r="N424" s="27"/>
      <c r="Q424" s="23">
        <v>43516</v>
      </c>
      <c r="R424" s="24">
        <f t="shared" si="25"/>
        <v>1.8529082326093058</v>
      </c>
      <c r="S424" s="25"/>
      <c r="T424" s="25"/>
      <c r="U424" s="27"/>
      <c r="X424" s="47">
        <v>43516</v>
      </c>
      <c r="Y424" s="48">
        <f t="shared" si="26"/>
        <v>-0.24698468089999936</v>
      </c>
      <c r="Z424" s="49"/>
      <c r="AA424" s="49"/>
      <c r="AB424" s="51"/>
      <c r="AE424" s="47">
        <v>43516</v>
      </c>
      <c r="AF424" s="48">
        <f t="shared" si="27"/>
        <v>-0.25546969445738732</v>
      </c>
      <c r="AG424" s="49"/>
      <c r="AH424" s="49"/>
      <c r="AI424" s="51"/>
    </row>
    <row r="425" spans="1:35" x14ac:dyDescent="0.3">
      <c r="A425" s="20">
        <v>43511</v>
      </c>
      <c r="C425">
        <f>-(Historical_Simulation!B426-Historical_Simulation!B427)</f>
        <v>9.5000000000005969E-2</v>
      </c>
      <c r="E425">
        <f>-(Historical_Simulation!C426-Historical_Simulation!C427)</f>
        <v>14.700000000000045</v>
      </c>
      <c r="G425">
        <f>-(Historical_Simulation!D426-Historical_Simulation!D427)</f>
        <v>1.4499999999999886</v>
      </c>
      <c r="J425" s="23">
        <v>43515</v>
      </c>
      <c r="K425" s="24">
        <f t="shared" si="24"/>
        <v>-10.647417055998742</v>
      </c>
      <c r="L425" s="25"/>
      <c r="M425" s="25"/>
      <c r="N425" s="27"/>
      <c r="Q425" s="23">
        <v>43515</v>
      </c>
      <c r="R425" s="24">
        <f t="shared" si="25"/>
        <v>-7.338539149689419</v>
      </c>
      <c r="S425" s="25"/>
      <c r="T425" s="25"/>
      <c r="U425" s="27"/>
      <c r="X425" s="47">
        <v>43515</v>
      </c>
      <c r="Y425" s="48">
        <f t="shared" si="26"/>
        <v>1.7635340392544221</v>
      </c>
      <c r="Z425" s="49"/>
      <c r="AA425" s="49"/>
      <c r="AB425" s="51"/>
      <c r="AE425" s="47">
        <v>43515</v>
      </c>
      <c r="AF425" s="48">
        <f t="shared" si="27"/>
        <v>1.190795624129368</v>
      </c>
      <c r="AG425" s="49"/>
      <c r="AH425" s="49"/>
      <c r="AI425" s="51"/>
    </row>
    <row r="426" spans="1:35" x14ac:dyDescent="0.3">
      <c r="A426" s="20">
        <v>43510</v>
      </c>
      <c r="C426">
        <f>-(Historical_Simulation!B427-Historical_Simulation!B428)</f>
        <v>-0.15500000000000114</v>
      </c>
      <c r="E426">
        <f>-(Historical_Simulation!C427-Historical_Simulation!C428)</f>
        <v>17.349999999999909</v>
      </c>
      <c r="G426">
        <f>-(Historical_Simulation!D427-Historical_Simulation!D428)</f>
        <v>0.12000000000000455</v>
      </c>
      <c r="J426" s="23">
        <v>43514</v>
      </c>
      <c r="K426" s="24">
        <f t="shared" si="24"/>
        <v>0</v>
      </c>
      <c r="L426" s="25"/>
      <c r="M426" s="25"/>
      <c r="N426" s="27"/>
      <c r="Q426" s="23">
        <v>43514</v>
      </c>
      <c r="R426" s="24">
        <f t="shared" si="25"/>
        <v>0</v>
      </c>
      <c r="S426" s="25"/>
      <c r="T426" s="25"/>
      <c r="U426" s="27"/>
      <c r="X426" s="47">
        <v>43514</v>
      </c>
      <c r="Y426" s="48">
        <f t="shared" si="26"/>
        <v>0</v>
      </c>
      <c r="Z426" s="49"/>
      <c r="AA426" s="49"/>
      <c r="AB426" s="51"/>
      <c r="AE426" s="47">
        <v>43514</v>
      </c>
      <c r="AF426" s="48">
        <f t="shared" si="27"/>
        <v>0</v>
      </c>
      <c r="AG426" s="49"/>
      <c r="AH426" s="49"/>
      <c r="AI426" s="51"/>
    </row>
    <row r="427" spans="1:35" x14ac:dyDescent="0.3">
      <c r="A427" s="20">
        <v>43509</v>
      </c>
      <c r="C427">
        <f>-(Historical_Simulation!B428-Historical_Simulation!B429)</f>
        <v>0.17749999999999488</v>
      </c>
      <c r="E427">
        <f>-(Historical_Simulation!C428-Historical_Simulation!C429)</f>
        <v>-1.9900000000000091</v>
      </c>
      <c r="G427">
        <f>-(Historical_Simulation!D428-Historical_Simulation!D429)</f>
        <v>0.96999999999999886</v>
      </c>
      <c r="J427" s="23">
        <v>43511</v>
      </c>
      <c r="K427" s="24">
        <f t="shared" si="24"/>
        <v>7.9731381157730068</v>
      </c>
      <c r="L427" s="25"/>
      <c r="M427" s="25"/>
      <c r="N427" s="27"/>
      <c r="Q427" s="23">
        <v>43511</v>
      </c>
      <c r="R427" s="24">
        <f t="shared" si="25"/>
        <v>5.4951910924863459</v>
      </c>
      <c r="S427" s="25"/>
      <c r="T427" s="25"/>
      <c r="U427" s="27"/>
      <c r="X427" s="47">
        <v>43511</v>
      </c>
      <c r="Y427" s="48">
        <f t="shared" si="26"/>
        <v>7.6871514761173936</v>
      </c>
      <c r="Z427" s="49"/>
      <c r="AA427" s="49"/>
      <c r="AB427" s="51"/>
      <c r="AE427" s="47">
        <v>43511</v>
      </c>
      <c r="AF427" s="48">
        <f t="shared" si="27"/>
        <v>5.3877128020598866</v>
      </c>
      <c r="AG427" s="49"/>
      <c r="AH427" s="49"/>
      <c r="AI427" s="51"/>
    </row>
    <row r="428" spans="1:35" x14ac:dyDescent="0.3">
      <c r="A428" s="20">
        <v>43508</v>
      </c>
      <c r="C428">
        <f>-(Historical_Simulation!B429-Historical_Simulation!B430)</f>
        <v>-0.36499999999999488</v>
      </c>
      <c r="E428">
        <f>-(Historical_Simulation!C429-Historical_Simulation!C430)</f>
        <v>-47.009999999999991</v>
      </c>
      <c r="G428">
        <f>-(Historical_Simulation!D429-Historical_Simulation!D430)</f>
        <v>0.75</v>
      </c>
      <c r="J428" s="23">
        <v>43510</v>
      </c>
      <c r="K428" s="24">
        <f t="shared" si="24"/>
        <v>9.2874380497504472</v>
      </c>
      <c r="L428" s="25"/>
      <c r="M428" s="25"/>
      <c r="N428" s="27"/>
      <c r="Q428" s="23">
        <v>43510</v>
      </c>
      <c r="R428" s="24">
        <f t="shared" si="25"/>
        <v>6.3174645719940177</v>
      </c>
      <c r="S428" s="25"/>
      <c r="T428" s="25"/>
      <c r="U428" s="27"/>
      <c r="X428" s="47">
        <v>43510</v>
      </c>
      <c r="Y428" s="48">
        <f t="shared" si="26"/>
        <v>1.3858425505035794</v>
      </c>
      <c r="Z428" s="49"/>
      <c r="AA428" s="49"/>
      <c r="AB428" s="51"/>
      <c r="AE428" s="47">
        <v>43510</v>
      </c>
      <c r="AF428" s="48">
        <f t="shared" si="27"/>
        <v>0.91916680484613611</v>
      </c>
      <c r="AG428" s="49"/>
      <c r="AH428" s="49"/>
      <c r="AI428" s="51"/>
    </row>
    <row r="429" spans="1:35" x14ac:dyDescent="0.3">
      <c r="A429" s="20">
        <v>43507</v>
      </c>
      <c r="C429">
        <f>-(Historical_Simulation!B430-Historical_Simulation!B431)</f>
        <v>0.24499999999999744</v>
      </c>
      <c r="E429">
        <f>-(Historical_Simulation!C430-Historical_Simulation!C431)</f>
        <v>-2.7799999999999727</v>
      </c>
      <c r="G429">
        <f>-(Historical_Simulation!D430-Historical_Simulation!D431)</f>
        <v>1.5400000000000205</v>
      </c>
      <c r="J429" s="23">
        <v>43509</v>
      </c>
      <c r="K429" s="24">
        <f t="shared" si="24"/>
        <v>-0.99167934720561712</v>
      </c>
      <c r="L429" s="25"/>
      <c r="M429" s="25"/>
      <c r="N429" s="27"/>
      <c r="Q429" s="23">
        <v>43509</v>
      </c>
      <c r="R429" s="24">
        <f t="shared" si="25"/>
        <v>-0.62393198856310894</v>
      </c>
      <c r="S429" s="25"/>
      <c r="T429" s="25"/>
      <c r="U429" s="27"/>
      <c r="X429" s="47">
        <v>43509</v>
      </c>
      <c r="Y429" s="48">
        <f t="shared" si="26"/>
        <v>4.6179280773602445</v>
      </c>
      <c r="Z429" s="49"/>
      <c r="AA429" s="49"/>
      <c r="AB429" s="51"/>
      <c r="AE429" s="47">
        <v>43509</v>
      </c>
      <c r="AF429" s="48">
        <f t="shared" si="27"/>
        <v>3.273053428511087</v>
      </c>
      <c r="AG429" s="49"/>
      <c r="AH429" s="49"/>
      <c r="AI429" s="51"/>
    </row>
    <row r="430" spans="1:35" x14ac:dyDescent="0.3">
      <c r="A430" s="20">
        <v>43504</v>
      </c>
      <c r="C430">
        <f>-(Historical_Simulation!B431-Historical_Simulation!B432)</f>
        <v>0.13250000000000028</v>
      </c>
      <c r="E430">
        <f>-(Historical_Simulation!C431-Historical_Simulation!C432)</f>
        <v>26.149999999999864</v>
      </c>
      <c r="G430">
        <f>-(Historical_Simulation!D431-Historical_Simulation!D432)</f>
        <v>-0.95000000000001705</v>
      </c>
      <c r="J430" s="23">
        <v>43508</v>
      </c>
      <c r="K430" s="24">
        <f t="shared" si="24"/>
        <v>-25.525955317372855</v>
      </c>
      <c r="L430" s="25"/>
      <c r="M430" s="25"/>
      <c r="N430" s="27"/>
      <c r="Q430" s="23">
        <v>43508</v>
      </c>
      <c r="R430" s="24">
        <f t="shared" si="25"/>
        <v>-17.611964293668233</v>
      </c>
      <c r="S430" s="25"/>
      <c r="T430" s="25"/>
      <c r="U430" s="27"/>
      <c r="X430" s="47">
        <v>43508</v>
      </c>
      <c r="Y430" s="48">
        <f t="shared" si="26"/>
        <v>5.8824161593143645</v>
      </c>
      <c r="Z430" s="49"/>
      <c r="AA430" s="49"/>
      <c r="AB430" s="51"/>
      <c r="AE430" s="47">
        <v>43508</v>
      </c>
      <c r="AF430" s="48">
        <f t="shared" si="27"/>
        <v>3.990258136012415</v>
      </c>
      <c r="AG430" s="49"/>
      <c r="AH430" s="49"/>
      <c r="AI430" s="51"/>
    </row>
    <row r="431" spans="1:35" x14ac:dyDescent="0.3">
      <c r="A431" s="20">
        <v>43503</v>
      </c>
      <c r="C431">
        <f>-(Historical_Simulation!B432-Historical_Simulation!B433)</f>
        <v>0.82500000000000284</v>
      </c>
      <c r="E431">
        <f>-(Historical_Simulation!C432-Historical_Simulation!C433)</f>
        <v>25.8900000000001</v>
      </c>
      <c r="G431">
        <f>-(Historical_Simulation!D432-Historical_Simulation!D433)</f>
        <v>4.1100000000000136</v>
      </c>
      <c r="J431" s="23">
        <v>43507</v>
      </c>
      <c r="K431" s="24">
        <f t="shared" si="24"/>
        <v>-1.386726655269638</v>
      </c>
      <c r="L431" s="25"/>
      <c r="M431" s="25"/>
      <c r="N431" s="27"/>
      <c r="Q431" s="23">
        <v>43507</v>
      </c>
      <c r="R431" s="24">
        <f t="shared" si="25"/>
        <v>-0.87349216396925777</v>
      </c>
      <c r="S431" s="25"/>
      <c r="T431" s="25"/>
      <c r="U431" s="27"/>
      <c r="X431" s="47">
        <v>43507</v>
      </c>
      <c r="Y431" s="48">
        <f t="shared" si="26"/>
        <v>7.5009676469168376</v>
      </c>
      <c r="Z431" s="49"/>
      <c r="AA431" s="49"/>
      <c r="AB431" s="51"/>
      <c r="AE431" s="47">
        <v>43507</v>
      </c>
      <c r="AF431" s="48">
        <f t="shared" si="27"/>
        <v>5.3033491355481566</v>
      </c>
      <c r="AG431" s="49"/>
      <c r="AH431" s="49"/>
      <c r="AI431" s="51"/>
    </row>
    <row r="432" spans="1:35" x14ac:dyDescent="0.3">
      <c r="A432" s="20">
        <v>43502</v>
      </c>
      <c r="C432">
        <f>-(Historical_Simulation!B433-Historical_Simulation!B434)</f>
        <v>-1.5000000000000568E-2</v>
      </c>
      <c r="E432">
        <f>-(Historical_Simulation!C433-Historical_Simulation!C434)</f>
        <v>18.549999999999955</v>
      </c>
      <c r="G432">
        <f>-(Historical_Simulation!D433-Historical_Simulation!D434)</f>
        <v>0.66999999999998749</v>
      </c>
      <c r="J432" s="23">
        <v>43504</v>
      </c>
      <c r="K432" s="24">
        <f t="shared" si="24"/>
        <v>14.166697769744774</v>
      </c>
      <c r="L432" s="25"/>
      <c r="M432" s="25"/>
      <c r="N432" s="27"/>
      <c r="Q432" s="23">
        <v>43504</v>
      </c>
      <c r="R432" s="24">
        <f t="shared" si="25"/>
        <v>9.7524569838248709</v>
      </c>
      <c r="S432" s="25"/>
      <c r="T432" s="25"/>
      <c r="U432" s="27"/>
      <c r="X432" s="47">
        <v>43504</v>
      </c>
      <c r="Y432" s="48">
        <f t="shared" si="26"/>
        <v>-5.9328165851640655</v>
      </c>
      <c r="Z432" s="49"/>
      <c r="AA432" s="49"/>
      <c r="AB432" s="51"/>
      <c r="AE432" s="47">
        <v>43504</v>
      </c>
      <c r="AF432" s="48">
        <f t="shared" si="27"/>
        <v>-4.095811149985229</v>
      </c>
      <c r="AG432" s="49"/>
      <c r="AH432" s="49"/>
      <c r="AI432" s="51"/>
    </row>
    <row r="433" spans="1:35" x14ac:dyDescent="0.3">
      <c r="A433" s="20">
        <v>43501</v>
      </c>
      <c r="C433">
        <f>-(Historical_Simulation!B434-Historical_Simulation!B435)</f>
        <v>-0.73250000000000171</v>
      </c>
      <c r="E433">
        <f>-(Historical_Simulation!C434-Historical_Simulation!C435)</f>
        <v>-25.5</v>
      </c>
      <c r="G433">
        <f>-(Historical_Simulation!D434-Historical_Simulation!D435)</f>
        <v>-1.9099999999999966</v>
      </c>
      <c r="J433" s="23">
        <v>43503</v>
      </c>
      <c r="K433" s="24">
        <f t="shared" si="24"/>
        <v>14.345406153498839</v>
      </c>
      <c r="L433" s="25"/>
      <c r="M433" s="25"/>
      <c r="N433" s="27"/>
      <c r="Q433" s="23">
        <v>43503</v>
      </c>
      <c r="R433" s="24">
        <f t="shared" si="25"/>
        <v>10.092770608228024</v>
      </c>
      <c r="S433" s="25"/>
      <c r="T433" s="25"/>
      <c r="U433" s="27"/>
      <c r="X433" s="47">
        <v>43503</v>
      </c>
      <c r="Y433" s="48">
        <f t="shared" si="26"/>
        <v>19.231064648742453</v>
      </c>
      <c r="Z433" s="49"/>
      <c r="AA433" s="49"/>
      <c r="AB433" s="51"/>
      <c r="AE433" s="47">
        <v>43503</v>
      </c>
      <c r="AF433" s="48">
        <f t="shared" si="27"/>
        <v>13.656410741525455</v>
      </c>
      <c r="AG433" s="49"/>
      <c r="AH433" s="49"/>
      <c r="AI433" s="51"/>
    </row>
    <row r="434" spans="1:35" x14ac:dyDescent="0.3">
      <c r="A434" s="20">
        <v>43500</v>
      </c>
      <c r="C434">
        <f>-(Historical_Simulation!B435-Historical_Simulation!B436)</f>
        <v>-1.1824999999999974</v>
      </c>
      <c r="E434">
        <f>-(Historical_Simulation!C435-Historical_Simulation!C436)</f>
        <v>-7.0799999999999272</v>
      </c>
      <c r="G434">
        <f>-(Historical_Simulation!D435-Historical_Simulation!D436)</f>
        <v>-3.539999999999992</v>
      </c>
      <c r="J434" s="23">
        <v>43502</v>
      </c>
      <c r="K434" s="24">
        <f t="shared" si="24"/>
        <v>9.9992166463077705</v>
      </c>
      <c r="L434" s="25"/>
      <c r="M434" s="25"/>
      <c r="N434" s="27"/>
      <c r="Q434" s="23">
        <v>43502</v>
      </c>
      <c r="R434" s="24">
        <f t="shared" si="25"/>
        <v>6.8493990162278928</v>
      </c>
      <c r="S434" s="25"/>
      <c r="T434" s="25"/>
      <c r="U434" s="27"/>
      <c r="X434" s="47">
        <v>43502</v>
      </c>
      <c r="Y434" s="48">
        <f t="shared" si="26"/>
        <v>3.8230987167087718</v>
      </c>
      <c r="Z434" s="49"/>
      <c r="AA434" s="49"/>
      <c r="AB434" s="51"/>
      <c r="AE434" s="47">
        <v>43502</v>
      </c>
      <c r="AF434" s="48">
        <f t="shared" si="27"/>
        <v>2.6606518593439121</v>
      </c>
      <c r="AG434" s="49"/>
      <c r="AH434" s="49"/>
      <c r="AI434" s="51"/>
    </row>
    <row r="435" spans="1:35" x14ac:dyDescent="0.3">
      <c r="A435" s="20">
        <v>43497</v>
      </c>
      <c r="C435">
        <f>-(Historical_Simulation!B436-Historical_Simulation!B437)</f>
        <v>-2.0000000000003126E-2</v>
      </c>
      <c r="E435">
        <f>-(Historical_Simulation!C436-Historical_Simulation!C437)</f>
        <v>92.5</v>
      </c>
      <c r="G435">
        <f>-(Historical_Simulation!D436-Historical_Simulation!D437)</f>
        <v>0.97999999999998977</v>
      </c>
      <c r="J435" s="23">
        <v>43501</v>
      </c>
      <c r="K435" s="24">
        <f t="shared" si="24"/>
        <v>-14.092430556823505</v>
      </c>
      <c r="L435" s="25"/>
      <c r="M435" s="25"/>
      <c r="N435" s="27"/>
      <c r="Q435" s="23">
        <v>43501</v>
      </c>
      <c r="R435" s="24">
        <f t="shared" si="25"/>
        <v>-9.8902701392095231</v>
      </c>
      <c r="S435" s="25"/>
      <c r="T435" s="25"/>
      <c r="U435" s="27"/>
      <c r="X435" s="47">
        <v>43501</v>
      </c>
      <c r="Y435" s="48">
        <f t="shared" si="26"/>
        <v>-7.3301076480651677</v>
      </c>
      <c r="Z435" s="49"/>
      <c r="AA435" s="49"/>
      <c r="AB435" s="51"/>
      <c r="AE435" s="47">
        <v>43501</v>
      </c>
      <c r="AF435" s="48">
        <f t="shared" si="27"/>
        <v>-5.3318869552956194</v>
      </c>
      <c r="AG435" s="49"/>
      <c r="AH435" s="49"/>
      <c r="AI435" s="51"/>
    </row>
    <row r="436" spans="1:35" x14ac:dyDescent="0.3">
      <c r="A436" s="20">
        <v>43496</v>
      </c>
      <c r="C436">
        <f>-(Historical_Simulation!B437-Historical_Simulation!B438)</f>
        <v>-0.29749999999999943</v>
      </c>
      <c r="E436">
        <f>-(Historical_Simulation!C437-Historical_Simulation!C438)</f>
        <v>-48.299999999999955</v>
      </c>
      <c r="G436">
        <f>-(Historical_Simulation!D437-Historical_Simulation!D438)</f>
        <v>-16.27000000000001</v>
      </c>
      <c r="J436" s="23">
        <v>43500</v>
      </c>
      <c r="K436" s="24">
        <f t="shared" si="24"/>
        <v>-4.3636927105628587</v>
      </c>
      <c r="L436" s="25"/>
      <c r="M436" s="25"/>
      <c r="N436" s="27"/>
      <c r="Q436" s="23">
        <v>43500</v>
      </c>
      <c r="R436" s="24">
        <f t="shared" si="25"/>
        <v>-3.3630975328954253</v>
      </c>
      <c r="S436" s="25"/>
      <c r="T436" s="25"/>
      <c r="U436" s="27"/>
      <c r="X436" s="47">
        <v>43500</v>
      </c>
      <c r="Y436" s="48">
        <f t="shared" si="26"/>
        <v>-14.39172295568039</v>
      </c>
      <c r="Z436" s="49"/>
      <c r="AA436" s="49"/>
      <c r="AB436" s="51"/>
      <c r="AE436" s="47">
        <v>43500</v>
      </c>
      <c r="AF436" s="48">
        <f t="shared" si="27"/>
        <v>-10.39103906336258</v>
      </c>
      <c r="AG436" s="49"/>
      <c r="AH436" s="49"/>
      <c r="AI436" s="51"/>
    </row>
    <row r="437" spans="1:35" x14ac:dyDescent="0.3">
      <c r="A437" s="20">
        <v>43495</v>
      </c>
      <c r="C437">
        <f>-(Historical_Simulation!B438-Historical_Simulation!B439)</f>
        <v>-2.6424999999999983</v>
      </c>
      <c r="E437">
        <f>-(Historical_Simulation!C438-Historical_Simulation!C439)</f>
        <v>-76.549999999999955</v>
      </c>
      <c r="G437">
        <f>-(Historical_Simulation!D438-Historical_Simulation!D439)</f>
        <v>-6.2299999999999898</v>
      </c>
      <c r="J437" s="23">
        <v>43497</v>
      </c>
      <c r="K437" s="24">
        <f t="shared" si="24"/>
        <v>49.886562031586173</v>
      </c>
      <c r="L437" s="25"/>
      <c r="M437" s="25"/>
      <c r="N437" s="27"/>
      <c r="Q437" s="23">
        <v>43497</v>
      </c>
      <c r="R437" s="24">
        <f t="shared" si="25"/>
        <v>34.189221491053388</v>
      </c>
      <c r="S437" s="25"/>
      <c r="T437" s="25"/>
      <c r="U437" s="27"/>
      <c r="X437" s="47">
        <v>43497</v>
      </c>
      <c r="Y437" s="48">
        <f t="shared" si="26"/>
        <v>5.5830638200128613</v>
      </c>
      <c r="Z437" s="49"/>
      <c r="AA437" s="49"/>
      <c r="AB437" s="51"/>
      <c r="AE437" s="47">
        <v>43497</v>
      </c>
      <c r="AF437" s="48">
        <f t="shared" si="27"/>
        <v>3.8860611085312962</v>
      </c>
      <c r="AG437" s="49"/>
      <c r="AH437" s="49"/>
      <c r="AI437" s="51"/>
    </row>
    <row r="438" spans="1:35" x14ac:dyDescent="0.3">
      <c r="A438" s="20">
        <v>43494</v>
      </c>
      <c r="C438">
        <f>-(Historical_Simulation!B439-Historical_Simulation!B440)</f>
        <v>0.40500000000000114</v>
      </c>
      <c r="E438">
        <f>-(Historical_Simulation!C439-Historical_Simulation!C440)</f>
        <v>44.009999999999991</v>
      </c>
      <c r="G438">
        <f>-(Historical_Simulation!D439-Historical_Simulation!D440)</f>
        <v>3.2800000000000011</v>
      </c>
      <c r="J438" s="23">
        <v>43496</v>
      </c>
      <c r="K438" s="24">
        <f t="shared" si="24"/>
        <v>-26.190709510605416</v>
      </c>
      <c r="L438" s="25"/>
      <c r="M438" s="25"/>
      <c r="N438" s="27"/>
      <c r="Q438" s="23">
        <v>43496</v>
      </c>
      <c r="R438" s="24">
        <f t="shared" si="25"/>
        <v>-18.046399206920544</v>
      </c>
      <c r="S438" s="25"/>
      <c r="T438" s="25"/>
      <c r="U438" s="27"/>
      <c r="X438" s="47">
        <v>43496</v>
      </c>
      <c r="Y438" s="48">
        <f t="shared" si="26"/>
        <v>-89.792436865156176</v>
      </c>
      <c r="Z438" s="49"/>
      <c r="AA438" s="49"/>
      <c r="AB438" s="51"/>
      <c r="AE438" s="47">
        <v>43496</v>
      </c>
      <c r="AF438" s="48">
        <f t="shared" si="27"/>
        <v>-62.687061056016667</v>
      </c>
      <c r="AG438" s="49"/>
      <c r="AH438" s="49"/>
      <c r="AI438" s="51"/>
    </row>
    <row r="439" spans="1:35" x14ac:dyDescent="0.3">
      <c r="A439" s="20">
        <v>43493</v>
      </c>
      <c r="C439">
        <f>-(Historical_Simulation!B440-Historical_Simulation!B441)</f>
        <v>0.36499999999999488</v>
      </c>
      <c r="E439">
        <f>-(Historical_Simulation!C440-Historical_Simulation!C441)</f>
        <v>32.679999999999836</v>
      </c>
      <c r="G439">
        <f>-(Historical_Simulation!D440-Historical_Simulation!D441)</f>
        <v>1.539999999999992</v>
      </c>
      <c r="J439" s="23">
        <v>43495</v>
      </c>
      <c r="K439" s="24">
        <f t="shared" si="24"/>
        <v>-42.509223231187342</v>
      </c>
      <c r="L439" s="25"/>
      <c r="M439" s="25"/>
      <c r="N439" s="27"/>
      <c r="Q439" s="23">
        <v>43495</v>
      </c>
      <c r="R439" s="24">
        <f t="shared" si="25"/>
        <v>-29.969759374730081</v>
      </c>
      <c r="S439" s="25"/>
      <c r="T439" s="25"/>
      <c r="U439" s="27"/>
      <c r="X439" s="47">
        <v>43495</v>
      </c>
      <c r="Y439" s="48">
        <f t="shared" si="26"/>
        <v>-22.74349145429624</v>
      </c>
      <c r="Z439" s="49"/>
      <c r="AA439" s="49"/>
      <c r="AB439" s="51"/>
      <c r="AE439" s="47">
        <v>43495</v>
      </c>
      <c r="AF439" s="48">
        <f t="shared" si="27"/>
        <v>-16.655494226856099</v>
      </c>
      <c r="AG439" s="49"/>
      <c r="AH439" s="49"/>
      <c r="AI439" s="51"/>
    </row>
    <row r="440" spans="1:35" x14ac:dyDescent="0.3">
      <c r="A440" s="20">
        <v>43490</v>
      </c>
      <c r="C440">
        <f>-(Historical_Simulation!B441-Historical_Simulation!B442)</f>
        <v>-1.2650000000000006</v>
      </c>
      <c r="E440">
        <f>-(Historical_Simulation!C441-Historical_Simulation!C442)</f>
        <v>-15.639999999999873</v>
      </c>
      <c r="G440">
        <f>-(Historical_Simulation!D441-Historical_Simulation!D442)</f>
        <v>-3.1799999999999784</v>
      </c>
      <c r="J440" s="23">
        <v>43494</v>
      </c>
      <c r="K440" s="24">
        <f t="shared" si="24"/>
        <v>23.926137455548151</v>
      </c>
      <c r="L440" s="25"/>
      <c r="M440" s="25"/>
      <c r="N440" s="27"/>
      <c r="Q440" s="23">
        <v>43494</v>
      </c>
      <c r="R440" s="24">
        <f t="shared" si="25"/>
        <v>16.527925887563583</v>
      </c>
      <c r="S440" s="25"/>
      <c r="T440" s="25"/>
      <c r="U440" s="27"/>
      <c r="X440" s="47">
        <v>43494</v>
      </c>
      <c r="Y440" s="48">
        <f t="shared" si="26"/>
        <v>16.513808482537101</v>
      </c>
      <c r="Z440" s="49"/>
      <c r="AA440" s="49"/>
      <c r="AB440" s="51"/>
      <c r="AE440" s="47">
        <v>43494</v>
      </c>
      <c r="AF440" s="48">
        <f t="shared" si="27"/>
        <v>11.634925687027566</v>
      </c>
      <c r="AG440" s="49"/>
      <c r="AH440" s="49"/>
      <c r="AI440" s="51"/>
    </row>
    <row r="441" spans="1:35" x14ac:dyDescent="0.3">
      <c r="A441" s="20">
        <v>43489</v>
      </c>
      <c r="C441">
        <f>-(Historical_Simulation!B442-Historical_Simulation!B443)</f>
        <v>0.30499999999999972</v>
      </c>
      <c r="E441">
        <f>-(Historical_Simulation!C442-Historical_Simulation!C443)</f>
        <v>-14.910000000000082</v>
      </c>
      <c r="G441">
        <f>-(Historical_Simulation!D442-Historical_Simulation!D443)</f>
        <v>-1.5300000000000011</v>
      </c>
      <c r="J441" s="23">
        <v>43493</v>
      </c>
      <c r="K441" s="24">
        <f t="shared" si="24"/>
        <v>17.796155988442486</v>
      </c>
      <c r="L441" s="25"/>
      <c r="M441" s="25"/>
      <c r="N441" s="27"/>
      <c r="Q441" s="23">
        <v>43493</v>
      </c>
      <c r="R441" s="24">
        <f t="shared" si="25"/>
        <v>12.313454306997238</v>
      </c>
      <c r="S441" s="25"/>
      <c r="T441" s="25"/>
      <c r="U441" s="27"/>
      <c r="X441" s="47">
        <v>43493</v>
      </c>
      <c r="Y441" s="48">
        <f t="shared" si="26"/>
        <v>6.9485999885151424</v>
      </c>
      <c r="Z441" s="49"/>
      <c r="AA441" s="49"/>
      <c r="AB441" s="51"/>
      <c r="AE441" s="47">
        <v>43493</v>
      </c>
      <c r="AF441" s="48">
        <f t="shared" si="27"/>
        <v>4.9546218025242936</v>
      </c>
      <c r="AG441" s="49"/>
      <c r="AH441" s="49"/>
      <c r="AI441" s="51"/>
    </row>
    <row r="442" spans="1:35" x14ac:dyDescent="0.3">
      <c r="A442" s="20">
        <v>43488</v>
      </c>
      <c r="C442">
        <f>-(Historical_Simulation!B443-Historical_Simulation!B444)</f>
        <v>-0.15499999999999403</v>
      </c>
      <c r="E442">
        <f>-(Historical_Simulation!C443-Historical_Simulation!C444)</f>
        <v>-7.8499999999999091</v>
      </c>
      <c r="G442">
        <f>-(Historical_Simulation!D443-Historical_Simulation!D444)</f>
        <v>3.2699999999999818</v>
      </c>
      <c r="J442" s="23">
        <v>43490</v>
      </c>
      <c r="K442" s="24">
        <f t="shared" si="24"/>
        <v>-9.0190729485953831</v>
      </c>
      <c r="L442" s="25"/>
      <c r="M442" s="25"/>
      <c r="N442" s="27"/>
      <c r="Q442" s="23">
        <v>43490</v>
      </c>
      <c r="R442" s="24">
        <f t="shared" si="25"/>
        <v>-6.5801487130770449</v>
      </c>
      <c r="S442" s="25"/>
      <c r="T442" s="25"/>
      <c r="U442" s="27"/>
      <c r="X442" s="47">
        <v>43490</v>
      </c>
      <c r="Y442" s="48">
        <f t="shared" si="26"/>
        <v>-11.994867215324589</v>
      </c>
      <c r="Z442" s="49"/>
      <c r="AA442" s="49"/>
      <c r="AB442" s="51"/>
      <c r="AE442" s="47">
        <v>43490</v>
      </c>
      <c r="AF442" s="48">
        <f t="shared" si="27"/>
        <v>-8.7451070228374057</v>
      </c>
      <c r="AG442" s="49"/>
      <c r="AH442" s="49"/>
      <c r="AI442" s="51"/>
    </row>
    <row r="443" spans="1:35" x14ac:dyDescent="0.3">
      <c r="A443" s="20">
        <v>43487</v>
      </c>
      <c r="C443">
        <f>-(Historical_Simulation!B444-Historical_Simulation!B445)</f>
        <v>0.87999999999999545</v>
      </c>
      <c r="E443">
        <f>-(Historical_Simulation!C444-Historical_Simulation!C445)</f>
        <v>64.029999999999973</v>
      </c>
      <c r="G443">
        <f>-(Historical_Simulation!D444-Historical_Simulation!D445)</f>
        <v>2.4699999999999989</v>
      </c>
      <c r="J443" s="23">
        <v>43489</v>
      </c>
      <c r="K443" s="24">
        <f t="shared" si="24"/>
        <v>-7.9021805156786398</v>
      </c>
      <c r="L443" s="25"/>
      <c r="M443" s="25"/>
      <c r="N443" s="27"/>
      <c r="Q443" s="23">
        <v>43489</v>
      </c>
      <c r="R443" s="24">
        <f t="shared" si="25"/>
        <v>-5.3207382726586703</v>
      </c>
      <c r="S443" s="25"/>
      <c r="T443" s="25"/>
      <c r="U443" s="27"/>
      <c r="X443" s="47">
        <v>43489</v>
      </c>
      <c r="Y443" s="48">
        <f t="shared" si="26"/>
        <v>-9.9766221097236851</v>
      </c>
      <c r="Z443" s="49"/>
      <c r="AA443" s="49"/>
      <c r="AB443" s="51"/>
      <c r="AE443" s="47">
        <v>43489</v>
      </c>
      <c r="AF443" s="48">
        <f t="shared" si="27"/>
        <v>-6.8626221341549893</v>
      </c>
      <c r="AG443" s="49"/>
      <c r="AH443" s="49"/>
      <c r="AI443" s="51"/>
    </row>
    <row r="444" spans="1:35" x14ac:dyDescent="0.3">
      <c r="A444" s="20">
        <v>43486</v>
      </c>
      <c r="C444">
        <f>-(Historical_Simulation!B445-Historical_Simulation!B446)</f>
        <v>0</v>
      </c>
      <c r="E444">
        <f>-(Historical_Simulation!C445-Historical_Simulation!C446)</f>
        <v>0</v>
      </c>
      <c r="G444">
        <f>-(Historical_Simulation!D445-Historical_Simulation!D446)</f>
        <v>0</v>
      </c>
      <c r="J444" s="23">
        <v>43488</v>
      </c>
      <c r="K444" s="24">
        <f t="shared" si="24"/>
        <v>-4.3057889627437405</v>
      </c>
      <c r="L444" s="25"/>
      <c r="M444" s="25"/>
      <c r="N444" s="27"/>
      <c r="Q444" s="23">
        <v>43488</v>
      </c>
      <c r="R444" s="24">
        <f t="shared" si="25"/>
        <v>-3.0002222154523608</v>
      </c>
      <c r="S444" s="25"/>
      <c r="T444" s="25"/>
      <c r="U444" s="27"/>
      <c r="X444" s="47">
        <v>43488</v>
      </c>
      <c r="Y444" s="48">
        <f t="shared" si="26"/>
        <v>19.035493583544071</v>
      </c>
      <c r="Z444" s="49"/>
      <c r="AA444" s="49"/>
      <c r="AB444" s="51"/>
      <c r="AE444" s="47">
        <v>43488</v>
      </c>
      <c r="AF444" s="48">
        <f t="shared" si="27"/>
        <v>13.223259296719707</v>
      </c>
      <c r="AG444" s="49"/>
      <c r="AH444" s="49"/>
      <c r="AI444" s="51"/>
    </row>
    <row r="445" spans="1:35" x14ac:dyDescent="0.3">
      <c r="A445" s="20">
        <v>43483</v>
      </c>
      <c r="C445">
        <f>-(Historical_Simulation!B446-Historical_Simulation!B447)</f>
        <v>-0.23999999999999488</v>
      </c>
      <c r="E445">
        <f>-(Historical_Simulation!C446-Historical_Simulation!C447)</f>
        <v>-2.9800000000000182</v>
      </c>
      <c r="G445">
        <f>-(Historical_Simulation!D446-Historical_Simulation!D447)</f>
        <v>-1.7399999999999807</v>
      </c>
      <c r="J445" s="23">
        <v>43487</v>
      </c>
      <c r="K445" s="24">
        <f t="shared" si="24"/>
        <v>34.943979596786264</v>
      </c>
      <c r="L445" s="25"/>
      <c r="M445" s="25"/>
      <c r="N445" s="27"/>
      <c r="Q445" s="23">
        <v>43487</v>
      </c>
      <c r="R445" s="24">
        <f t="shared" si="25"/>
        <v>24.229679389969956</v>
      </c>
      <c r="S445" s="25"/>
      <c r="T445" s="25"/>
      <c r="U445" s="27"/>
      <c r="X445" s="47">
        <v>43487</v>
      </c>
      <c r="Y445" s="48">
        <f t="shared" si="26"/>
        <v>9.7888714738205316</v>
      </c>
      <c r="Z445" s="49"/>
      <c r="AA445" s="49"/>
      <c r="AB445" s="51"/>
      <c r="AE445" s="47">
        <v>43487</v>
      </c>
      <c r="AF445" s="48">
        <f t="shared" si="27"/>
        <v>7.0906371625648195</v>
      </c>
      <c r="AG445" s="49"/>
      <c r="AH445" s="49"/>
      <c r="AI445" s="51"/>
    </row>
    <row r="446" spans="1:35" x14ac:dyDescent="0.3">
      <c r="A446" s="20">
        <v>43482</v>
      </c>
      <c r="C446">
        <f>-(Historical_Simulation!B447-Historical_Simulation!B448)</f>
        <v>-0.23000000000000398</v>
      </c>
      <c r="E446">
        <f>-(Historical_Simulation!C447-Historical_Simulation!C448)</f>
        <v>-9.4400000000000546</v>
      </c>
      <c r="G446">
        <f>-(Historical_Simulation!D447-Historical_Simulation!D448)</f>
        <v>-0.76000000000001933</v>
      </c>
      <c r="J446" s="23">
        <v>43486</v>
      </c>
      <c r="K446" s="24">
        <f t="shared" si="24"/>
        <v>0</v>
      </c>
      <c r="L446" s="25"/>
      <c r="M446" s="25"/>
      <c r="N446" s="27"/>
      <c r="Q446" s="23">
        <v>43486</v>
      </c>
      <c r="R446" s="24">
        <f t="shared" si="25"/>
        <v>0</v>
      </c>
      <c r="S446" s="25"/>
      <c r="T446" s="25"/>
      <c r="U446" s="27"/>
      <c r="X446" s="47">
        <v>43486</v>
      </c>
      <c r="Y446" s="48">
        <f t="shared" si="26"/>
        <v>0</v>
      </c>
      <c r="Z446" s="49"/>
      <c r="AA446" s="49"/>
      <c r="AB446" s="51"/>
      <c r="AE446" s="47">
        <v>43486</v>
      </c>
      <c r="AF446" s="48">
        <f t="shared" si="27"/>
        <v>0</v>
      </c>
      <c r="AG446" s="49"/>
      <c r="AH446" s="49"/>
      <c r="AI446" s="51"/>
    </row>
    <row r="447" spans="1:35" x14ac:dyDescent="0.3">
      <c r="A447" s="20">
        <v>43481</v>
      </c>
      <c r="C447">
        <f>-(Historical_Simulation!B448-Historical_Simulation!B449)</f>
        <v>-0.46750000000000114</v>
      </c>
      <c r="E447">
        <f>-(Historical_Simulation!C448-Historical_Simulation!C449)</f>
        <v>-9.2200000000000273</v>
      </c>
      <c r="G447">
        <f>-(Historical_Simulation!D448-Historical_Simulation!D449)</f>
        <v>1.4099999999999966</v>
      </c>
      <c r="J447" s="23">
        <v>43483</v>
      </c>
      <c r="K447" s="24">
        <f t="shared" si="24"/>
        <v>-1.7179937307235928</v>
      </c>
      <c r="L447" s="25"/>
      <c r="M447" s="25"/>
      <c r="N447" s="27"/>
      <c r="Q447" s="23">
        <v>43483</v>
      </c>
      <c r="R447" s="24">
        <f t="shared" si="25"/>
        <v>-1.2531135633969588</v>
      </c>
      <c r="S447" s="25"/>
      <c r="T447" s="25"/>
      <c r="U447" s="27"/>
      <c r="X447" s="47">
        <v>43483</v>
      </c>
      <c r="Y447" s="48">
        <f t="shared" si="26"/>
        <v>-8.6445957300192706</v>
      </c>
      <c r="Z447" s="49"/>
      <c r="AA447" s="49"/>
      <c r="AB447" s="51"/>
      <c r="AE447" s="47">
        <v>43483</v>
      </c>
      <c r="AF447" s="48">
        <f t="shared" si="27"/>
        <v>-6.0990916627969298</v>
      </c>
      <c r="AG447" s="49"/>
      <c r="AH447" s="49"/>
      <c r="AI447" s="51"/>
    </row>
    <row r="448" spans="1:35" x14ac:dyDescent="0.3">
      <c r="A448" s="20">
        <v>43480</v>
      </c>
      <c r="C448">
        <f>-(Historical_Simulation!B449-Historical_Simulation!B450)</f>
        <v>-0.76749999999999829</v>
      </c>
      <c r="E448">
        <f>-(Historical_Simulation!C449-Historical_Simulation!C450)</f>
        <v>-57.349999999999909</v>
      </c>
      <c r="G448">
        <f>-(Historical_Simulation!D449-Historical_Simulation!D450)</f>
        <v>-3.5600000000000023</v>
      </c>
      <c r="J448" s="23">
        <v>43482</v>
      </c>
      <c r="K448" s="24">
        <f t="shared" si="24"/>
        <v>-5.1980008248044918</v>
      </c>
      <c r="L448" s="25"/>
      <c r="M448" s="25"/>
      <c r="N448" s="27"/>
      <c r="Q448" s="23">
        <v>43482</v>
      </c>
      <c r="R448" s="24">
        <f t="shared" si="25"/>
        <v>-3.6353926711262847</v>
      </c>
      <c r="S448" s="25"/>
      <c r="T448" s="25"/>
      <c r="U448" s="27"/>
      <c r="X448" s="47">
        <v>43482</v>
      </c>
      <c r="Y448" s="48">
        <f t="shared" si="26"/>
        <v>-3.1996238246069288</v>
      </c>
      <c r="Z448" s="49"/>
      <c r="AA448" s="49"/>
      <c r="AB448" s="51"/>
      <c r="AE448" s="47">
        <v>43482</v>
      </c>
      <c r="AF448" s="48">
        <f t="shared" si="27"/>
        <v>-2.3002123875216673</v>
      </c>
      <c r="AG448" s="49"/>
      <c r="AH448" s="49"/>
      <c r="AI448" s="51"/>
    </row>
    <row r="449" spans="1:35" x14ac:dyDescent="0.3">
      <c r="A449" s="20">
        <v>43479</v>
      </c>
      <c r="C449">
        <f>-(Historical_Simulation!B450-Historical_Simulation!B451)</f>
        <v>0.57249999999999801</v>
      </c>
      <c r="E449">
        <f>-(Historical_Simulation!C450-Historical_Simulation!C451)</f>
        <v>23.349999999999909</v>
      </c>
      <c r="G449">
        <f>-(Historical_Simulation!D450-Historical_Simulation!D451)</f>
        <v>-1.589999999999975</v>
      </c>
      <c r="J449" s="23">
        <v>43481</v>
      </c>
      <c r="K449" s="24">
        <f t="shared" si="24"/>
        <v>-5.1887190248752635</v>
      </c>
      <c r="L449" s="25"/>
      <c r="M449" s="25"/>
      <c r="N449" s="27"/>
      <c r="Q449" s="23">
        <v>43481</v>
      </c>
      <c r="R449" s="24">
        <f t="shared" si="25"/>
        <v>-3.7037322859970363</v>
      </c>
      <c r="S449" s="25"/>
      <c r="T449" s="25"/>
      <c r="U449" s="27"/>
      <c r="X449" s="47">
        <v>43481</v>
      </c>
      <c r="Y449" s="48">
        <f t="shared" si="26"/>
        <v>10.052252322074214</v>
      </c>
      <c r="Z449" s="49"/>
      <c r="AA449" s="49"/>
      <c r="AB449" s="51"/>
      <c r="AE449" s="47">
        <v>43481</v>
      </c>
      <c r="AF449" s="48">
        <f t="shared" si="27"/>
        <v>6.8661297312675567</v>
      </c>
      <c r="AG449" s="49"/>
      <c r="AH449" s="49"/>
      <c r="AI449" s="51"/>
    </row>
    <row r="450" spans="1:35" x14ac:dyDescent="0.3">
      <c r="A450" s="20">
        <v>43476</v>
      </c>
      <c r="C450">
        <f>-(Historical_Simulation!B451-Historical_Simulation!B452)</f>
        <v>0.37750000000000483</v>
      </c>
      <c r="E450">
        <f>-(Historical_Simulation!C451-Historical_Simulation!C452)</f>
        <v>15.660000000000082</v>
      </c>
      <c r="G450">
        <f>-(Historical_Simulation!D451-Historical_Simulation!D452)</f>
        <v>0.39999999999997726</v>
      </c>
      <c r="J450" s="23">
        <v>43480</v>
      </c>
      <c r="K450" s="24">
        <f t="shared" si="24"/>
        <v>-31.288879660097493</v>
      </c>
      <c r="L450" s="25"/>
      <c r="M450" s="25"/>
      <c r="N450" s="27"/>
      <c r="Q450" s="23">
        <v>43480</v>
      </c>
      <c r="R450" s="24">
        <f t="shared" si="25"/>
        <v>-21.688849708360628</v>
      </c>
      <c r="S450" s="25"/>
      <c r="T450" s="25"/>
      <c r="U450" s="27"/>
      <c r="X450" s="47">
        <v>43480</v>
      </c>
      <c r="Y450" s="48">
        <f t="shared" si="26"/>
        <v>-16.414055717386056</v>
      </c>
      <c r="Z450" s="49"/>
      <c r="AA450" s="49"/>
      <c r="AB450" s="51"/>
      <c r="AE450" s="47">
        <v>43480</v>
      </c>
      <c r="AF450" s="48">
        <f t="shared" si="27"/>
        <v>-11.675175645573745</v>
      </c>
      <c r="AG450" s="49"/>
      <c r="AH450" s="49"/>
      <c r="AI450" s="51"/>
    </row>
    <row r="451" spans="1:35" x14ac:dyDescent="0.3">
      <c r="A451" s="20">
        <v>43475</v>
      </c>
      <c r="C451">
        <f>-(Historical_Simulation!B452-Historical_Simulation!B453)</f>
        <v>-0.12250000000000227</v>
      </c>
      <c r="E451">
        <f>-(Historical_Simulation!C452-Historical_Simulation!C453)</f>
        <v>3.2000000000000455</v>
      </c>
      <c r="G451">
        <f>-(Historical_Simulation!D452-Historical_Simulation!D453)</f>
        <v>3.0000000000001137E-2</v>
      </c>
      <c r="J451" s="23">
        <v>43479</v>
      </c>
      <c r="K451" s="24">
        <f t="shared" si="24"/>
        <v>12.858997153852673</v>
      </c>
      <c r="L451" s="25"/>
      <c r="M451" s="25"/>
      <c r="N451" s="27"/>
      <c r="Q451" s="23">
        <v>43479</v>
      </c>
      <c r="R451" s="24">
        <f t="shared" si="25"/>
        <v>8.9944686825817701</v>
      </c>
      <c r="S451" s="25"/>
      <c r="T451" s="25"/>
      <c r="U451" s="27"/>
      <c r="X451" s="47">
        <v>43479</v>
      </c>
      <c r="Y451" s="48">
        <f t="shared" si="26"/>
        <v>-11.544125510777757</v>
      </c>
      <c r="Z451" s="49"/>
      <c r="AA451" s="49"/>
      <c r="AB451" s="51"/>
      <c r="AE451" s="47">
        <v>43479</v>
      </c>
      <c r="AF451" s="48">
        <f t="shared" si="27"/>
        <v>-7.874357147198892</v>
      </c>
      <c r="AG451" s="49"/>
      <c r="AH451" s="49"/>
      <c r="AI451" s="51"/>
    </row>
    <row r="452" spans="1:35" x14ac:dyDescent="0.3">
      <c r="A452" s="20">
        <v>43474</v>
      </c>
      <c r="C452">
        <f>-(Historical_Simulation!B453-Historical_Simulation!B454)</f>
        <v>-0.64000000000000057</v>
      </c>
      <c r="E452">
        <f>-(Historical_Simulation!C453-Historical_Simulation!C454)</f>
        <v>-2.8400000000001455</v>
      </c>
      <c r="G452">
        <f>-(Historical_Simulation!D453-Historical_Simulation!D454)</f>
        <v>-1.6999999999999886</v>
      </c>
      <c r="J452" s="23">
        <v>43476</v>
      </c>
      <c r="K452" s="24">
        <f t="shared" si="24"/>
        <v>8.6210909451763946</v>
      </c>
      <c r="L452" s="25"/>
      <c r="M452" s="25"/>
      <c r="N452" s="27"/>
      <c r="Q452" s="23">
        <v>43476</v>
      </c>
      <c r="R452" s="24">
        <f t="shared" si="25"/>
        <v>6.0281963622679049</v>
      </c>
      <c r="S452" s="25"/>
      <c r="T452" s="25"/>
      <c r="U452" s="27"/>
      <c r="X452" s="47">
        <v>43476</v>
      </c>
      <c r="Y452" s="48">
        <f t="shared" si="26"/>
        <v>0.50356893595014074</v>
      </c>
      <c r="Z452" s="49"/>
      <c r="AA452" s="49"/>
      <c r="AB452" s="51"/>
      <c r="AE452" s="47">
        <v>43476</v>
      </c>
      <c r="AF452" s="48">
        <f t="shared" si="27"/>
        <v>0.46538637494185209</v>
      </c>
      <c r="AG452" s="49"/>
      <c r="AH452" s="49"/>
      <c r="AI452" s="51"/>
    </row>
    <row r="453" spans="1:35" x14ac:dyDescent="0.3">
      <c r="A453" s="20">
        <v>43473</v>
      </c>
      <c r="C453">
        <f>-(Historical_Simulation!B454-Historical_Simulation!B455)</f>
        <v>-0.70499999999999829</v>
      </c>
      <c r="E453">
        <f>-(Historical_Simulation!C454-Historical_Simulation!C455)</f>
        <v>-27.069999999999936</v>
      </c>
      <c r="G453">
        <f>-(Historical_Simulation!D454-Historical_Simulation!D455)</f>
        <v>-4.4799999999999898</v>
      </c>
      <c r="J453" s="23">
        <v>43475</v>
      </c>
      <c r="K453" s="24">
        <f t="shared" si="24"/>
        <v>1.6697022519449549</v>
      </c>
      <c r="L453" s="25"/>
      <c r="M453" s="25"/>
      <c r="N453" s="27"/>
      <c r="Q453" s="23">
        <v>43475</v>
      </c>
      <c r="R453" s="24">
        <f t="shared" si="25"/>
        <v>1.1059926329877467</v>
      </c>
      <c r="S453" s="25"/>
      <c r="T453" s="25"/>
      <c r="U453" s="27"/>
      <c r="X453" s="47">
        <v>43475</v>
      </c>
      <c r="Y453" s="48">
        <f t="shared" si="26"/>
        <v>0.73196723255198481</v>
      </c>
      <c r="Z453" s="49"/>
      <c r="AA453" s="49"/>
      <c r="AB453" s="51"/>
      <c r="AE453" s="47">
        <v>43475</v>
      </c>
      <c r="AF453" s="48">
        <f t="shared" si="27"/>
        <v>0.47317431905103846</v>
      </c>
      <c r="AG453" s="49"/>
      <c r="AH453" s="49"/>
      <c r="AI453" s="51"/>
    </row>
    <row r="454" spans="1:35" x14ac:dyDescent="0.3">
      <c r="A454" s="20">
        <v>43472</v>
      </c>
      <c r="C454">
        <f>-(Historical_Simulation!B455-Historical_Simulation!B456)</f>
        <v>8.2499999999996021E-2</v>
      </c>
      <c r="E454">
        <f>-(Historical_Simulation!C455-Historical_Simulation!C456)</f>
        <v>-54.119999999999891</v>
      </c>
      <c r="G454">
        <f>-(Historical_Simulation!D455-Historical_Simulation!D456)</f>
        <v>-0.10000000000002274</v>
      </c>
      <c r="J454" s="23">
        <v>43474</v>
      </c>
      <c r="K454" s="24">
        <f t="shared" ref="K454:K517" si="28">C452*$K$3+E452*(1-$K$3)</f>
        <v>-1.8267102947416436</v>
      </c>
      <c r="L454" s="25"/>
      <c r="M454" s="25"/>
      <c r="N454" s="27"/>
      <c r="Q454" s="23">
        <v>43474</v>
      </c>
      <c r="R454" s="24">
        <f t="shared" si="25"/>
        <v>-1.453448846523157</v>
      </c>
      <c r="S454" s="25"/>
      <c r="T454" s="25"/>
      <c r="U454" s="27"/>
      <c r="X454" s="47">
        <v>43474</v>
      </c>
      <c r="Y454" s="48">
        <f t="shared" si="26"/>
        <v>-6.5792476492136114</v>
      </c>
      <c r="Z454" s="49"/>
      <c r="AA454" s="49"/>
      <c r="AB454" s="51"/>
      <c r="AE454" s="47">
        <v>43474</v>
      </c>
      <c r="AF454" s="48">
        <f t="shared" si="27"/>
        <v>-4.7804247750431612</v>
      </c>
      <c r="AG454" s="49"/>
      <c r="AH454" s="49"/>
      <c r="AI454" s="51"/>
    </row>
    <row r="455" spans="1:35" x14ac:dyDescent="0.3">
      <c r="A455" s="20">
        <v>43469</v>
      </c>
      <c r="C455">
        <f>-(Historical_Simulation!B456-Historical_Simulation!B457)</f>
        <v>-1.5174999999999983</v>
      </c>
      <c r="E455">
        <f>-(Historical_Simulation!C456-Historical_Simulation!C457)</f>
        <v>-75.110000000000127</v>
      </c>
      <c r="G455">
        <f>-(Historical_Simulation!D456-Historical_Simulation!D457)</f>
        <v>-6.2099999999999795</v>
      </c>
      <c r="J455" s="23">
        <v>43473</v>
      </c>
      <c r="K455" s="24">
        <f t="shared" si="28"/>
        <v>-14.926644054936945</v>
      </c>
      <c r="L455" s="25"/>
      <c r="M455" s="25"/>
      <c r="N455" s="27"/>
      <c r="Q455" s="23">
        <v>43473</v>
      </c>
      <c r="R455" s="24">
        <f t="shared" ref="R455:R518" si="29">C453*$R$3+E453*(1-$R$3)</f>
        <v>-10.453444926627977</v>
      </c>
      <c r="S455" s="25"/>
      <c r="T455" s="25"/>
      <c r="U455" s="27"/>
      <c r="X455" s="47">
        <v>43473</v>
      </c>
      <c r="Y455" s="48">
        <f t="shared" ref="Y455:Y518" si="30">C453*$Y$3+G453*(1-$Y$3)</f>
        <v>-21.856565920548665</v>
      </c>
      <c r="Z455" s="49"/>
      <c r="AA455" s="49"/>
      <c r="AB455" s="51"/>
      <c r="AE455" s="47">
        <v>43473</v>
      </c>
      <c r="AF455" s="48">
        <f t="shared" ref="AF455:AF518" si="31">C453*$AF$3+G453*(1-$AF$3)</f>
        <v>-15.450380684705726</v>
      </c>
      <c r="AG455" s="49"/>
      <c r="AH455" s="49"/>
      <c r="AI455" s="51"/>
    </row>
    <row r="456" spans="1:35" x14ac:dyDescent="0.3">
      <c r="A456" s="20">
        <v>43468</v>
      </c>
      <c r="C456">
        <f>-(Historical_Simulation!B457-Historical_Simulation!B458)</f>
        <v>3.9324999999999974</v>
      </c>
      <c r="E456">
        <f>-(Historical_Simulation!C457-Historical_Simulation!C458)</f>
        <v>38.850000000000136</v>
      </c>
      <c r="G456">
        <f>-(Historical_Simulation!D457-Historical_Simulation!D458)</f>
        <v>3.9399999999999977</v>
      </c>
      <c r="J456" s="23">
        <v>43472</v>
      </c>
      <c r="K456" s="24">
        <f t="shared" si="28"/>
        <v>-29.15507488669525</v>
      </c>
      <c r="L456" s="25"/>
      <c r="M456" s="25"/>
      <c r="N456" s="27"/>
      <c r="Q456" s="23">
        <v>43472</v>
      </c>
      <c r="R456" s="24">
        <f t="shared" si="29"/>
        <v>-19.958845956212908</v>
      </c>
      <c r="S456" s="25"/>
      <c r="T456" s="25"/>
      <c r="U456" s="27"/>
      <c r="X456" s="47">
        <v>43472</v>
      </c>
      <c r="Y456" s="48">
        <f t="shared" si="30"/>
        <v>-0.94005914715246408</v>
      </c>
      <c r="Z456" s="49"/>
      <c r="AA456" s="49"/>
      <c r="AB456" s="51"/>
      <c r="AE456" s="47">
        <v>43472</v>
      </c>
      <c r="AF456" s="48">
        <f t="shared" si="31"/>
        <v>-0.63035615230704445</v>
      </c>
      <c r="AG456" s="49"/>
      <c r="AH456" s="49"/>
      <c r="AI456" s="51"/>
    </row>
    <row r="457" spans="1:35" x14ac:dyDescent="0.3">
      <c r="A457" s="20">
        <v>43467</v>
      </c>
      <c r="C457">
        <f>-(Historical_Simulation!B458-Historical_Simulation!B459)</f>
        <v>-4.49999999999946E-2</v>
      </c>
      <c r="E457">
        <f>-(Historical_Simulation!C458-Historical_Simulation!C459)</f>
        <v>-37.160000000000082</v>
      </c>
      <c r="G457">
        <f>-(Historical_Simulation!D458-Historical_Simulation!D459)</f>
        <v>-4.5900000000000034</v>
      </c>
      <c r="J457" s="23">
        <v>43469</v>
      </c>
      <c r="K457" s="24">
        <f t="shared" si="28"/>
        <v>-41.214307893531256</v>
      </c>
      <c r="L457" s="25"/>
      <c r="M457" s="25"/>
      <c r="N457" s="27"/>
      <c r="Q457" s="23">
        <v>43469</v>
      </c>
      <c r="R457" s="24">
        <f t="shared" si="29"/>
        <v>-28.728288289887065</v>
      </c>
      <c r="S457" s="25"/>
      <c r="T457" s="25"/>
      <c r="U457" s="27"/>
      <c r="X457" s="47">
        <v>43469</v>
      </c>
      <c r="Y457" s="48">
        <f t="shared" si="30"/>
        <v>-27.809876975410447</v>
      </c>
      <c r="Z457" s="49"/>
      <c r="AA457" s="49"/>
      <c r="AB457" s="51"/>
      <c r="AE457" s="47">
        <v>43469</v>
      </c>
      <c r="AF457" s="48">
        <f t="shared" si="31"/>
        <v>-19.84669175178318</v>
      </c>
      <c r="AG457" s="49"/>
      <c r="AH457" s="49"/>
      <c r="AI457" s="51"/>
    </row>
    <row r="458" spans="1:35" x14ac:dyDescent="0.3">
      <c r="A458" s="20">
        <v>43466</v>
      </c>
      <c r="C458">
        <f>-(Historical_Simulation!B459-Historical_Simulation!B460)</f>
        <v>0</v>
      </c>
      <c r="E458">
        <f>-(Historical_Simulation!C459-Historical_Simulation!C460)</f>
        <v>0</v>
      </c>
      <c r="G458">
        <f>-(Historical_Simulation!D459-Historical_Simulation!D460)</f>
        <v>0</v>
      </c>
      <c r="J458" s="23">
        <v>43468</v>
      </c>
      <c r="K458" s="24">
        <f t="shared" si="28"/>
        <v>22.767480325744888</v>
      </c>
      <c r="L458" s="25"/>
      <c r="M458" s="25"/>
      <c r="N458" s="27"/>
      <c r="Q458" s="23">
        <v>43468</v>
      </c>
      <c r="R458" s="24">
        <f t="shared" si="29"/>
        <v>16.843227317486612</v>
      </c>
      <c r="S458" s="25"/>
      <c r="T458" s="25"/>
      <c r="U458" s="27"/>
      <c r="X458" s="47">
        <v>43468</v>
      </c>
      <c r="Y458" s="48">
        <f t="shared" si="30"/>
        <v>3.9745229786500964</v>
      </c>
      <c r="Z458" s="49"/>
      <c r="AA458" s="49"/>
      <c r="AB458" s="51"/>
      <c r="AE458" s="47">
        <v>43468</v>
      </c>
      <c r="AF458" s="48">
        <f t="shared" si="31"/>
        <v>3.9617954583139827</v>
      </c>
      <c r="AG458" s="49"/>
      <c r="AH458" s="49"/>
      <c r="AI458" s="51"/>
    </row>
    <row r="459" spans="1:35" x14ac:dyDescent="0.3">
      <c r="A459" s="20">
        <v>43465</v>
      </c>
      <c r="C459">
        <f>-(Historical_Simulation!B460-Historical_Simulation!B461)</f>
        <v>-0.37750000000000483</v>
      </c>
      <c r="E459">
        <f>-(Historical_Simulation!C460-Historical_Simulation!C461)</f>
        <v>-23.950000000000045</v>
      </c>
      <c r="G459">
        <f>-(Historical_Simulation!D460-Historical_Simulation!D461)</f>
        <v>2.1099999999999852</v>
      </c>
      <c r="J459" s="23">
        <v>43467</v>
      </c>
      <c r="K459" s="24">
        <f t="shared" si="28"/>
        <v>-20.065342086060578</v>
      </c>
      <c r="L459" s="25"/>
      <c r="M459" s="25"/>
      <c r="N459" s="27"/>
      <c r="Q459" s="23">
        <v>43467</v>
      </c>
      <c r="R459" s="24">
        <f t="shared" si="29"/>
        <v>-13.768251790320463</v>
      </c>
      <c r="S459" s="25"/>
      <c r="T459" s="25"/>
      <c r="U459" s="27"/>
      <c r="X459" s="47">
        <v>43467</v>
      </c>
      <c r="Y459" s="48">
        <f t="shared" si="30"/>
        <v>-25.510925061958694</v>
      </c>
      <c r="Z459" s="49"/>
      <c r="AA459" s="49"/>
      <c r="AB459" s="51"/>
      <c r="AE459" s="47">
        <v>43467</v>
      </c>
      <c r="AF459" s="48">
        <f t="shared" si="31"/>
        <v>-17.79804773827491</v>
      </c>
      <c r="AG459" s="49"/>
      <c r="AH459" s="49"/>
      <c r="AI459" s="51"/>
    </row>
    <row r="460" spans="1:35" x14ac:dyDescent="0.3">
      <c r="A460" s="20">
        <v>43462</v>
      </c>
      <c r="C460">
        <f>-(Historical_Simulation!B461-Historical_Simulation!B462)</f>
        <v>-1.9999999999996021E-2</v>
      </c>
      <c r="E460">
        <f>-(Historical_Simulation!C461-Historical_Simulation!C462)</f>
        <v>-16.379999999999882</v>
      </c>
      <c r="G460">
        <f>-(Historical_Simulation!D461-Historical_Simulation!D462)</f>
        <v>1.3200000000000216</v>
      </c>
      <c r="J460" s="23">
        <v>43466</v>
      </c>
      <c r="K460" s="24">
        <f t="shared" si="28"/>
        <v>0</v>
      </c>
      <c r="L460" s="25"/>
      <c r="M460" s="25"/>
      <c r="N460" s="27"/>
      <c r="Q460" s="23">
        <v>43466</v>
      </c>
      <c r="R460" s="24">
        <f t="shared" si="29"/>
        <v>0</v>
      </c>
      <c r="S460" s="25"/>
      <c r="T460" s="25"/>
      <c r="U460" s="27"/>
      <c r="X460" s="47">
        <v>43466</v>
      </c>
      <c r="Y460" s="48">
        <f t="shared" si="30"/>
        <v>0</v>
      </c>
      <c r="Z460" s="49"/>
      <c r="AA460" s="49"/>
      <c r="AB460" s="51"/>
      <c r="AE460" s="47">
        <v>43466</v>
      </c>
      <c r="AF460" s="48">
        <f t="shared" si="31"/>
        <v>0</v>
      </c>
      <c r="AG460" s="49"/>
      <c r="AH460" s="49"/>
      <c r="AI460" s="51"/>
    </row>
    <row r="461" spans="1:35" x14ac:dyDescent="0.3">
      <c r="A461" s="20">
        <v>43461</v>
      </c>
      <c r="C461">
        <f>-(Historical_Simulation!B462-Historical_Simulation!B463)</f>
        <v>0.25499999999999545</v>
      </c>
      <c r="E461">
        <f>-(Historical_Simulation!C462-Historical_Simulation!C463)</f>
        <v>9.2599999999999909</v>
      </c>
      <c r="G461">
        <f>-(Historical_Simulation!D462-Historical_Simulation!D463)</f>
        <v>-0.34000000000000341</v>
      </c>
      <c r="J461" s="23">
        <v>43465</v>
      </c>
      <c r="K461" s="24">
        <f t="shared" si="28"/>
        <v>-13.092831101270725</v>
      </c>
      <c r="L461" s="25"/>
      <c r="M461" s="25"/>
      <c r="N461" s="27"/>
      <c r="Q461" s="23">
        <v>43465</v>
      </c>
      <c r="R461" s="24">
        <f t="shared" si="29"/>
        <v>-9.0934195157572191</v>
      </c>
      <c r="S461" s="25"/>
      <c r="T461" s="25"/>
      <c r="U461" s="27"/>
      <c r="X461" s="47">
        <v>43465</v>
      </c>
      <c r="Y461" s="48">
        <f t="shared" si="30"/>
        <v>13.560121252282039</v>
      </c>
      <c r="Z461" s="49"/>
      <c r="AA461" s="49"/>
      <c r="AB461" s="51"/>
      <c r="AE461" s="47">
        <v>43465</v>
      </c>
      <c r="AF461" s="48">
        <f t="shared" si="31"/>
        <v>9.3388270074716324</v>
      </c>
      <c r="AG461" s="49"/>
      <c r="AH461" s="49"/>
      <c r="AI461" s="51"/>
    </row>
    <row r="462" spans="1:35" x14ac:dyDescent="0.3">
      <c r="A462" s="20">
        <v>43460</v>
      </c>
      <c r="C462">
        <f>-(Historical_Simulation!B463-Historical_Simulation!B464)</f>
        <v>-2.5849999999999937</v>
      </c>
      <c r="E462">
        <f>-(Historical_Simulation!C463-Historical_Simulation!C464)</f>
        <v>-126.94000000000005</v>
      </c>
      <c r="G462">
        <f>-(Historical_Simulation!D463-Historical_Simulation!D464)</f>
        <v>-10.120000000000005</v>
      </c>
      <c r="J462" s="23">
        <v>43462</v>
      </c>
      <c r="K462" s="24">
        <f t="shared" si="28"/>
        <v>-8.8448092827144809</v>
      </c>
      <c r="L462" s="25"/>
      <c r="M462" s="25"/>
      <c r="N462" s="27"/>
      <c r="Q462" s="23">
        <v>43462</v>
      </c>
      <c r="R462" s="24">
        <f t="shared" si="29"/>
        <v>-6.0691014223263</v>
      </c>
      <c r="S462" s="25"/>
      <c r="T462" s="25"/>
      <c r="U462" s="27"/>
      <c r="X462" s="47">
        <v>43462</v>
      </c>
      <c r="Y462" s="48">
        <f t="shared" si="30"/>
        <v>7.4881055188173944</v>
      </c>
      <c r="Z462" s="49"/>
      <c r="AA462" s="49"/>
      <c r="AB462" s="51"/>
      <c r="AE462" s="47">
        <v>43462</v>
      </c>
      <c r="AF462" s="48">
        <f t="shared" si="31"/>
        <v>5.2141218854320517</v>
      </c>
      <c r="AG462" s="49"/>
      <c r="AH462" s="49"/>
      <c r="AI462" s="51"/>
    </row>
    <row r="463" spans="1:35" x14ac:dyDescent="0.3">
      <c r="A463" s="20">
        <v>43459</v>
      </c>
      <c r="C463">
        <f>-(Historical_Simulation!B464-Historical_Simulation!B465)</f>
        <v>0</v>
      </c>
      <c r="E463">
        <f>-(Historical_Simulation!C464-Historical_Simulation!C465)</f>
        <v>0</v>
      </c>
      <c r="G463">
        <f>-(Historical_Simulation!D464-Historical_Simulation!D465)</f>
        <v>0</v>
      </c>
      <c r="J463" s="23">
        <v>43461</v>
      </c>
      <c r="K463" s="24">
        <f t="shared" si="28"/>
        <v>5.1124210018853526</v>
      </c>
      <c r="L463" s="25"/>
      <c r="M463" s="25"/>
      <c r="N463" s="27"/>
      <c r="Q463" s="23">
        <v>43461</v>
      </c>
      <c r="R463" s="24">
        <f t="shared" si="29"/>
        <v>3.5845940286093301</v>
      </c>
      <c r="S463" s="25"/>
      <c r="T463" s="25"/>
      <c r="U463" s="27"/>
      <c r="X463" s="47">
        <v>43461</v>
      </c>
      <c r="Y463" s="48">
        <f t="shared" si="30"/>
        <v>-3.0788229729076759</v>
      </c>
      <c r="Z463" s="49"/>
      <c r="AA463" s="49"/>
      <c r="AB463" s="51"/>
      <c r="AE463" s="47">
        <v>43461</v>
      </c>
      <c r="AF463" s="48">
        <f t="shared" si="31"/>
        <v>-2.0691063595761396</v>
      </c>
      <c r="AG463" s="49"/>
      <c r="AH463" s="49"/>
      <c r="AI463" s="51"/>
    </row>
    <row r="464" spans="1:35" x14ac:dyDescent="0.3">
      <c r="A464" s="20">
        <v>43458</v>
      </c>
      <c r="C464">
        <f>-(Historical_Simulation!B465-Historical_Simulation!B466)</f>
        <v>0.97499999999999432</v>
      </c>
      <c r="E464">
        <f>-(Historical_Simulation!C465-Historical_Simulation!C466)</f>
        <v>33.490000000000009</v>
      </c>
      <c r="G464">
        <f>-(Historical_Simulation!D465-Historical_Simulation!D466)</f>
        <v>0.89000000000000057</v>
      </c>
      <c r="J464" s="23">
        <v>43460</v>
      </c>
      <c r="K464" s="24">
        <f t="shared" si="28"/>
        <v>-69.663799410266989</v>
      </c>
      <c r="L464" s="25"/>
      <c r="M464" s="25"/>
      <c r="N464" s="27"/>
      <c r="Q464" s="23">
        <v>43460</v>
      </c>
      <c r="R464" s="24">
        <f t="shared" si="29"/>
        <v>-48.565196049718395</v>
      </c>
      <c r="S464" s="25"/>
      <c r="T464" s="25"/>
      <c r="U464" s="27"/>
      <c r="X464" s="47">
        <v>43460</v>
      </c>
      <c r="Y464" s="48">
        <f t="shared" si="30"/>
        <v>-44.804085883797285</v>
      </c>
      <c r="Z464" s="49"/>
      <c r="AA464" s="49"/>
      <c r="AB464" s="51"/>
      <c r="AE464" s="47">
        <v>43460</v>
      </c>
      <c r="AF464" s="48">
        <f t="shared" si="31"/>
        <v>-32.017170452783589</v>
      </c>
      <c r="AG464" s="49"/>
      <c r="AH464" s="49"/>
      <c r="AI464" s="51"/>
    </row>
    <row r="465" spans="1:35" x14ac:dyDescent="0.3">
      <c r="A465" s="20">
        <v>43455</v>
      </c>
      <c r="C465">
        <f>-(Historical_Simulation!B466-Historical_Simulation!B467)</f>
        <v>1.5250000000000057</v>
      </c>
      <c r="E465">
        <f>-(Historical_Simulation!C466-Historical_Simulation!C467)</f>
        <v>83.379999999999882</v>
      </c>
      <c r="G465">
        <f>-(Historical_Simulation!D466-Historical_Simulation!D467)</f>
        <v>8.4500000000000028</v>
      </c>
      <c r="J465" s="23">
        <v>43459</v>
      </c>
      <c r="K465" s="24">
        <f t="shared" si="28"/>
        <v>0</v>
      </c>
      <c r="L465" s="25"/>
      <c r="M465" s="25"/>
      <c r="N465" s="27"/>
      <c r="Q465" s="23">
        <v>43459</v>
      </c>
      <c r="R465" s="24">
        <f t="shared" si="29"/>
        <v>0</v>
      </c>
      <c r="S465" s="25"/>
      <c r="T465" s="25"/>
      <c r="U465" s="27"/>
      <c r="X465" s="47">
        <v>43459</v>
      </c>
      <c r="Y465" s="48">
        <f t="shared" si="30"/>
        <v>0</v>
      </c>
      <c r="Z465" s="49"/>
      <c r="AA465" s="49"/>
      <c r="AB465" s="51"/>
      <c r="AE465" s="47">
        <v>43459</v>
      </c>
      <c r="AF465" s="48">
        <f t="shared" si="31"/>
        <v>0</v>
      </c>
      <c r="AG465" s="49"/>
      <c r="AH465" s="49"/>
      <c r="AI465" s="51"/>
    </row>
    <row r="466" spans="1:35" x14ac:dyDescent="0.3">
      <c r="A466" s="20">
        <v>43454</v>
      </c>
      <c r="C466">
        <f>-(Historical_Simulation!B467-Historical_Simulation!B468)</f>
        <v>1.0149999999999935</v>
      </c>
      <c r="E466">
        <f>-(Historical_Simulation!C467-Historical_Simulation!C468)</f>
        <v>34.25</v>
      </c>
      <c r="G466">
        <f>-(Historical_Simulation!D467-Historical_Simulation!D468)</f>
        <v>-0.15999999999999659</v>
      </c>
      <c r="J466" s="23">
        <v>43458</v>
      </c>
      <c r="K466" s="24">
        <f t="shared" si="28"/>
        <v>18.514038742509992</v>
      </c>
      <c r="L466" s="25"/>
      <c r="M466" s="25"/>
      <c r="N466" s="27"/>
      <c r="Q466" s="23">
        <v>43458</v>
      </c>
      <c r="R466" s="24">
        <f t="shared" si="29"/>
        <v>12.997404202135765</v>
      </c>
      <c r="S466" s="25"/>
      <c r="T466" s="25"/>
      <c r="U466" s="27"/>
      <c r="X466" s="47">
        <v>43458</v>
      </c>
      <c r="Y466" s="48">
        <f t="shared" si="30"/>
        <v>0.49873957529893254</v>
      </c>
      <c r="Z466" s="49"/>
      <c r="AA466" s="49"/>
      <c r="AB466" s="51"/>
      <c r="AE466" s="47">
        <v>43458</v>
      </c>
      <c r="AF466" s="48">
        <f t="shared" si="31"/>
        <v>0.64298480577485595</v>
      </c>
      <c r="AG466" s="49"/>
      <c r="AH466" s="49"/>
      <c r="AI466" s="51"/>
    </row>
    <row r="467" spans="1:35" x14ac:dyDescent="0.3">
      <c r="A467" s="20">
        <v>43453</v>
      </c>
      <c r="C467">
        <f>-(Historical_Simulation!B468-Historical_Simulation!B469)</f>
        <v>1.2950000000000017</v>
      </c>
      <c r="E467">
        <f>-(Historical_Simulation!C468-Historical_Simulation!C469)</f>
        <v>56.400000000000091</v>
      </c>
      <c r="G467">
        <f>-(Historical_Simulation!D468-Historical_Simulation!D469)</f>
        <v>10.419999999999987</v>
      </c>
      <c r="J467" s="23">
        <v>43455</v>
      </c>
      <c r="K467" s="24">
        <f t="shared" si="28"/>
        <v>45.678714170941205</v>
      </c>
      <c r="L467" s="25"/>
      <c r="M467" s="25"/>
      <c r="N467" s="27"/>
      <c r="Q467" s="23">
        <v>43455</v>
      </c>
      <c r="R467" s="24">
        <f t="shared" si="29"/>
        <v>31.790843332794765</v>
      </c>
      <c r="S467" s="25"/>
      <c r="T467" s="25"/>
      <c r="U467" s="27"/>
      <c r="X467" s="47">
        <v>43455</v>
      </c>
      <c r="Y467" s="48">
        <f t="shared" si="30"/>
        <v>40.326216953589352</v>
      </c>
      <c r="Z467" s="49"/>
      <c r="AA467" s="49"/>
      <c r="AB467" s="51"/>
      <c r="AE467" s="47">
        <v>43455</v>
      </c>
      <c r="AF467" s="48">
        <f t="shared" si="31"/>
        <v>28.574473176579438</v>
      </c>
      <c r="AG467" s="49"/>
      <c r="AH467" s="49"/>
      <c r="AI467" s="51"/>
    </row>
    <row r="468" spans="1:35" x14ac:dyDescent="0.3">
      <c r="A468" s="20">
        <v>43452</v>
      </c>
      <c r="C468">
        <f>-(Historical_Simulation!B469-Historical_Simulation!B470)</f>
        <v>-0.53249999999999886</v>
      </c>
      <c r="E468">
        <f>-(Historical_Simulation!C469-Historical_Simulation!C470)</f>
        <v>-30.569999999999936</v>
      </c>
      <c r="G468">
        <f>-(Historical_Simulation!D469-Historical_Simulation!D470)</f>
        <v>-3.4699999999999989</v>
      </c>
      <c r="J468" s="23">
        <v>43454</v>
      </c>
      <c r="K468" s="24">
        <f t="shared" si="28"/>
        <v>18.94241665715268</v>
      </c>
      <c r="L468" s="25"/>
      <c r="M468" s="25"/>
      <c r="N468" s="27"/>
      <c r="Q468" s="23">
        <v>43454</v>
      </c>
      <c r="R468" s="24">
        <f t="shared" si="29"/>
        <v>13.303623824634231</v>
      </c>
      <c r="S468" s="25"/>
      <c r="T468" s="25"/>
      <c r="U468" s="27"/>
      <c r="X468" s="47">
        <v>43454</v>
      </c>
      <c r="Y468" s="48">
        <f t="shared" si="30"/>
        <v>-5.5685999885151141</v>
      </c>
      <c r="Z468" s="49"/>
      <c r="AA468" s="49"/>
      <c r="AB468" s="51"/>
      <c r="AE468" s="47">
        <v>43454</v>
      </c>
      <c r="AF468" s="48">
        <f t="shared" si="31"/>
        <v>-3.5746218025242773</v>
      </c>
      <c r="AG468" s="49"/>
      <c r="AH468" s="49"/>
      <c r="AI468" s="51"/>
    </row>
    <row r="469" spans="1:35" x14ac:dyDescent="0.3">
      <c r="A469" s="20">
        <v>43451</v>
      </c>
      <c r="C469">
        <f>-(Historical_Simulation!B470-Historical_Simulation!B471)</f>
        <v>0.38499999999999801</v>
      </c>
      <c r="E469">
        <f>-(Historical_Simulation!C470-Historical_Simulation!C471)</f>
        <v>71</v>
      </c>
      <c r="G469">
        <f>-(Historical_Simulation!D470-Historical_Simulation!D471)</f>
        <v>3.8700000000000045</v>
      </c>
      <c r="J469" s="23">
        <v>43453</v>
      </c>
      <c r="K469" s="24">
        <f t="shared" si="28"/>
        <v>31.019395814424563</v>
      </c>
      <c r="L469" s="25"/>
      <c r="M469" s="25"/>
      <c r="N469" s="27"/>
      <c r="Q469" s="23">
        <v>43453</v>
      </c>
      <c r="R469" s="24">
        <f t="shared" si="29"/>
        <v>21.670044858025296</v>
      </c>
      <c r="S469" s="25"/>
      <c r="T469" s="25"/>
      <c r="U469" s="27"/>
      <c r="X469" s="47">
        <v>43453</v>
      </c>
      <c r="Y469" s="48">
        <f t="shared" si="30"/>
        <v>52.422957357617669</v>
      </c>
      <c r="Z469" s="49"/>
      <c r="AA469" s="49"/>
      <c r="AB469" s="51"/>
      <c r="AE469" s="47">
        <v>43453</v>
      </c>
      <c r="AF469" s="48">
        <f t="shared" si="31"/>
        <v>36.937807615348305</v>
      </c>
      <c r="AG469" s="49"/>
      <c r="AH469" s="49"/>
      <c r="AI469" s="51"/>
    </row>
    <row r="470" spans="1:35" x14ac:dyDescent="0.3">
      <c r="A470" s="20">
        <v>43448</v>
      </c>
      <c r="C470">
        <f>-(Historical_Simulation!B471-Historical_Simulation!B472)</f>
        <v>1.3674999999999997</v>
      </c>
      <c r="E470">
        <f>-(Historical_Simulation!C471-Historical_Simulation!C472)</f>
        <v>66.470000000000027</v>
      </c>
      <c r="G470">
        <f>-(Historical_Simulation!D471-Historical_Simulation!D472)</f>
        <v>0.94999999999998863</v>
      </c>
      <c r="J470" s="23">
        <v>43452</v>
      </c>
      <c r="K470" s="24">
        <f t="shared" si="28"/>
        <v>-16.735141126499855</v>
      </c>
      <c r="L470" s="25"/>
      <c r="M470" s="25"/>
      <c r="N470" s="27"/>
      <c r="Q470" s="23">
        <v>43452</v>
      </c>
      <c r="R470" s="24">
        <f t="shared" si="29"/>
        <v>-11.63884987610802</v>
      </c>
      <c r="S470" s="25"/>
      <c r="T470" s="25"/>
      <c r="U470" s="27"/>
      <c r="X470" s="47">
        <v>43452</v>
      </c>
      <c r="Y470" s="48">
        <f t="shared" si="30"/>
        <v>-16.991499971287904</v>
      </c>
      <c r="Z470" s="49"/>
      <c r="AA470" s="49"/>
      <c r="AB470" s="51"/>
      <c r="AE470" s="47">
        <v>43452</v>
      </c>
      <c r="AF470" s="48">
        <f t="shared" si="31"/>
        <v>-12.006554506310774</v>
      </c>
      <c r="AG470" s="49"/>
      <c r="AH470" s="49"/>
      <c r="AI470" s="51"/>
    </row>
    <row r="471" spans="1:35" x14ac:dyDescent="0.3">
      <c r="A471" s="20">
        <v>43447</v>
      </c>
      <c r="C471">
        <f>-(Historical_Simulation!B472-Historical_Simulation!B473)</f>
        <v>-0.46249999999999858</v>
      </c>
      <c r="E471">
        <f>-(Historical_Simulation!C472-Historical_Simulation!C473)</f>
        <v>5.1599999999998545</v>
      </c>
      <c r="G471">
        <f>-(Historical_Simulation!D472-Historical_Simulation!D473)</f>
        <v>-0.50999999999999091</v>
      </c>
      <c r="J471" s="23">
        <v>43451</v>
      </c>
      <c r="K471" s="24">
        <f t="shared" si="28"/>
        <v>38.47570339235255</v>
      </c>
      <c r="L471" s="25"/>
      <c r="M471" s="25"/>
      <c r="N471" s="27"/>
      <c r="Q471" s="23">
        <v>43451</v>
      </c>
      <c r="R471" s="24">
        <f t="shared" si="29"/>
        <v>26.494859226013133</v>
      </c>
      <c r="S471" s="25"/>
      <c r="T471" s="25"/>
      <c r="U471" s="27"/>
      <c r="X471" s="47">
        <v>43451</v>
      </c>
      <c r="Y471" s="48">
        <f t="shared" si="30"/>
        <v>19.911677412745004</v>
      </c>
      <c r="Z471" s="49"/>
      <c r="AA471" s="49"/>
      <c r="AB471" s="51"/>
      <c r="AE471" s="47">
        <v>43451</v>
      </c>
      <c r="AF471" s="48">
        <f t="shared" si="31"/>
        <v>13.997622963231699</v>
      </c>
      <c r="AG471" s="49"/>
      <c r="AH471" s="49"/>
      <c r="AI471" s="51"/>
    </row>
    <row r="472" spans="1:35" x14ac:dyDescent="0.3">
      <c r="A472" s="20">
        <v>43446</v>
      </c>
      <c r="C472">
        <f>-(Historical_Simulation!B473-Historical_Simulation!B474)</f>
        <v>-0.11749999999999972</v>
      </c>
      <c r="E472">
        <f>-(Historical_Simulation!C473-Historical_Simulation!C474)</f>
        <v>-20.299999999999955</v>
      </c>
      <c r="G472">
        <f>-(Historical_Simulation!D473-Historical_Simulation!D474)</f>
        <v>-2.4199999999999875</v>
      </c>
      <c r="J472" s="23">
        <v>43448</v>
      </c>
      <c r="K472" s="24">
        <f t="shared" si="28"/>
        <v>36.484684983369441</v>
      </c>
      <c r="L472" s="25"/>
      <c r="M472" s="25"/>
      <c r="N472" s="27"/>
      <c r="Q472" s="23">
        <v>43448</v>
      </c>
      <c r="R472" s="24">
        <f t="shared" si="29"/>
        <v>25.439115241259234</v>
      </c>
      <c r="S472" s="25"/>
      <c r="T472" s="25"/>
      <c r="U472" s="27"/>
      <c r="X472" s="47">
        <v>43448</v>
      </c>
      <c r="Y472" s="48">
        <f t="shared" si="30"/>
        <v>-0.97177914485545003</v>
      </c>
      <c r="Z472" s="49"/>
      <c r="AA472" s="49"/>
      <c r="AB472" s="51"/>
      <c r="AE472" s="47">
        <v>43448</v>
      </c>
      <c r="AF472" s="48">
        <f t="shared" si="31"/>
        <v>-0.26328051281187292</v>
      </c>
      <c r="AG472" s="49"/>
      <c r="AH472" s="49"/>
      <c r="AI472" s="51"/>
    </row>
    <row r="473" spans="1:35" x14ac:dyDescent="0.3">
      <c r="A473" s="20">
        <v>43445</v>
      </c>
      <c r="C473">
        <f>-(Historical_Simulation!B474-Historical_Simulation!B475)</f>
        <v>0.24249999999999972</v>
      </c>
      <c r="E473">
        <f>-(Historical_Simulation!C474-Historical_Simulation!C475)</f>
        <v>-2.2100000000000364</v>
      </c>
      <c r="G473">
        <f>-(Historical_Simulation!D474-Historical_Simulation!D475)</f>
        <v>-0.23000000000001819</v>
      </c>
      <c r="J473" s="23">
        <v>43447</v>
      </c>
      <c r="K473" s="24">
        <f t="shared" si="28"/>
        <v>2.5703539237201261</v>
      </c>
      <c r="L473" s="25"/>
      <c r="M473" s="25"/>
      <c r="N473" s="27"/>
      <c r="Q473" s="23">
        <v>43447</v>
      </c>
      <c r="R473" s="24">
        <f t="shared" si="29"/>
        <v>1.616416427080013</v>
      </c>
      <c r="S473" s="25"/>
      <c r="T473" s="25"/>
      <c r="U473" s="27"/>
      <c r="X473" s="47">
        <v>43447</v>
      </c>
      <c r="Y473" s="48">
        <f t="shared" si="30"/>
        <v>-0.72864553145056821</v>
      </c>
      <c r="Z473" s="49"/>
      <c r="AA473" s="49"/>
      <c r="AB473" s="51"/>
      <c r="AE473" s="47">
        <v>43447</v>
      </c>
      <c r="AF473" s="48">
        <f t="shared" si="31"/>
        <v>-0.64803790265520678</v>
      </c>
      <c r="AG473" s="49"/>
      <c r="AH473" s="49"/>
      <c r="AI473" s="51"/>
    </row>
    <row r="474" spans="1:35" x14ac:dyDescent="0.3">
      <c r="A474" s="20">
        <v>43444</v>
      </c>
      <c r="C474">
        <f>-(Historical_Simulation!B475-Historical_Simulation!B476)</f>
        <v>-0.27749999999999631</v>
      </c>
      <c r="E474">
        <f>-(Historical_Simulation!C475-Historical_Simulation!C476)</f>
        <v>-11.899999999999864</v>
      </c>
      <c r="G474">
        <f>-(Historical_Simulation!D475-Historical_Simulation!D476)</f>
        <v>-4.4300000000000068</v>
      </c>
      <c r="J474" s="23">
        <v>43446</v>
      </c>
      <c r="K474" s="24">
        <f t="shared" si="28"/>
        <v>-11.004218419827991</v>
      </c>
      <c r="L474" s="25"/>
      <c r="M474" s="25"/>
      <c r="N474" s="27"/>
      <c r="Q474" s="23">
        <v>43446</v>
      </c>
      <c r="R474" s="24">
        <f t="shared" si="29"/>
        <v>-7.5799687931602202</v>
      </c>
      <c r="S474" s="25"/>
      <c r="T474" s="25"/>
      <c r="U474" s="27"/>
      <c r="X474" s="47">
        <v>43446</v>
      </c>
      <c r="Y474" s="48">
        <f t="shared" si="30"/>
        <v>-13.018554445579644</v>
      </c>
      <c r="Z474" s="49"/>
      <c r="AA474" s="49"/>
      <c r="AB474" s="51"/>
      <c r="AE474" s="47">
        <v>43446</v>
      </c>
      <c r="AF474" s="48">
        <f t="shared" si="31"/>
        <v>-9.1112057023933328</v>
      </c>
      <c r="AG474" s="49"/>
      <c r="AH474" s="49"/>
      <c r="AI474" s="51"/>
    </row>
    <row r="475" spans="1:35" x14ac:dyDescent="0.3">
      <c r="A475" s="20">
        <v>43441</v>
      </c>
      <c r="C475">
        <f>-(Historical_Simulation!B476-Historical_Simulation!B477)</f>
        <v>1.5574999999999974</v>
      </c>
      <c r="E475">
        <f>-(Historical_Simulation!C476-Historical_Simulation!C477)</f>
        <v>70.059999999999945</v>
      </c>
      <c r="G475">
        <f>-(Historical_Simulation!D476-Historical_Simulation!D477)</f>
        <v>2.210000000000008</v>
      </c>
      <c r="J475" s="23">
        <v>43445</v>
      </c>
      <c r="K475" s="24">
        <f t="shared" si="28"/>
        <v>-1.080412271751696</v>
      </c>
      <c r="L475" s="25"/>
      <c r="M475" s="25"/>
      <c r="N475" s="27"/>
      <c r="Q475" s="23">
        <v>43445</v>
      </c>
      <c r="R475" s="24">
        <f t="shared" si="29"/>
        <v>-0.66431058913542707</v>
      </c>
      <c r="S475" s="25"/>
      <c r="T475" s="25"/>
      <c r="U475" s="27"/>
      <c r="X475" s="47">
        <v>43445</v>
      </c>
      <c r="Y475" s="48">
        <f t="shared" si="30"/>
        <v>-2.4049476549561981</v>
      </c>
      <c r="Z475" s="49"/>
      <c r="AA475" s="49"/>
      <c r="AB475" s="51"/>
      <c r="AE475" s="47">
        <v>43445</v>
      </c>
      <c r="AF475" s="48">
        <f t="shared" si="31"/>
        <v>-1.6031138737811224</v>
      </c>
      <c r="AG475" s="49"/>
      <c r="AH475" s="49"/>
      <c r="AI475" s="51"/>
    </row>
    <row r="476" spans="1:35" x14ac:dyDescent="0.3">
      <c r="A476" s="20">
        <v>43440</v>
      </c>
      <c r="C476">
        <f>-(Historical_Simulation!B477-Historical_Simulation!B478)</f>
        <v>0.49249999999999972</v>
      </c>
      <c r="E476">
        <f>-(Historical_Simulation!C477-Historical_Simulation!C478)</f>
        <v>-30.789999999999964</v>
      </c>
      <c r="G476">
        <f>-(Historical_Simulation!D477-Historical_Simulation!D478)</f>
        <v>-1.6999999999999886</v>
      </c>
      <c r="J476" s="23">
        <v>43444</v>
      </c>
      <c r="K476" s="24">
        <f t="shared" si="28"/>
        <v>-6.5468365457425781</v>
      </c>
      <c r="L476" s="25"/>
      <c r="M476" s="25"/>
      <c r="N476" s="27"/>
      <c r="Q476" s="23">
        <v>43444</v>
      </c>
      <c r="R476" s="24">
        <f t="shared" si="29"/>
        <v>-4.5749132812339299</v>
      </c>
      <c r="S476" s="25"/>
      <c r="T476" s="25"/>
      <c r="U476" s="27"/>
      <c r="X476" s="47">
        <v>43444</v>
      </c>
      <c r="Y476" s="48">
        <f t="shared" si="30"/>
        <v>-23.544222512603643</v>
      </c>
      <c r="Z476" s="49"/>
      <c r="AA476" s="49"/>
      <c r="AB476" s="51"/>
      <c r="AE476" s="47">
        <v>43444</v>
      </c>
      <c r="AF476" s="48">
        <f t="shared" si="31"/>
        <v>-16.497418753176373</v>
      </c>
      <c r="AG476" s="49"/>
      <c r="AH476" s="49"/>
      <c r="AI476" s="51"/>
    </row>
    <row r="477" spans="1:35" x14ac:dyDescent="0.3">
      <c r="A477" s="20">
        <v>43439</v>
      </c>
      <c r="C477">
        <f>-(Historical_Simulation!B478-Historical_Simulation!B479)</f>
        <v>0</v>
      </c>
      <c r="E477">
        <f>-(Historical_Simulation!C478-Historical_Simulation!C479)</f>
        <v>0</v>
      </c>
      <c r="G477">
        <f>-(Historical_Simulation!D478-Historical_Simulation!D479)</f>
        <v>0</v>
      </c>
      <c r="J477" s="23">
        <v>43441</v>
      </c>
      <c r="K477" s="24">
        <f t="shared" si="28"/>
        <v>38.508691802515443</v>
      </c>
      <c r="L477" s="25"/>
      <c r="M477" s="25"/>
      <c r="N477" s="27"/>
      <c r="Q477" s="23">
        <v>43441</v>
      </c>
      <c r="R477" s="24">
        <f t="shared" si="29"/>
        <v>26.88626345861309</v>
      </c>
      <c r="S477" s="25"/>
      <c r="T477" s="25"/>
      <c r="U477" s="27"/>
      <c r="X477" s="47">
        <v>43441</v>
      </c>
      <c r="Y477" s="48">
        <f t="shared" si="30"/>
        <v>5.2134991425584767</v>
      </c>
      <c r="Z477" s="49"/>
      <c r="AA477" s="49"/>
      <c r="AB477" s="51"/>
      <c r="AE477" s="47">
        <v>43441</v>
      </c>
      <c r="AF477" s="48">
        <f t="shared" si="31"/>
        <v>4.1062048733167291</v>
      </c>
      <c r="AG477" s="49"/>
      <c r="AH477" s="49"/>
      <c r="AI477" s="51"/>
    </row>
    <row r="478" spans="1:35" x14ac:dyDescent="0.3">
      <c r="A478" s="20">
        <v>43438</v>
      </c>
      <c r="C478">
        <f>-(Historical_Simulation!B479-Historical_Simulation!B480)</f>
        <v>2.0324999999999989</v>
      </c>
      <c r="E478">
        <f>-(Historical_Simulation!C479-Historical_Simulation!C480)</f>
        <v>103.95999999999981</v>
      </c>
      <c r="G478">
        <f>-(Historical_Simulation!D479-Historical_Simulation!D480)</f>
        <v>3.1599999999999966</v>
      </c>
      <c r="J478" s="23">
        <v>43440</v>
      </c>
      <c r="K478" s="24">
        <f t="shared" si="28"/>
        <v>-16.381711270569529</v>
      </c>
      <c r="L478" s="25"/>
      <c r="M478" s="25"/>
      <c r="N478" s="27"/>
      <c r="Q478" s="23">
        <v>43440</v>
      </c>
      <c r="R478" s="24">
        <f t="shared" si="29"/>
        <v>-11.074187973344969</v>
      </c>
      <c r="S478" s="25"/>
      <c r="T478" s="25"/>
      <c r="U478" s="27"/>
      <c r="X478" s="47">
        <v>43440</v>
      </c>
      <c r="Y478" s="48">
        <f t="shared" si="30"/>
        <v>-11.792217425378228</v>
      </c>
      <c r="Z478" s="49"/>
      <c r="AA478" s="49"/>
      <c r="AB478" s="51"/>
      <c r="AE478" s="47">
        <v>43440</v>
      </c>
      <c r="AF478" s="48">
        <f t="shared" si="31"/>
        <v>-8.0715389804548892</v>
      </c>
      <c r="AG478" s="49"/>
      <c r="AH478" s="49"/>
      <c r="AI478" s="51"/>
    </row>
    <row r="479" spans="1:35" x14ac:dyDescent="0.3">
      <c r="A479" s="20">
        <v>43437</v>
      </c>
      <c r="C479">
        <f>-(Historical_Simulation!B480-Historical_Simulation!B481)</f>
        <v>-1.5599999999999952</v>
      </c>
      <c r="E479">
        <f>-(Historical_Simulation!C480-Historical_Simulation!C481)</f>
        <v>-82.189999999999827</v>
      </c>
      <c r="G479">
        <f>-(Historical_Simulation!D480-Historical_Simulation!D481)</f>
        <v>-0.47999999999998977</v>
      </c>
      <c r="J479" s="23">
        <v>43439</v>
      </c>
      <c r="K479" s="24">
        <f t="shared" si="28"/>
        <v>0</v>
      </c>
      <c r="L479" s="25"/>
      <c r="M479" s="25"/>
      <c r="N479" s="27"/>
      <c r="Q479" s="23">
        <v>43439</v>
      </c>
      <c r="R479" s="24">
        <f t="shared" si="29"/>
        <v>0</v>
      </c>
      <c r="S479" s="25"/>
      <c r="T479" s="25"/>
      <c r="U479" s="27"/>
      <c r="X479" s="47">
        <v>43439</v>
      </c>
      <c r="Y479" s="48">
        <f t="shared" si="30"/>
        <v>0</v>
      </c>
      <c r="Z479" s="49"/>
      <c r="AA479" s="49"/>
      <c r="AB479" s="51"/>
      <c r="AE479" s="47">
        <v>43439</v>
      </c>
      <c r="AF479" s="48">
        <f t="shared" si="31"/>
        <v>0</v>
      </c>
      <c r="AG479" s="49"/>
      <c r="AH479" s="49"/>
      <c r="AI479" s="51"/>
    </row>
    <row r="480" spans="1:35" x14ac:dyDescent="0.3">
      <c r="A480" s="20">
        <v>43434</v>
      </c>
      <c r="C480">
        <f>-(Historical_Simulation!B481-Historical_Simulation!B482)</f>
        <v>0.24249999999999972</v>
      </c>
      <c r="E480">
        <f>-(Historical_Simulation!C481-Historical_Simulation!C482)</f>
        <v>-16.600000000000136</v>
      </c>
      <c r="G480">
        <f>-(Historical_Simulation!D481-Historical_Simulation!D482)</f>
        <v>-1.9300000000000068</v>
      </c>
      <c r="J480" s="23">
        <v>43438</v>
      </c>
      <c r="K480" s="24">
        <f t="shared" si="28"/>
        <v>57.013597076032099</v>
      </c>
      <c r="L480" s="25"/>
      <c r="M480" s="25"/>
      <c r="N480" s="27"/>
      <c r="Q480" s="23">
        <v>43438</v>
      </c>
      <c r="R480" s="24">
        <f t="shared" si="29"/>
        <v>39.720139683628815</v>
      </c>
      <c r="S480" s="25"/>
      <c r="T480" s="25"/>
      <c r="U480" s="27"/>
      <c r="X480" s="47">
        <v>43438</v>
      </c>
      <c r="Y480" s="48">
        <f t="shared" si="30"/>
        <v>8.3499544570645341</v>
      </c>
      <c r="Z480" s="49"/>
      <c r="AA480" s="49"/>
      <c r="AB480" s="51"/>
      <c r="AE480" s="47">
        <v>43438</v>
      </c>
      <c r="AF480" s="48">
        <f t="shared" si="31"/>
        <v>6.4365838998690617</v>
      </c>
      <c r="AG480" s="49"/>
      <c r="AH480" s="49"/>
      <c r="AI480" s="51"/>
    </row>
    <row r="481" spans="1:35" x14ac:dyDescent="0.3">
      <c r="A481" s="20">
        <v>43433</v>
      </c>
      <c r="C481">
        <f>-(Historical_Simulation!B482-Historical_Simulation!B483)</f>
        <v>0.34749999999999659</v>
      </c>
      <c r="E481">
        <f>-(Historical_Simulation!C482-Historical_Simulation!C483)</f>
        <v>4.1800000000000637</v>
      </c>
      <c r="G481">
        <f>-(Historical_Simulation!D482-Historical_Simulation!D483)</f>
        <v>-1.9200000000000159</v>
      </c>
      <c r="J481" s="23">
        <v>43437</v>
      </c>
      <c r="K481" s="24">
        <f t="shared" si="28"/>
        <v>-45.052932302278258</v>
      </c>
      <c r="L481" s="25"/>
      <c r="M481" s="25"/>
      <c r="N481" s="27"/>
      <c r="Q481" s="23">
        <v>43437</v>
      </c>
      <c r="R481" s="24">
        <f t="shared" si="29"/>
        <v>-31.37290022507165</v>
      </c>
      <c r="S481" s="25"/>
      <c r="T481" s="25"/>
      <c r="U481" s="27"/>
      <c r="X481" s="47">
        <v>43437</v>
      </c>
      <c r="Y481" s="48">
        <f t="shared" si="30"/>
        <v>4.4913089256139713</v>
      </c>
      <c r="Z481" s="49"/>
      <c r="AA481" s="49"/>
      <c r="AB481" s="51"/>
      <c r="AE481" s="47">
        <v>43437</v>
      </c>
      <c r="AF481" s="48">
        <f t="shared" si="31"/>
        <v>2.6585459972138592</v>
      </c>
      <c r="AG481" s="49"/>
      <c r="AH481" s="49"/>
      <c r="AI481" s="51"/>
    </row>
    <row r="482" spans="1:35" x14ac:dyDescent="0.3">
      <c r="A482" s="20">
        <v>43432</v>
      </c>
      <c r="C482">
        <f>-(Historical_Simulation!B483-Historical_Simulation!B484)</f>
        <v>-1.6749999999999972</v>
      </c>
      <c r="E482">
        <f>-(Historical_Simulation!C483-Historical_Simulation!C484)</f>
        <v>-96.329999999999927</v>
      </c>
      <c r="G482">
        <f>-(Historical_Simulation!D483-Historical_Simulation!D484)</f>
        <v>-1.7599999999999909</v>
      </c>
      <c r="J482" s="23">
        <v>43434</v>
      </c>
      <c r="K482" s="24">
        <f t="shared" si="28"/>
        <v>-8.8425764269022586</v>
      </c>
      <c r="L482" s="25"/>
      <c r="M482" s="25"/>
      <c r="N482" s="27"/>
      <c r="Q482" s="23">
        <v>43434</v>
      </c>
      <c r="R482" s="24">
        <f t="shared" si="29"/>
        <v>-5.9850055443479411</v>
      </c>
      <c r="S482" s="25"/>
      <c r="T482" s="25"/>
      <c r="U482" s="27"/>
      <c r="X482" s="47">
        <v>43434</v>
      </c>
      <c r="Y482" s="48">
        <f t="shared" si="30"/>
        <v>-11.930156148978071</v>
      </c>
      <c r="Z482" s="49"/>
      <c r="AA482" s="49"/>
      <c r="AB482" s="51"/>
      <c r="AE482" s="47">
        <v>43434</v>
      </c>
      <c r="AF482" s="48">
        <f t="shared" si="31"/>
        <v>-8.243417758284334</v>
      </c>
      <c r="AG482" s="49"/>
      <c r="AH482" s="49"/>
      <c r="AI482" s="51"/>
    </row>
    <row r="483" spans="1:35" x14ac:dyDescent="0.3">
      <c r="A483" s="20">
        <v>43431</v>
      </c>
      <c r="C483">
        <f>-(Historical_Simulation!B484-Historical_Simulation!B485)</f>
        <v>9.4999999999998863E-2</v>
      </c>
      <c r="E483">
        <f>-(Historical_Simulation!C484-Historical_Simulation!C485)</f>
        <v>-9.0000000000145519E-2</v>
      </c>
      <c r="G483">
        <f>-(Historical_Simulation!D484-Historical_Simulation!D485)</f>
        <v>1.3799999999999955</v>
      </c>
      <c r="J483" s="23">
        <v>43433</v>
      </c>
      <c r="K483" s="24">
        <f t="shared" si="28"/>
        <v>2.4148032748168724</v>
      </c>
      <c r="L483" s="25"/>
      <c r="M483" s="25"/>
      <c r="N483" s="27"/>
      <c r="Q483" s="23">
        <v>43433</v>
      </c>
      <c r="R483" s="24">
        <f t="shared" si="29"/>
        <v>1.7645648655908355</v>
      </c>
      <c r="S483" s="25"/>
      <c r="T483" s="25"/>
      <c r="U483" s="27"/>
      <c r="X483" s="47">
        <v>43433</v>
      </c>
      <c r="Y483" s="48">
        <f t="shared" si="30"/>
        <v>-12.357447211879334</v>
      </c>
      <c r="Z483" s="49"/>
      <c r="AA483" s="49"/>
      <c r="AB483" s="51"/>
      <c r="AE483" s="47">
        <v>43433</v>
      </c>
      <c r="AF483" s="48">
        <f t="shared" si="31"/>
        <v>-8.5094935635948374</v>
      </c>
      <c r="AG483" s="49"/>
      <c r="AH483" s="49"/>
      <c r="AI483" s="51"/>
    </row>
    <row r="484" spans="1:35" x14ac:dyDescent="0.3">
      <c r="A484" s="20">
        <v>43430</v>
      </c>
      <c r="C484">
        <f>-(Historical_Simulation!B485-Historical_Simulation!B486)</f>
        <v>-0.58250000000000313</v>
      </c>
      <c r="E484">
        <f>-(Historical_Simulation!C485-Historical_Simulation!C486)</f>
        <v>-79.269999999999982</v>
      </c>
      <c r="G484">
        <f>-(Historical_Simulation!D485-Historical_Simulation!D486)</f>
        <v>-4.6500000000000057</v>
      </c>
      <c r="J484" s="23">
        <v>43432</v>
      </c>
      <c r="K484" s="24">
        <f t="shared" si="28"/>
        <v>-52.733210431255785</v>
      </c>
      <c r="L484" s="25"/>
      <c r="M484" s="25"/>
      <c r="N484" s="27"/>
      <c r="Q484" s="23">
        <v>43432</v>
      </c>
      <c r="R484" s="24">
        <f t="shared" si="29"/>
        <v>-36.673636621656463</v>
      </c>
      <c r="S484" s="25"/>
      <c r="T484" s="25"/>
      <c r="U484" s="27"/>
      <c r="X484" s="47">
        <v>43432</v>
      </c>
      <c r="Y484" s="48">
        <f t="shared" si="30"/>
        <v>-2.1512604247010598</v>
      </c>
      <c r="Z484" s="49"/>
      <c r="AA484" s="49"/>
      <c r="AB484" s="51"/>
      <c r="AE484" s="47">
        <v>43432</v>
      </c>
      <c r="AF484" s="48">
        <f t="shared" si="31"/>
        <v>-2.0070151942251355</v>
      </c>
      <c r="AG484" s="49"/>
      <c r="AH484" s="49"/>
      <c r="AI484" s="51"/>
    </row>
    <row r="485" spans="1:35" x14ac:dyDescent="0.3">
      <c r="A485" s="20">
        <v>43427</v>
      </c>
      <c r="C485">
        <f>-(Historical_Simulation!B486-Historical_Simulation!B487)</f>
        <v>1.1225000000000023</v>
      </c>
      <c r="E485">
        <f>-(Historical_Simulation!C486-Historical_Simulation!C487)</f>
        <v>14.670000000000073</v>
      </c>
      <c r="G485">
        <f>-(Historical_Simulation!D486-Historical_Simulation!D487)</f>
        <v>3.0900000000000034</v>
      </c>
      <c r="J485" s="23">
        <v>43431</v>
      </c>
      <c r="K485" s="24">
        <f t="shared" si="28"/>
        <v>-4.7915475124378909E-3</v>
      </c>
      <c r="L485" s="25"/>
      <c r="M485" s="25"/>
      <c r="N485" s="27"/>
      <c r="Q485" s="23">
        <v>43431</v>
      </c>
      <c r="R485" s="24">
        <f t="shared" si="29"/>
        <v>2.6596346996866388E-2</v>
      </c>
      <c r="S485" s="25"/>
      <c r="T485" s="25"/>
      <c r="U485" s="27"/>
      <c r="X485" s="47">
        <v>43431</v>
      </c>
      <c r="Y485" s="48">
        <f t="shared" si="30"/>
        <v>7.2949370087165626</v>
      </c>
      <c r="Z485" s="49"/>
      <c r="AA485" s="49"/>
      <c r="AB485" s="51"/>
      <c r="AE485" s="47">
        <v>43431</v>
      </c>
      <c r="AF485" s="48">
        <f t="shared" si="31"/>
        <v>5.114288524462741</v>
      </c>
      <c r="AG485" s="49"/>
      <c r="AH485" s="49"/>
      <c r="AI485" s="51"/>
    </row>
    <row r="486" spans="1:35" x14ac:dyDescent="0.3">
      <c r="A486" s="20">
        <v>43426</v>
      </c>
      <c r="C486">
        <f>-(Historical_Simulation!B487-Historical_Simulation!B488)</f>
        <v>0</v>
      </c>
      <c r="E486">
        <f>-(Historical_Simulation!C487-Historical_Simulation!C488)</f>
        <v>0</v>
      </c>
      <c r="G486">
        <f>-(Historical_Simulation!D487-Historical_Simulation!D488)</f>
        <v>0</v>
      </c>
      <c r="J486" s="23">
        <v>43430</v>
      </c>
      <c r="K486" s="24">
        <f t="shared" si="28"/>
        <v>-43.027621053398576</v>
      </c>
      <c r="L486" s="25"/>
      <c r="M486" s="25"/>
      <c r="N486" s="27"/>
      <c r="Q486" s="23">
        <v>43430</v>
      </c>
      <c r="R486" s="24">
        <f t="shared" si="29"/>
        <v>-29.677161868539379</v>
      </c>
      <c r="S486" s="25"/>
      <c r="T486" s="25"/>
      <c r="U486" s="27"/>
      <c r="X486" s="47">
        <v>43430</v>
      </c>
      <c r="Y486" s="48">
        <f t="shared" si="30"/>
        <v>-23.372962087902504</v>
      </c>
      <c r="Z486" s="49"/>
      <c r="AA486" s="49"/>
      <c r="AB486" s="51"/>
      <c r="AE486" s="47">
        <v>43430</v>
      </c>
      <c r="AF486" s="48">
        <f t="shared" si="31"/>
        <v>-16.470403558951187</v>
      </c>
      <c r="AG486" s="49"/>
      <c r="AH486" s="49"/>
      <c r="AI486" s="51"/>
    </row>
    <row r="487" spans="1:35" x14ac:dyDescent="0.3">
      <c r="A487" s="20">
        <v>43425</v>
      </c>
      <c r="C487">
        <f>-(Historical_Simulation!B488-Historical_Simulation!B489)</f>
        <v>4.9999999999997158E-2</v>
      </c>
      <c r="E487">
        <f>-(Historical_Simulation!C488-Historical_Simulation!C489)</f>
        <v>-21.269999999999982</v>
      </c>
      <c r="G487">
        <f>-(Historical_Simulation!D488-Historical_Simulation!D489)</f>
        <v>-2.3899999999999864</v>
      </c>
      <c r="J487" s="23">
        <v>43427</v>
      </c>
      <c r="K487" s="24">
        <f t="shared" si="28"/>
        <v>8.4302080536415627</v>
      </c>
      <c r="L487" s="25"/>
      <c r="M487" s="25"/>
      <c r="N487" s="27"/>
      <c r="Q487" s="23">
        <v>43427</v>
      </c>
      <c r="R487" s="24">
        <f t="shared" si="29"/>
        <v>6.1316810219417262</v>
      </c>
      <c r="S487" s="25"/>
      <c r="T487" s="25"/>
      <c r="U487" s="27"/>
      <c r="X487" s="47">
        <v>43427</v>
      </c>
      <c r="Y487" s="48">
        <f t="shared" si="30"/>
        <v>12.146528065875399</v>
      </c>
      <c r="Z487" s="49"/>
      <c r="AA487" s="49"/>
      <c r="AB487" s="51"/>
      <c r="AE487" s="47">
        <v>43427</v>
      </c>
      <c r="AF487" s="48">
        <f t="shared" si="31"/>
        <v>8.8076752310353932</v>
      </c>
      <c r="AG487" s="49"/>
      <c r="AH487" s="49"/>
      <c r="AI487" s="51"/>
    </row>
    <row r="488" spans="1:35" x14ac:dyDescent="0.3">
      <c r="A488" s="20">
        <v>43424</v>
      </c>
      <c r="C488">
        <f>-(Historical_Simulation!B489-Historical_Simulation!B490)</f>
        <v>2.220000000000006</v>
      </c>
      <c r="E488">
        <f>-(Historical_Simulation!C489-Historical_Simulation!C490)</f>
        <v>16.829999999999927</v>
      </c>
      <c r="G488">
        <f>-(Historical_Simulation!D489-Historical_Simulation!D490)</f>
        <v>-0.87999999999999545</v>
      </c>
      <c r="J488" s="23">
        <v>43426</v>
      </c>
      <c r="K488" s="24">
        <f t="shared" si="28"/>
        <v>0</v>
      </c>
      <c r="L488" s="25"/>
      <c r="M488" s="25"/>
      <c r="N488" s="27"/>
      <c r="Q488" s="23">
        <v>43426</v>
      </c>
      <c r="R488" s="24">
        <f t="shared" si="29"/>
        <v>0</v>
      </c>
      <c r="S488" s="25"/>
      <c r="T488" s="25"/>
      <c r="U488" s="27"/>
      <c r="X488" s="47">
        <v>43426</v>
      </c>
      <c r="Y488" s="48">
        <f t="shared" si="30"/>
        <v>0</v>
      </c>
      <c r="Z488" s="49"/>
      <c r="AA488" s="49"/>
      <c r="AB488" s="51"/>
      <c r="AE488" s="47">
        <v>43426</v>
      </c>
      <c r="AF488" s="48">
        <f t="shared" si="31"/>
        <v>0</v>
      </c>
      <c r="AG488" s="49"/>
      <c r="AH488" s="49"/>
      <c r="AI488" s="51"/>
    </row>
    <row r="489" spans="1:35" x14ac:dyDescent="0.3">
      <c r="A489" s="20">
        <v>43423</v>
      </c>
      <c r="C489">
        <f>-(Historical_Simulation!B490-Historical_Simulation!B491)</f>
        <v>1.9174999999999969</v>
      </c>
      <c r="E489">
        <f>-(Historical_Simulation!C490-Historical_Simulation!C491)</f>
        <v>81.120000000000118</v>
      </c>
      <c r="G489">
        <f>-(Historical_Simulation!D490-Historical_Simulation!D491)</f>
        <v>7.9799999999999898</v>
      </c>
      <c r="J489" s="23">
        <v>43425</v>
      </c>
      <c r="K489" s="24">
        <f t="shared" si="28"/>
        <v>-11.45030158358643</v>
      </c>
      <c r="L489" s="25"/>
      <c r="M489" s="25"/>
      <c r="N489" s="27"/>
      <c r="Q489" s="23">
        <v>43425</v>
      </c>
      <c r="R489" s="24">
        <f t="shared" si="29"/>
        <v>-7.833058821760245</v>
      </c>
      <c r="S489" s="25"/>
      <c r="T489" s="25"/>
      <c r="U489" s="27"/>
      <c r="X489" s="47">
        <v>43425</v>
      </c>
      <c r="Y489" s="48">
        <f t="shared" si="30"/>
        <v>-13.621475720831397</v>
      </c>
      <c r="Z489" s="49"/>
      <c r="AA489" s="49"/>
      <c r="AB489" s="51"/>
      <c r="AE489" s="47">
        <v>43425</v>
      </c>
      <c r="AF489" s="48">
        <f t="shared" si="31"/>
        <v>-9.4807891048163775</v>
      </c>
      <c r="AG489" s="49"/>
      <c r="AH489" s="49"/>
      <c r="AI489" s="51"/>
    </row>
    <row r="490" spans="1:35" x14ac:dyDescent="0.3">
      <c r="A490" s="20">
        <v>43420</v>
      </c>
      <c r="C490">
        <f>-(Historical_Simulation!B491-Historical_Simulation!B492)</f>
        <v>-0.53000000000000114</v>
      </c>
      <c r="E490">
        <f>-(Historical_Simulation!C491-Historical_Simulation!C492)</f>
        <v>26.029999999999973</v>
      </c>
      <c r="G490">
        <f>-(Historical_Simulation!D491-Historical_Simulation!D492)</f>
        <v>4.3199999999999932</v>
      </c>
      <c r="J490" s="23">
        <v>43424</v>
      </c>
      <c r="K490" s="24">
        <f t="shared" si="28"/>
        <v>10.100835184624628</v>
      </c>
      <c r="L490" s="25"/>
      <c r="M490" s="25"/>
      <c r="N490" s="27"/>
      <c r="Q490" s="23">
        <v>43424</v>
      </c>
      <c r="R490" s="24">
        <f t="shared" si="29"/>
        <v>7.6220398398647635</v>
      </c>
      <c r="S490" s="25"/>
      <c r="T490" s="25"/>
      <c r="U490" s="27"/>
      <c r="X490" s="47">
        <v>43424</v>
      </c>
      <c r="Y490" s="48">
        <f t="shared" si="30"/>
        <v>-15.149497842040006</v>
      </c>
      <c r="Z490" s="49"/>
      <c r="AA490" s="49"/>
      <c r="AB490" s="51"/>
      <c r="AE490" s="47">
        <v>43424</v>
      </c>
      <c r="AF490" s="48">
        <f t="shared" si="31"/>
        <v>-9.8887894364471141</v>
      </c>
      <c r="AG490" s="49"/>
      <c r="AH490" s="49"/>
      <c r="AI490" s="51"/>
    </row>
    <row r="491" spans="1:35" x14ac:dyDescent="0.3">
      <c r="A491" s="20">
        <v>43419</v>
      </c>
      <c r="C491">
        <f>-(Historical_Simulation!B492-Historical_Simulation!B493)</f>
        <v>-1.1524999999999963</v>
      </c>
      <c r="E491">
        <f>-(Historical_Simulation!C492-Historical_Simulation!C493)</f>
        <v>-20.430000000000064</v>
      </c>
      <c r="G491">
        <f>-(Historical_Simulation!D492-Historical_Simulation!D493)</f>
        <v>0.37000000000000455</v>
      </c>
      <c r="J491" s="23">
        <v>43423</v>
      </c>
      <c r="K491" s="24">
        <f t="shared" si="28"/>
        <v>44.640419145122237</v>
      </c>
      <c r="L491" s="25"/>
      <c r="M491" s="25"/>
      <c r="N491" s="27"/>
      <c r="Q491" s="23">
        <v>43423</v>
      </c>
      <c r="R491" s="24">
        <f t="shared" si="29"/>
        <v>31.202582848520972</v>
      </c>
      <c r="S491" s="25"/>
      <c r="T491" s="25"/>
      <c r="U491" s="27"/>
      <c r="X491" s="47">
        <v>43423</v>
      </c>
      <c r="Y491" s="48">
        <f t="shared" si="30"/>
        <v>35.886074408828186</v>
      </c>
      <c r="Z491" s="49"/>
      <c r="AA491" s="49"/>
      <c r="AB491" s="51"/>
      <c r="AE491" s="47">
        <v>43423</v>
      </c>
      <c r="AF491" s="48">
        <f t="shared" si="31"/>
        <v>25.59799547047114</v>
      </c>
      <c r="AG491" s="49"/>
      <c r="AH491" s="49"/>
      <c r="AI491" s="51"/>
    </row>
    <row r="492" spans="1:35" x14ac:dyDescent="0.3">
      <c r="A492" s="20">
        <v>43418</v>
      </c>
      <c r="C492">
        <f>-(Historical_Simulation!B493-Historical_Simulation!B494)</f>
        <v>1.3574999999999946</v>
      </c>
      <c r="E492">
        <f>-(Historical_Simulation!C493-Historical_Simulation!C494)</f>
        <v>32.160000000000082</v>
      </c>
      <c r="G492">
        <f>-(Historical_Simulation!D493-Historical_Simulation!D494)</f>
        <v>-2.0600000000000023</v>
      </c>
      <c r="J492" s="23">
        <v>43420</v>
      </c>
      <c r="K492" s="24">
        <f t="shared" si="28"/>
        <v>13.796829740152695</v>
      </c>
      <c r="L492" s="25"/>
      <c r="M492" s="25"/>
      <c r="N492" s="27"/>
      <c r="Q492" s="23">
        <v>43420</v>
      </c>
      <c r="R492" s="24">
        <f t="shared" si="29"/>
        <v>9.2905460743879917</v>
      </c>
      <c r="S492" s="25"/>
      <c r="T492" s="25"/>
      <c r="U492" s="27"/>
      <c r="X492" s="47">
        <v>43420</v>
      </c>
      <c r="Y492" s="48">
        <f t="shared" si="30"/>
        <v>26.644859527062554</v>
      </c>
      <c r="Z492" s="49"/>
      <c r="AA492" s="49"/>
      <c r="AB492" s="51"/>
      <c r="AE492" s="47">
        <v>43420</v>
      </c>
      <c r="AF492" s="48">
        <f t="shared" si="31"/>
        <v>18.414396376376914</v>
      </c>
      <c r="AG492" s="49"/>
      <c r="AH492" s="49"/>
      <c r="AI492" s="51"/>
    </row>
    <row r="493" spans="1:35" x14ac:dyDescent="0.3">
      <c r="A493" s="20">
        <v>43417</v>
      </c>
      <c r="C493">
        <f>-(Historical_Simulation!B494-Historical_Simulation!B495)</f>
        <v>0.48499999999999943</v>
      </c>
      <c r="E493">
        <f>-(Historical_Simulation!C494-Historical_Simulation!C495)</f>
        <v>5.6799999999998363</v>
      </c>
      <c r="G493">
        <f>-(Historical_Simulation!D494-Historical_Simulation!D495)</f>
        <v>-0.60999999999998522</v>
      </c>
      <c r="J493" s="23">
        <v>43419</v>
      </c>
      <c r="K493" s="24">
        <f t="shared" si="28"/>
        <v>-11.551048957672995</v>
      </c>
      <c r="L493" s="25"/>
      <c r="M493" s="25"/>
      <c r="N493" s="27"/>
      <c r="Q493" s="23">
        <v>43419</v>
      </c>
      <c r="R493" s="24">
        <f t="shared" si="29"/>
        <v>-8.2803455176587093</v>
      </c>
      <c r="S493" s="25"/>
      <c r="T493" s="25"/>
      <c r="U493" s="27"/>
      <c r="X493" s="47">
        <v>43419</v>
      </c>
      <c r="Y493" s="48">
        <f t="shared" si="30"/>
        <v>7.3781646659696554</v>
      </c>
      <c r="Z493" s="49"/>
      <c r="AA493" s="49"/>
      <c r="AB493" s="51"/>
      <c r="AE493" s="47">
        <v>43419</v>
      </c>
      <c r="AF493" s="48">
        <f t="shared" si="31"/>
        <v>4.7944780377389531</v>
      </c>
      <c r="AG493" s="49"/>
      <c r="AH493" s="49"/>
      <c r="AI493" s="51"/>
    </row>
    <row r="494" spans="1:35" x14ac:dyDescent="0.3">
      <c r="A494" s="20">
        <v>43416</v>
      </c>
      <c r="C494">
        <f>-(Historical_Simulation!B495-Historical_Simulation!B496)</f>
        <v>2.5750000000000028</v>
      </c>
      <c r="E494">
        <f>-(Historical_Simulation!C495-Historical_Simulation!C496)</f>
        <v>75.580000000000155</v>
      </c>
      <c r="G494">
        <f>-(Historical_Simulation!D495-Historical_Simulation!D496)</f>
        <v>3.4099999999999966</v>
      </c>
      <c r="J494" s="23">
        <v>43418</v>
      </c>
      <c r="K494" s="24">
        <f t="shared" si="28"/>
        <v>17.972792660807791</v>
      </c>
      <c r="L494" s="25"/>
      <c r="M494" s="25"/>
      <c r="N494" s="27"/>
      <c r="Q494" s="23">
        <v>43418</v>
      </c>
      <c r="R494" s="24">
        <f t="shared" si="29"/>
        <v>12.746708225012695</v>
      </c>
      <c r="S494" s="25"/>
      <c r="T494" s="25"/>
      <c r="U494" s="27"/>
      <c r="X494" s="47">
        <v>43418</v>
      </c>
      <c r="Y494" s="48">
        <f t="shared" si="30"/>
        <v>-17.790970604894088</v>
      </c>
      <c r="Z494" s="49"/>
      <c r="AA494" s="49"/>
      <c r="AB494" s="51"/>
      <c r="AE494" s="47">
        <v>43418</v>
      </c>
      <c r="AF494" s="48">
        <f t="shared" si="31"/>
        <v>-11.991463838405805</v>
      </c>
      <c r="AG494" s="49"/>
      <c r="AH494" s="49"/>
      <c r="AI494" s="51"/>
    </row>
    <row r="495" spans="1:35" x14ac:dyDescent="0.3">
      <c r="A495" s="20">
        <v>43413</v>
      </c>
      <c r="C495">
        <f>-(Historical_Simulation!B496-Historical_Simulation!B497)</f>
        <v>1.0050000000000026</v>
      </c>
      <c r="E495">
        <f>-(Historical_Simulation!C496-Historical_Simulation!C497)</f>
        <v>42.480000000000018</v>
      </c>
      <c r="G495">
        <f>-(Historical_Simulation!D496-Historical_Simulation!D497)</f>
        <v>2.9099999999999966</v>
      </c>
      <c r="J495" s="23">
        <v>43417</v>
      </c>
      <c r="K495" s="24">
        <f t="shared" si="28"/>
        <v>3.287254536901016</v>
      </c>
      <c r="L495" s="25"/>
      <c r="M495" s="25"/>
      <c r="N495" s="27"/>
      <c r="Q495" s="23">
        <v>43417</v>
      </c>
      <c r="R495" s="24">
        <f t="shared" si="29"/>
        <v>2.4058485262215386</v>
      </c>
      <c r="S495" s="25"/>
      <c r="T495" s="25"/>
      <c r="U495" s="27"/>
      <c r="X495" s="47">
        <v>43417</v>
      </c>
      <c r="Y495" s="48">
        <f t="shared" si="30"/>
        <v>-5.6503548829140451</v>
      </c>
      <c r="Z495" s="49"/>
      <c r="AA495" s="49"/>
      <c r="AB495" s="51"/>
      <c r="AE495" s="47">
        <v>43417</v>
      </c>
      <c r="AF495" s="48">
        <f t="shared" si="31"/>
        <v>-3.7921369138417438</v>
      </c>
      <c r="AG495" s="49"/>
      <c r="AH495" s="49"/>
      <c r="AI495" s="51"/>
    </row>
    <row r="496" spans="1:35" x14ac:dyDescent="0.3">
      <c r="A496" s="20">
        <v>43412</v>
      </c>
      <c r="C496">
        <f>-(Historical_Simulation!B497-Historical_Simulation!B498)</f>
        <v>0.36499999999999488</v>
      </c>
      <c r="E496">
        <f>-(Historical_Simulation!C497-Historical_Simulation!C498)</f>
        <v>0.57999999999992724</v>
      </c>
      <c r="G496">
        <f>-(Historical_Simulation!D497-Historical_Simulation!D498)</f>
        <v>3.6599999999999966</v>
      </c>
      <c r="J496" s="23">
        <v>43416</v>
      </c>
      <c r="K496" s="24">
        <f t="shared" si="28"/>
        <v>41.95490230345824</v>
      </c>
      <c r="L496" s="25"/>
      <c r="M496" s="25"/>
      <c r="N496" s="27"/>
      <c r="Q496" s="23">
        <v>43416</v>
      </c>
      <c r="R496" s="24">
        <f t="shared" si="29"/>
        <v>29.568560472917838</v>
      </c>
      <c r="S496" s="25"/>
      <c r="T496" s="25"/>
      <c r="U496" s="27"/>
      <c r="X496" s="47">
        <v>43416</v>
      </c>
      <c r="Y496" s="48">
        <f t="shared" si="30"/>
        <v>7.2535582897107425</v>
      </c>
      <c r="Z496" s="49"/>
      <c r="AA496" s="49"/>
      <c r="AB496" s="51"/>
      <c r="AE496" s="47">
        <v>43416</v>
      </c>
      <c r="AF496" s="48">
        <f t="shared" si="31"/>
        <v>5.8365610256236362</v>
      </c>
      <c r="AG496" s="49"/>
      <c r="AH496" s="49"/>
      <c r="AI496" s="51"/>
    </row>
    <row r="497" spans="1:35" x14ac:dyDescent="0.3">
      <c r="A497" s="20">
        <v>43411</v>
      </c>
      <c r="C497">
        <f>-(Historical_Simulation!B498-Historical_Simulation!B499)</f>
        <v>-1.5449999999999946</v>
      </c>
      <c r="E497">
        <f>-(Historical_Simulation!C498-Historical_Simulation!C499)</f>
        <v>-112.68000000000006</v>
      </c>
      <c r="G497">
        <f>-(Historical_Simulation!D498-Historical_Simulation!D499)</f>
        <v>-1.5900000000000034</v>
      </c>
      <c r="J497" s="23">
        <v>43413</v>
      </c>
      <c r="K497" s="24">
        <f t="shared" si="28"/>
        <v>23.377186124730194</v>
      </c>
      <c r="L497" s="25"/>
      <c r="M497" s="25"/>
      <c r="N497" s="27"/>
      <c r="Q497" s="23">
        <v>43413</v>
      </c>
      <c r="R497" s="24">
        <f t="shared" si="29"/>
        <v>16.340359504338956</v>
      </c>
      <c r="S497" s="25"/>
      <c r="T497" s="25"/>
      <c r="U497" s="27"/>
      <c r="X497" s="47">
        <v>43413</v>
      </c>
      <c r="Y497" s="48">
        <f t="shared" si="30"/>
        <v>11.678836577124549</v>
      </c>
      <c r="Z497" s="49"/>
      <c r="AA497" s="49"/>
      <c r="AB497" s="51"/>
      <c r="AE497" s="47">
        <v>43413</v>
      </c>
      <c r="AF497" s="48">
        <f t="shared" si="31"/>
        <v>8.4460464117521585</v>
      </c>
      <c r="AG497" s="49"/>
      <c r="AH497" s="49"/>
      <c r="AI497" s="51"/>
    </row>
    <row r="498" spans="1:35" x14ac:dyDescent="0.3">
      <c r="A498" s="20">
        <v>43410</v>
      </c>
      <c r="C498">
        <f>-(Historical_Simulation!B499-Historical_Simulation!B500)</f>
        <v>-0.54500000000000171</v>
      </c>
      <c r="E498">
        <f>-(Historical_Simulation!C499-Historical_Simulation!C500)</f>
        <v>-15.009999999999991</v>
      </c>
      <c r="G498">
        <f>-(Historical_Simulation!D499-Historical_Simulation!D500)</f>
        <v>-1.2599999999999909</v>
      </c>
      <c r="J498" s="23">
        <v>43412</v>
      </c>
      <c r="K498" s="24">
        <f t="shared" si="28"/>
        <v>0.48097396062242948</v>
      </c>
      <c r="L498" s="25"/>
      <c r="M498" s="25"/>
      <c r="N498" s="27"/>
      <c r="Q498" s="23">
        <v>43412</v>
      </c>
      <c r="R498" s="24">
        <f t="shared" si="29"/>
        <v>0.44449613727381854</v>
      </c>
      <c r="S498" s="25"/>
      <c r="T498" s="25"/>
      <c r="U498" s="27"/>
      <c r="X498" s="47">
        <v>43412</v>
      </c>
      <c r="Y498" s="48">
        <f t="shared" si="30"/>
        <v>18.827095286942523</v>
      </c>
      <c r="Z498" s="49"/>
      <c r="AA498" s="49"/>
      <c r="AB498" s="51"/>
      <c r="AE498" s="47">
        <v>43412</v>
      </c>
      <c r="AF498" s="48">
        <f t="shared" si="31"/>
        <v>13.235471352610723</v>
      </c>
      <c r="AG498" s="49"/>
      <c r="AH498" s="49"/>
      <c r="AI498" s="51"/>
    </row>
    <row r="499" spans="1:35" x14ac:dyDescent="0.3">
      <c r="A499" s="20">
        <v>43409</v>
      </c>
      <c r="C499">
        <f>-(Historical_Simulation!B500-Historical_Simulation!B501)</f>
        <v>1.4724999999999966</v>
      </c>
      <c r="E499">
        <f>-(Historical_Simulation!C500-Historical_Simulation!C501)</f>
        <v>37.730000000000018</v>
      </c>
      <c r="G499">
        <f>-(Historical_Simulation!D500-Historical_Simulation!D501)</f>
        <v>1.6699999999999875</v>
      </c>
      <c r="J499" s="23">
        <v>43411</v>
      </c>
      <c r="K499" s="24">
        <f t="shared" si="28"/>
        <v>-61.492749366410855</v>
      </c>
      <c r="L499" s="25"/>
      <c r="M499" s="25"/>
      <c r="N499" s="27"/>
      <c r="Q499" s="23">
        <v>43411</v>
      </c>
      <c r="R499" s="24">
        <f t="shared" si="29"/>
        <v>-42.637107981065938</v>
      </c>
      <c r="S499" s="25"/>
      <c r="T499" s="25"/>
      <c r="U499" s="27"/>
      <c r="X499" s="47">
        <v>43411</v>
      </c>
      <c r="Y499" s="48">
        <f t="shared" si="30"/>
        <v>-1.7971378719006257</v>
      </c>
      <c r="Z499" s="49"/>
      <c r="AA499" s="49"/>
      <c r="AB499" s="51"/>
      <c r="AE499" s="47">
        <v>43411</v>
      </c>
      <c r="AF499" s="48">
        <f t="shared" si="31"/>
        <v>-1.7207727498839391</v>
      </c>
      <c r="AG499" s="49"/>
      <c r="AH499" s="49"/>
      <c r="AI499" s="51"/>
    </row>
    <row r="500" spans="1:35" x14ac:dyDescent="0.3">
      <c r="A500" s="20">
        <v>43406</v>
      </c>
      <c r="C500">
        <f>-(Historical_Simulation!B501-Historical_Simulation!B502)</f>
        <v>3.6850000000000023</v>
      </c>
      <c r="E500">
        <f>-(Historical_Simulation!C501-Historical_Simulation!C502)</f>
        <v>0</v>
      </c>
      <c r="G500">
        <f>-(Historical_Simulation!D501-Historical_Simulation!D502)</f>
        <v>1.4000000000000057</v>
      </c>
      <c r="J500" s="23">
        <v>43410</v>
      </c>
      <c r="K500" s="24">
        <f t="shared" si="28"/>
        <v>-8.3476201879257843</v>
      </c>
      <c r="L500" s="25"/>
      <c r="M500" s="25"/>
      <c r="N500" s="27"/>
      <c r="Q500" s="23">
        <v>43410</v>
      </c>
      <c r="R500" s="24">
        <f t="shared" si="29"/>
        <v>-5.893426165889398</v>
      </c>
      <c r="S500" s="25"/>
      <c r="T500" s="25"/>
      <c r="U500" s="27"/>
      <c r="X500" s="47">
        <v>43410</v>
      </c>
      <c r="Y500" s="48">
        <f t="shared" si="30"/>
        <v>-4.5511906313091677</v>
      </c>
      <c r="Z500" s="49"/>
      <c r="AA500" s="49"/>
      <c r="AB500" s="51"/>
      <c r="AE500" s="47">
        <v>43410</v>
      </c>
      <c r="AF500" s="48">
        <f t="shared" si="31"/>
        <v>-3.3378336925998591</v>
      </c>
      <c r="AG500" s="49"/>
      <c r="AH500" s="49"/>
      <c r="AI500" s="51"/>
    </row>
    <row r="501" spans="1:35" x14ac:dyDescent="0.3">
      <c r="A501" s="20">
        <v>43405</v>
      </c>
      <c r="C501">
        <f>-(Historical_Simulation!B502-Historical_Simulation!B503)</f>
        <v>-0.83999999999999631</v>
      </c>
      <c r="E501">
        <f>-(Historical_Simulation!C502-Historical_Simulation!C503)</f>
        <v>-67.519999999999982</v>
      </c>
      <c r="G501">
        <f>-(Historical_Simulation!D502-Historical_Simulation!D503)</f>
        <v>3.9999999999992042E-2</v>
      </c>
      <c r="J501" s="23">
        <v>43409</v>
      </c>
      <c r="K501" s="24">
        <f t="shared" si="28"/>
        <v>21.030294777996502</v>
      </c>
      <c r="L501" s="25"/>
      <c r="M501" s="25"/>
      <c r="N501" s="27"/>
      <c r="Q501" s="23">
        <v>43409</v>
      </c>
      <c r="R501" s="24">
        <f t="shared" si="29"/>
        <v>14.878691614914276</v>
      </c>
      <c r="S501" s="25"/>
      <c r="T501" s="25"/>
      <c r="U501" s="27"/>
      <c r="X501" s="47">
        <v>43409</v>
      </c>
      <c r="Y501" s="48">
        <f t="shared" si="30"/>
        <v>2.5791051044524949</v>
      </c>
      <c r="Z501" s="49"/>
      <c r="AA501" s="49"/>
      <c r="AB501" s="51"/>
      <c r="AE501" s="47">
        <v>43409</v>
      </c>
      <c r="AF501" s="48">
        <f t="shared" si="31"/>
        <v>2.2439470689348981</v>
      </c>
      <c r="AG501" s="49"/>
      <c r="AH501" s="49"/>
      <c r="AI501" s="51"/>
    </row>
    <row r="502" spans="1:35" x14ac:dyDescent="0.3">
      <c r="A502" s="20">
        <v>43404</v>
      </c>
      <c r="C502">
        <f>-(Historical_Simulation!B503-Historical_Simulation!B504)</f>
        <v>-1.3900000000000006</v>
      </c>
      <c r="E502">
        <f>-(Historical_Simulation!C503-Historical_Simulation!C504)</f>
        <v>-67.589999999999918</v>
      </c>
      <c r="G502">
        <f>-(Historical_Simulation!D503-Historical_Simulation!D504)</f>
        <v>-5.5699999999999932</v>
      </c>
      <c r="J502" s="23">
        <v>43406</v>
      </c>
      <c r="K502" s="24">
        <f t="shared" si="28"/>
        <v>1.6972602563078798</v>
      </c>
      <c r="L502" s="25"/>
      <c r="M502" s="25"/>
      <c r="N502" s="27"/>
      <c r="Q502" s="23">
        <v>43406</v>
      </c>
      <c r="R502" s="24">
        <f t="shared" si="29"/>
        <v>2.3224731820738045</v>
      </c>
      <c r="S502" s="25"/>
      <c r="T502" s="25"/>
      <c r="U502" s="27"/>
      <c r="X502" s="47">
        <v>43406</v>
      </c>
      <c r="Y502" s="48">
        <f t="shared" si="30"/>
        <v>-9.118000828729464</v>
      </c>
      <c r="Z502" s="49"/>
      <c r="AA502" s="49"/>
      <c r="AB502" s="51"/>
      <c r="AE502" s="47">
        <v>43406</v>
      </c>
      <c r="AF502" s="48">
        <f t="shared" si="31"/>
        <v>-5.240349632994068</v>
      </c>
      <c r="AG502" s="49"/>
      <c r="AH502" s="49"/>
      <c r="AI502" s="51"/>
    </row>
    <row r="503" spans="1:35" x14ac:dyDescent="0.3">
      <c r="A503" s="20">
        <v>43403</v>
      </c>
      <c r="C503">
        <f>-(Historical_Simulation!B504-Historical_Simulation!B505)</f>
        <v>-0.26500000000000057</v>
      </c>
      <c r="E503">
        <f>-(Historical_Simulation!C504-Historical_Simulation!C505)</f>
        <v>8.4600000000000364</v>
      </c>
      <c r="G503">
        <f>-(Historical_Simulation!D504-Historical_Simulation!D505)</f>
        <v>-4.1299999999999955</v>
      </c>
      <c r="J503" s="23">
        <v>43405</v>
      </c>
      <c r="K503" s="24">
        <f t="shared" si="28"/>
        <v>-36.808110206076144</v>
      </c>
      <c r="L503" s="25"/>
      <c r="M503" s="25"/>
      <c r="N503" s="27"/>
      <c r="Q503" s="23">
        <v>43405</v>
      </c>
      <c r="R503" s="24">
        <f t="shared" si="29"/>
        <v>-25.49489503916385</v>
      </c>
      <c r="S503" s="25"/>
      <c r="T503" s="25"/>
      <c r="U503" s="27"/>
      <c r="X503" s="47">
        <v>43405</v>
      </c>
      <c r="Y503" s="48">
        <f t="shared" si="30"/>
        <v>4.0906961616112945</v>
      </c>
      <c r="Z503" s="49"/>
      <c r="AA503" s="49"/>
      <c r="AB503" s="51"/>
      <c r="AE503" s="47">
        <v>43405</v>
      </c>
      <c r="AF503" s="48">
        <f t="shared" si="31"/>
        <v>2.5973337755075261</v>
      </c>
      <c r="AG503" s="49"/>
      <c r="AH503" s="49"/>
      <c r="AI503" s="51"/>
    </row>
    <row r="504" spans="1:35" x14ac:dyDescent="0.3">
      <c r="A504" s="20">
        <v>43402</v>
      </c>
      <c r="C504">
        <f>-(Historical_Simulation!B505-Historical_Simulation!B506)</f>
        <v>1.0150000000000006</v>
      </c>
      <c r="E504">
        <f>-(Historical_Simulation!C505-Historical_Simulation!C506)</f>
        <v>103.92999999999984</v>
      </c>
      <c r="G504">
        <f>-(Historical_Simulation!D505-Historical_Simulation!D506)</f>
        <v>3.2800000000000011</v>
      </c>
      <c r="J504" s="23">
        <v>43404</v>
      </c>
      <c r="K504" s="24">
        <f t="shared" si="28"/>
        <v>-37.099191596314313</v>
      </c>
      <c r="L504" s="25"/>
      <c r="M504" s="25"/>
      <c r="N504" s="27"/>
      <c r="Q504" s="23">
        <v>43404</v>
      </c>
      <c r="R504" s="24">
        <f t="shared" si="29"/>
        <v>-25.867415290831516</v>
      </c>
      <c r="S504" s="25"/>
      <c r="T504" s="25"/>
      <c r="U504" s="27"/>
      <c r="X504" s="47">
        <v>43404</v>
      </c>
      <c r="Y504" s="48">
        <f t="shared" si="30"/>
        <v>-24.810806767653901</v>
      </c>
      <c r="Z504" s="49"/>
      <c r="AA504" s="49"/>
      <c r="AB504" s="51"/>
      <c r="AE504" s="47">
        <v>43404</v>
      </c>
      <c r="AF504" s="48">
        <f t="shared" si="31"/>
        <v>-17.717335433660921</v>
      </c>
      <c r="AG504" s="49"/>
      <c r="AH504" s="49"/>
      <c r="AI504" s="51"/>
    </row>
    <row r="505" spans="1:35" x14ac:dyDescent="0.3">
      <c r="A505" s="20">
        <v>43399</v>
      </c>
      <c r="C505">
        <f>-(Historical_Simulation!B506-Historical_Simulation!B507)</f>
        <v>0.875</v>
      </c>
      <c r="E505">
        <f>-(Historical_Simulation!C506-Historical_Simulation!C507)</f>
        <v>139.36000000000013</v>
      </c>
      <c r="G505">
        <f>-(Historical_Simulation!D506-Historical_Simulation!D507)</f>
        <v>5.5799999999999841</v>
      </c>
      <c r="J505" s="23">
        <v>43403</v>
      </c>
      <c r="K505" s="24">
        <f t="shared" si="28"/>
        <v>4.4413851461909983</v>
      </c>
      <c r="L505" s="25"/>
      <c r="M505" s="25"/>
      <c r="N505" s="27"/>
      <c r="Q505" s="23">
        <v>43403</v>
      </c>
      <c r="R505" s="24">
        <f t="shared" si="29"/>
        <v>2.9610641754154998</v>
      </c>
      <c r="S505" s="25"/>
      <c r="T505" s="25"/>
      <c r="U505" s="27"/>
      <c r="X505" s="47">
        <v>43403</v>
      </c>
      <c r="Y505" s="48">
        <f t="shared" si="30"/>
        <v>-21.920841664349847</v>
      </c>
      <c r="Z505" s="49"/>
      <c r="AA505" s="49"/>
      <c r="AB505" s="51"/>
      <c r="AE505" s="47">
        <v>43403</v>
      </c>
      <c r="AF505" s="48">
        <f t="shared" si="31"/>
        <v>-15.36192618447356</v>
      </c>
      <c r="AG505" s="49"/>
      <c r="AH505" s="49"/>
      <c r="AI505" s="51"/>
    </row>
    <row r="506" spans="1:35" x14ac:dyDescent="0.3">
      <c r="A506" s="20">
        <v>43398</v>
      </c>
      <c r="C506">
        <f>-(Historical_Simulation!B507-Historical_Simulation!B508)</f>
        <v>-1.177500000000002</v>
      </c>
      <c r="E506">
        <f>-(Historical_Simulation!C507-Historical_Simulation!C508)</f>
        <v>-117.97000000000003</v>
      </c>
      <c r="G506">
        <f>-(Historical_Simulation!D507-Historical_Simulation!D508)</f>
        <v>-4.9099999999999966</v>
      </c>
      <c r="J506" s="23">
        <v>43402</v>
      </c>
      <c r="K506" s="24">
        <f t="shared" si="28"/>
        <v>56.528768174239985</v>
      </c>
      <c r="L506" s="25"/>
      <c r="M506" s="25"/>
      <c r="N506" s="27"/>
      <c r="Q506" s="23">
        <v>43402</v>
      </c>
      <c r="R506" s="24">
        <f t="shared" si="29"/>
        <v>39.06776729087499</v>
      </c>
      <c r="S506" s="25"/>
      <c r="T506" s="25"/>
      <c r="U506" s="27"/>
      <c r="X506" s="47">
        <v>43402</v>
      </c>
      <c r="Y506" s="48">
        <f t="shared" si="30"/>
        <v>13.705939552329234</v>
      </c>
      <c r="Z506" s="49"/>
      <c r="AA506" s="49"/>
      <c r="AB506" s="51"/>
      <c r="AE506" s="47">
        <v>43402</v>
      </c>
      <c r="AF506" s="48">
        <f t="shared" si="31"/>
        <v>9.8622284108234588</v>
      </c>
      <c r="AG506" s="49"/>
      <c r="AH506" s="49"/>
      <c r="AI506" s="51"/>
    </row>
    <row r="507" spans="1:35" x14ac:dyDescent="0.3">
      <c r="A507" s="20">
        <v>43397</v>
      </c>
      <c r="C507">
        <f>-(Historical_Simulation!B508-Historical_Simulation!B509)</f>
        <v>1.9099999999999966</v>
      </c>
      <c r="E507">
        <f>-(Historical_Simulation!C508-Historical_Simulation!C509)</f>
        <v>104.5</v>
      </c>
      <c r="G507">
        <f>-(Historical_Simulation!D508-Historical_Simulation!D509)</f>
        <v>8.3499999999999943</v>
      </c>
      <c r="J507" s="23">
        <v>43399</v>
      </c>
      <c r="K507" s="24">
        <f t="shared" si="28"/>
        <v>75.575715985129889</v>
      </c>
      <c r="L507" s="25"/>
      <c r="M507" s="25"/>
      <c r="N507" s="27"/>
      <c r="Q507" s="23">
        <v>43399</v>
      </c>
      <c r="R507" s="24">
        <f t="shared" si="29"/>
        <v>52.079756141250904</v>
      </c>
      <c r="S507" s="25"/>
      <c r="T507" s="25"/>
      <c r="U507" s="27"/>
      <c r="X507" s="47">
        <v>43399</v>
      </c>
      <c r="Y507" s="48">
        <f t="shared" si="30"/>
        <v>27.237415273160625</v>
      </c>
      <c r="Z507" s="49"/>
      <c r="AA507" s="49"/>
      <c r="AB507" s="51"/>
      <c r="AE507" s="47">
        <v>43399</v>
      </c>
      <c r="AF507" s="48">
        <f t="shared" si="31"/>
        <v>19.253017515639833</v>
      </c>
      <c r="AG507" s="49"/>
      <c r="AH507" s="49"/>
      <c r="AI507" s="51"/>
    </row>
    <row r="508" spans="1:35" x14ac:dyDescent="0.3">
      <c r="A508" s="20">
        <v>43396</v>
      </c>
      <c r="C508">
        <f>-(Historical_Simulation!B509-Historical_Simulation!B510)</f>
        <v>-0.51999999999999602</v>
      </c>
      <c r="E508">
        <f>-(Historical_Simulation!C509-Historical_Simulation!C510)</f>
        <v>20.599999999999909</v>
      </c>
      <c r="G508">
        <f>-(Historical_Simulation!D509-Historical_Simulation!D510)</f>
        <v>0.39000000000001478</v>
      </c>
      <c r="J508" s="23">
        <v>43398</v>
      </c>
      <c r="K508" s="24">
        <f t="shared" si="28"/>
        <v>-64.176982772092842</v>
      </c>
      <c r="L508" s="25"/>
      <c r="M508" s="25"/>
      <c r="N508" s="27"/>
      <c r="Q508" s="23">
        <v>43398</v>
      </c>
      <c r="R508" s="24">
        <f t="shared" si="29"/>
        <v>-44.361465639795227</v>
      </c>
      <c r="S508" s="25"/>
      <c r="T508" s="25"/>
      <c r="U508" s="27"/>
      <c r="X508" s="47">
        <v>43398</v>
      </c>
      <c r="Y508" s="48">
        <f t="shared" si="30"/>
        <v>-22.090935708198135</v>
      </c>
      <c r="Z508" s="49"/>
      <c r="AA508" s="49"/>
      <c r="AB508" s="51"/>
      <c r="AE508" s="47">
        <v>43398</v>
      </c>
      <c r="AF508" s="48">
        <f t="shared" si="31"/>
        <v>-15.75687308759316</v>
      </c>
      <c r="AG508" s="49"/>
      <c r="AH508" s="49"/>
      <c r="AI508" s="51"/>
    </row>
    <row r="509" spans="1:35" x14ac:dyDescent="0.3">
      <c r="A509" s="20">
        <v>43395</v>
      </c>
      <c r="C509">
        <f>-(Historical_Simulation!B510-Historical_Simulation!B511)</f>
        <v>-0.33500000000000085</v>
      </c>
      <c r="E509">
        <f>-(Historical_Simulation!C510-Historical_Simulation!C511)</f>
        <v>-25.269999999999982</v>
      </c>
      <c r="G509">
        <f>-(Historical_Simulation!D510-Historical_Simulation!D511)</f>
        <v>-0.72999999999998977</v>
      </c>
      <c r="J509" s="23">
        <v>43397</v>
      </c>
      <c r="K509" s="24">
        <f t="shared" si="28"/>
        <v>57.248458698880519</v>
      </c>
      <c r="L509" s="25"/>
      <c r="M509" s="25"/>
      <c r="N509" s="27"/>
      <c r="Q509" s="23">
        <v>43397</v>
      </c>
      <c r="R509" s="24">
        <f t="shared" si="29"/>
        <v>39.842598711275052</v>
      </c>
      <c r="S509" s="25"/>
      <c r="T509" s="25"/>
      <c r="U509" s="27"/>
      <c r="X509" s="47">
        <v>43397</v>
      </c>
      <c r="Y509" s="48">
        <f t="shared" si="30"/>
        <v>37.993731000883088</v>
      </c>
      <c r="Z509" s="49"/>
      <c r="AA509" s="49"/>
      <c r="AB509" s="51"/>
      <c r="AE509" s="47">
        <v>43397</v>
      </c>
      <c r="AF509" s="48">
        <f t="shared" si="31"/>
        <v>27.065033538941734</v>
      </c>
      <c r="AG509" s="49"/>
      <c r="AH509" s="49"/>
      <c r="AI509" s="51"/>
    </row>
    <row r="510" spans="1:35" x14ac:dyDescent="0.3">
      <c r="A510" s="20">
        <v>43392</v>
      </c>
      <c r="C510">
        <f>-(Historical_Simulation!B511-Historical_Simulation!B512)</f>
        <v>-0.82249999999999801</v>
      </c>
      <c r="E510">
        <f>-(Historical_Simulation!C511-Historical_Simulation!C512)</f>
        <v>6.6900000000000546</v>
      </c>
      <c r="G510">
        <f>-(Historical_Simulation!D511-Historical_Simulation!D512)</f>
        <v>0.86999999999997613</v>
      </c>
      <c r="J510" s="23">
        <v>43396</v>
      </c>
      <c r="K510" s="24">
        <f t="shared" si="28"/>
        <v>10.872418829518976</v>
      </c>
      <c r="L510" s="25"/>
      <c r="M510" s="25"/>
      <c r="N510" s="27"/>
      <c r="Q510" s="23">
        <v>43396</v>
      </c>
      <c r="R510" s="24">
        <f t="shared" si="29"/>
        <v>7.289108926621755</v>
      </c>
      <c r="S510" s="25"/>
      <c r="T510" s="25"/>
      <c r="U510" s="27"/>
      <c r="X510" s="47">
        <v>43396</v>
      </c>
      <c r="Y510" s="48">
        <f t="shared" si="30"/>
        <v>4.5787880762118078</v>
      </c>
      <c r="Z510" s="49"/>
      <c r="AA510" s="49"/>
      <c r="AB510" s="51"/>
      <c r="AE510" s="47">
        <v>43396</v>
      </c>
      <c r="AF510" s="48">
        <f t="shared" si="31"/>
        <v>3.0345156087635541</v>
      </c>
      <c r="AG510" s="49"/>
      <c r="AH510" s="49"/>
      <c r="AI510" s="51"/>
    </row>
    <row r="511" spans="1:35" x14ac:dyDescent="0.3">
      <c r="A511" s="20">
        <v>43391</v>
      </c>
      <c r="C511">
        <f>-(Historical_Simulation!B512-Historical_Simulation!B513)</f>
        <v>1.2924999999999969</v>
      </c>
      <c r="E511">
        <f>-(Historical_Simulation!C512-Historical_Simulation!C513)</f>
        <v>61.009999999999991</v>
      </c>
      <c r="G511">
        <f>-(Historical_Simulation!D512-Historical_Simulation!D513)</f>
        <v>4.5</v>
      </c>
      <c r="J511" s="23">
        <v>43395</v>
      </c>
      <c r="K511" s="24">
        <f t="shared" si="28"/>
        <v>-13.785282363354954</v>
      </c>
      <c r="L511" s="25"/>
      <c r="M511" s="25"/>
      <c r="N511" s="27"/>
      <c r="Q511" s="23">
        <v>43395</v>
      </c>
      <c r="R511" s="24">
        <f t="shared" si="29"/>
        <v>-9.5547031763879779</v>
      </c>
      <c r="S511" s="25"/>
      <c r="T511" s="25"/>
      <c r="U511" s="27"/>
      <c r="X511" s="47">
        <v>43395</v>
      </c>
      <c r="Y511" s="48">
        <f t="shared" si="30"/>
        <v>-2.548210208905036</v>
      </c>
      <c r="Z511" s="49"/>
      <c r="AA511" s="49"/>
      <c r="AB511" s="51"/>
      <c r="AE511" s="47">
        <v>43395</v>
      </c>
      <c r="AF511" s="48">
        <f t="shared" si="31"/>
        <v>-1.8778941378698317</v>
      </c>
      <c r="AG511" s="49"/>
      <c r="AH511" s="49"/>
      <c r="AI511" s="51"/>
    </row>
    <row r="512" spans="1:35" x14ac:dyDescent="0.3">
      <c r="A512" s="20">
        <v>43390</v>
      </c>
      <c r="C512">
        <f>-(Historical_Simulation!B513-Historical_Simulation!B514)</f>
        <v>0.24000000000000199</v>
      </c>
      <c r="E512">
        <f>-(Historical_Simulation!C513-Historical_Simulation!C514)</f>
        <v>-11.769999999999982</v>
      </c>
      <c r="G512">
        <f>-(Historical_Simulation!D513-Historical_Simulation!D514)</f>
        <v>-0.63999999999998636</v>
      </c>
      <c r="J512" s="23">
        <v>43392</v>
      </c>
      <c r="K512" s="24">
        <f t="shared" si="28"/>
        <v>3.2298459496573058</v>
      </c>
      <c r="L512" s="25"/>
      <c r="M512" s="25"/>
      <c r="N512" s="27"/>
      <c r="Q512" s="23">
        <v>43392</v>
      </c>
      <c r="R512" s="24">
        <f t="shared" si="29"/>
        <v>1.9552429361385713</v>
      </c>
      <c r="S512" s="25"/>
      <c r="T512" s="25"/>
      <c r="U512" s="27"/>
      <c r="X512" s="47">
        <v>43392</v>
      </c>
      <c r="Y512" s="48">
        <f t="shared" si="30"/>
        <v>8.6606855153716982</v>
      </c>
      <c r="Z512" s="49"/>
      <c r="AA512" s="49"/>
      <c r="AB512" s="51"/>
      <c r="AE512" s="47">
        <v>43392</v>
      </c>
      <c r="AF512" s="48">
        <f t="shared" si="31"/>
        <v>5.7885084261891722</v>
      </c>
      <c r="AG512" s="49"/>
      <c r="AH512" s="49"/>
      <c r="AI512" s="51"/>
    </row>
    <row r="513" spans="1:35" x14ac:dyDescent="0.3">
      <c r="A513" s="20">
        <v>43389</v>
      </c>
      <c r="C513">
        <f>-(Historical_Simulation!B514-Historical_Simulation!B515)</f>
        <v>-1.197499999999998</v>
      </c>
      <c r="E513">
        <f>-(Historical_Simulation!C514-Historical_Simulation!C515)</f>
        <v>-59.009999999999991</v>
      </c>
      <c r="G513">
        <f>-(Historical_Simulation!D514-Historical_Simulation!D515)</f>
        <v>-5.2599999999999909</v>
      </c>
      <c r="J513" s="23">
        <v>43391</v>
      </c>
      <c r="K513" s="24">
        <f t="shared" si="28"/>
        <v>33.504941830104272</v>
      </c>
      <c r="L513" s="25"/>
      <c r="M513" s="25"/>
      <c r="N513" s="27"/>
      <c r="Q513" s="23">
        <v>43391</v>
      </c>
      <c r="R513" s="24">
        <f t="shared" si="29"/>
        <v>23.373014314656078</v>
      </c>
      <c r="S513" s="25"/>
      <c r="T513" s="25"/>
      <c r="U513" s="27"/>
      <c r="X513" s="47">
        <v>43391</v>
      </c>
      <c r="Y513" s="48">
        <f t="shared" si="30"/>
        <v>19.264327202691405</v>
      </c>
      <c r="Z513" s="49"/>
      <c r="AA513" s="49"/>
      <c r="AB513" s="51"/>
      <c r="AE513" s="47">
        <v>43391</v>
      </c>
      <c r="AF513" s="48">
        <f t="shared" si="31"/>
        <v>13.82119100561424</v>
      </c>
      <c r="AG513" s="49"/>
      <c r="AH513" s="49"/>
      <c r="AI513" s="51"/>
    </row>
    <row r="514" spans="1:35" x14ac:dyDescent="0.3">
      <c r="A514" s="20">
        <v>43388</v>
      </c>
      <c r="C514">
        <f>-(Historical_Simulation!B515-Historical_Simulation!B516)</f>
        <v>1.1875</v>
      </c>
      <c r="E514">
        <f>-(Historical_Simulation!C515-Historical_Simulation!C516)</f>
        <v>27.659999999999854</v>
      </c>
      <c r="G514">
        <f>-(Historical_Simulation!D515-Historical_Simulation!D516)</f>
        <v>0.21999999999999886</v>
      </c>
      <c r="J514" s="23">
        <v>43390</v>
      </c>
      <c r="K514" s="24">
        <f t="shared" si="28"/>
        <v>-6.2383593817482588</v>
      </c>
      <c r="L514" s="25"/>
      <c r="M514" s="25"/>
      <c r="N514" s="27"/>
      <c r="Q514" s="23">
        <v>43390</v>
      </c>
      <c r="R514" s="24">
        <f t="shared" si="29"/>
        <v>-4.2006912030647481</v>
      </c>
      <c r="S514" s="25"/>
      <c r="T514" s="25"/>
      <c r="U514" s="27"/>
      <c r="X514" s="47">
        <v>43390</v>
      </c>
      <c r="Y514" s="48">
        <f t="shared" si="30"/>
        <v>-4.6906961616112888</v>
      </c>
      <c r="Z514" s="49"/>
      <c r="AA514" s="49"/>
      <c r="AB514" s="51"/>
      <c r="AE514" s="47">
        <v>43390</v>
      </c>
      <c r="AF514" s="48">
        <f t="shared" si="31"/>
        <v>-3.1973337755075204</v>
      </c>
      <c r="AG514" s="49"/>
      <c r="AH514" s="49"/>
      <c r="AI514" s="51"/>
    </row>
    <row r="515" spans="1:35" x14ac:dyDescent="0.3">
      <c r="A515" s="20">
        <v>43385</v>
      </c>
      <c r="C515">
        <f>-(Historical_Simulation!B516-Historical_Simulation!B517)</f>
        <v>-1.9150000000000063</v>
      </c>
      <c r="E515">
        <f>-(Historical_Simulation!C516-Historical_Simulation!C517)</f>
        <v>-69.25</v>
      </c>
      <c r="G515">
        <f>-(Historical_Simulation!D516-Historical_Simulation!D517)</f>
        <v>-0.39000000000001478</v>
      </c>
      <c r="J515" s="23">
        <v>43389</v>
      </c>
      <c r="K515" s="24">
        <f t="shared" si="28"/>
        <v>-32.382358597612139</v>
      </c>
      <c r="L515" s="25"/>
      <c r="M515" s="25"/>
      <c r="N515" s="27"/>
      <c r="Q515" s="23">
        <v>43389</v>
      </c>
      <c r="R515" s="24">
        <f t="shared" si="29"/>
        <v>-22.573641563462211</v>
      </c>
      <c r="S515" s="25"/>
      <c r="T515" s="25"/>
      <c r="U515" s="27"/>
      <c r="X515" s="47">
        <v>43389</v>
      </c>
      <c r="Y515" s="48">
        <f t="shared" si="30"/>
        <v>-23.959946768802382</v>
      </c>
      <c r="Z515" s="49"/>
      <c r="AA515" s="49"/>
      <c r="AB515" s="51"/>
      <c r="AE515" s="47">
        <v>43389</v>
      </c>
      <c r="AF515" s="48">
        <f t="shared" si="31"/>
        <v>-17.065873253408487</v>
      </c>
      <c r="AG515" s="49"/>
      <c r="AH515" s="49"/>
      <c r="AI515" s="51"/>
    </row>
    <row r="516" spans="1:35" x14ac:dyDescent="0.3">
      <c r="A516" s="20">
        <v>43384</v>
      </c>
      <c r="C516">
        <f>-(Historical_Simulation!B517-Historical_Simulation!B518)</f>
        <v>0.47750000000000625</v>
      </c>
      <c r="E516">
        <f>-(Historical_Simulation!C517-Historical_Simulation!C518)</f>
        <v>35.8900000000001</v>
      </c>
      <c r="G516">
        <f>-(Historical_Simulation!D517-Historical_Simulation!D518)</f>
        <v>-1.9699999999999989</v>
      </c>
      <c r="J516" s="23">
        <v>43388</v>
      </c>
      <c r="K516" s="24">
        <f t="shared" si="28"/>
        <v>15.467131035248137</v>
      </c>
      <c r="L516" s="25"/>
      <c r="M516" s="25"/>
      <c r="N516" s="27"/>
      <c r="Q516" s="23">
        <v>43388</v>
      </c>
      <c r="R516" s="24">
        <f t="shared" si="29"/>
        <v>10.975692995264872</v>
      </c>
      <c r="S516" s="25"/>
      <c r="T516" s="25"/>
      <c r="U516" s="27"/>
      <c r="X516" s="47">
        <v>43388</v>
      </c>
      <c r="Y516" s="48">
        <f t="shared" si="30"/>
        <v>-4.2334642458624918</v>
      </c>
      <c r="Z516" s="49"/>
      <c r="AA516" s="49"/>
      <c r="AB516" s="51"/>
      <c r="AE516" s="47">
        <v>43388</v>
      </c>
      <c r="AF516" s="48">
        <f t="shared" si="31"/>
        <v>-2.5916141225040636</v>
      </c>
      <c r="AG516" s="49"/>
      <c r="AH516" s="49"/>
      <c r="AI516" s="51"/>
    </row>
    <row r="517" spans="1:35" x14ac:dyDescent="0.3">
      <c r="A517" s="20">
        <v>43383</v>
      </c>
      <c r="C517">
        <f>-(Historical_Simulation!B518-Historical_Simulation!B519)</f>
        <v>2.6274999999999977</v>
      </c>
      <c r="E517">
        <f>-(Historical_Simulation!C518-Historical_Simulation!C519)</f>
        <v>115.06999999999994</v>
      </c>
      <c r="G517">
        <f>-(Historical_Simulation!D518-Historical_Simulation!D519)</f>
        <v>6.5200000000000102</v>
      </c>
      <c r="J517" s="23">
        <v>43385</v>
      </c>
      <c r="K517" s="24">
        <f t="shared" si="28"/>
        <v>-38.236426225646944</v>
      </c>
      <c r="L517" s="25"/>
      <c r="M517" s="25"/>
      <c r="N517" s="27"/>
      <c r="Q517" s="23">
        <v>43385</v>
      </c>
      <c r="R517" s="24">
        <f t="shared" si="29"/>
        <v>-26.812080945742334</v>
      </c>
      <c r="S517" s="25"/>
      <c r="T517" s="25"/>
      <c r="U517" s="27"/>
      <c r="X517" s="47">
        <v>43385</v>
      </c>
      <c r="Y517" s="48">
        <f t="shared" si="30"/>
        <v>6.6296723255196248</v>
      </c>
      <c r="Z517" s="49"/>
      <c r="AA517" s="49"/>
      <c r="AB517" s="51"/>
      <c r="AE517" s="47">
        <v>43385</v>
      </c>
      <c r="AF517" s="48">
        <f t="shared" si="31"/>
        <v>4.0417431905102346</v>
      </c>
      <c r="AG517" s="49"/>
      <c r="AH517" s="49"/>
      <c r="AI517" s="51"/>
    </row>
    <row r="518" spans="1:35" x14ac:dyDescent="0.3">
      <c r="A518" s="20">
        <v>43382</v>
      </c>
      <c r="C518">
        <f>-(Historical_Simulation!B519-Historical_Simulation!B520)</f>
        <v>-0.77499999999999858</v>
      </c>
      <c r="E518">
        <f>-(Historical_Simulation!C519-Historical_Simulation!C520)</f>
        <v>-5.8999999999998636</v>
      </c>
      <c r="G518">
        <f>-(Historical_Simulation!D519-Historical_Simulation!D520)</f>
        <v>-0.65000000000000568</v>
      </c>
      <c r="J518" s="23">
        <v>43384</v>
      </c>
      <c r="K518" s="24">
        <f t="shared" ref="K518:K581" si="32">C516*$K$3+E516*(1-$K$3)</f>
        <v>19.579490142061726</v>
      </c>
      <c r="L518" s="25"/>
      <c r="M518" s="25"/>
      <c r="N518" s="27"/>
      <c r="Q518" s="23">
        <v>43384</v>
      </c>
      <c r="R518" s="24">
        <f t="shared" si="29"/>
        <v>13.571253307954303</v>
      </c>
      <c r="S518" s="25"/>
      <c r="T518" s="25"/>
      <c r="U518" s="27"/>
      <c r="X518" s="47">
        <v>43384</v>
      </c>
      <c r="Y518" s="48">
        <f t="shared" si="30"/>
        <v>-13.235998699481605</v>
      </c>
      <c r="Z518" s="49"/>
      <c r="AA518" s="49"/>
      <c r="AB518" s="51"/>
      <c r="AE518" s="47">
        <v>43384</v>
      </c>
      <c r="AF518" s="48">
        <f t="shared" si="31"/>
        <v>-9.0825845631304372</v>
      </c>
      <c r="AG518" s="49"/>
      <c r="AH518" s="49"/>
      <c r="AI518" s="51"/>
    </row>
    <row r="519" spans="1:35" x14ac:dyDescent="0.3">
      <c r="A519" s="20">
        <v>43381</v>
      </c>
      <c r="C519">
        <f>-(Historical_Simulation!B520-Historical_Simulation!B521)</f>
        <v>0.12999999999999545</v>
      </c>
      <c r="E519">
        <f>-(Historical_Simulation!C520-Historical_Simulation!C521)</f>
        <v>25.230000000000018</v>
      </c>
      <c r="G519">
        <f>-(Historical_Simulation!D520-Historical_Simulation!D521)</f>
        <v>8.0000000000012506E-2</v>
      </c>
      <c r="J519" s="23">
        <v>43383</v>
      </c>
      <c r="K519" s="24">
        <f t="shared" si="32"/>
        <v>63.28053287112651</v>
      </c>
      <c r="L519" s="25"/>
      <c r="M519" s="25"/>
      <c r="N519" s="27"/>
      <c r="Q519" s="23">
        <v>43383</v>
      </c>
      <c r="R519" s="24">
        <f t="shared" ref="R519:R582" si="33">C517*$R$3+E517*(1-$R$3)</f>
        <v>44.203055420533602</v>
      </c>
      <c r="S519" s="25"/>
      <c r="T519" s="25"/>
      <c r="U519" s="27"/>
      <c r="X519" s="47">
        <v>43383</v>
      </c>
      <c r="Y519" s="48">
        <f t="shared" ref="Y519:Y582" si="34">C517*$Y$3+G517*(1-$Y$3)</f>
        <v>24.437425919400297</v>
      </c>
      <c r="Z519" s="49"/>
      <c r="AA519" s="49"/>
      <c r="AB519" s="51"/>
      <c r="AE519" s="47">
        <v>43383</v>
      </c>
      <c r="AF519" s="48">
        <f t="shared" ref="AF519:AF582" si="35">C517*$AF$3+G517*(1-$AF$3)</f>
        <v>17.83184286495824</v>
      </c>
      <c r="AG519" s="49"/>
      <c r="AH519" s="49"/>
      <c r="AI519" s="51"/>
    </row>
    <row r="520" spans="1:35" x14ac:dyDescent="0.3">
      <c r="A520" s="20">
        <v>43378</v>
      </c>
      <c r="C520">
        <f>-(Historical_Simulation!B521-Historical_Simulation!B522)</f>
        <v>0.92500000000000426</v>
      </c>
      <c r="E520">
        <f>-(Historical_Simulation!C521-Historical_Simulation!C522)</f>
        <v>19.769999999999982</v>
      </c>
      <c r="G520">
        <f>-(Historical_Simulation!D521-Historical_Simulation!D522)</f>
        <v>1.5199999999999818</v>
      </c>
      <c r="J520" s="23">
        <v>43382</v>
      </c>
      <c r="K520" s="24">
        <f t="shared" si="32"/>
        <v>-3.5394955729774349</v>
      </c>
      <c r="L520" s="25"/>
      <c r="M520" s="25"/>
      <c r="N520" s="27"/>
      <c r="Q520" s="23">
        <v>43382</v>
      </c>
      <c r="R520" s="24">
        <f t="shared" si="33"/>
        <v>-2.6699660629230855</v>
      </c>
      <c r="S520" s="25"/>
      <c r="T520" s="25"/>
      <c r="U520" s="27"/>
      <c r="X520" s="47">
        <v>43382</v>
      </c>
      <c r="Y520" s="48">
        <f t="shared" si="34"/>
        <v>-7.4617022498425722E-2</v>
      </c>
      <c r="Z520" s="49"/>
      <c r="AA520" s="49"/>
      <c r="AB520" s="51"/>
      <c r="AE520" s="47">
        <v>43382</v>
      </c>
      <c r="AF520" s="48">
        <f t="shared" si="35"/>
        <v>-0.28674236143361043</v>
      </c>
      <c r="AG520" s="49"/>
      <c r="AH520" s="49"/>
      <c r="AI520" s="51"/>
    </row>
    <row r="521" spans="1:35" x14ac:dyDescent="0.3">
      <c r="A521" s="20">
        <v>43377</v>
      </c>
      <c r="C521">
        <f>-(Historical_Simulation!B522-Historical_Simulation!B523)</f>
        <v>1.019999999999996</v>
      </c>
      <c r="E521">
        <f>-(Historical_Simulation!C522-Historical_Simulation!C523)</f>
        <v>43.339999999999918</v>
      </c>
      <c r="G521">
        <f>-(Historical_Simulation!D522-Historical_Simulation!D523)</f>
        <v>3.5800000000000125</v>
      </c>
      <c r="J521" s="23">
        <v>43381</v>
      </c>
      <c r="K521" s="24">
        <f t="shared" si="32"/>
        <v>13.669285635460588</v>
      </c>
      <c r="L521" s="25"/>
      <c r="M521" s="25"/>
      <c r="N521" s="27"/>
      <c r="Q521" s="23">
        <v>43381</v>
      </c>
      <c r="R521" s="24">
        <f t="shared" si="33"/>
        <v>9.4107118398772212</v>
      </c>
      <c r="S521" s="25"/>
      <c r="T521" s="25"/>
      <c r="U521" s="27"/>
      <c r="X521" s="47">
        <v>43381</v>
      </c>
      <c r="Y521" s="48">
        <f t="shared" si="34"/>
        <v>-0.15015319100055424</v>
      </c>
      <c r="Z521" s="49"/>
      <c r="AA521" s="49"/>
      <c r="AB521" s="51"/>
      <c r="AE521" s="47">
        <v>43381</v>
      </c>
      <c r="AF521" s="48">
        <f t="shared" si="35"/>
        <v>-6.5303055426504275E-2</v>
      </c>
      <c r="AG521" s="49"/>
      <c r="AH521" s="49"/>
      <c r="AI521" s="51"/>
    </row>
    <row r="522" spans="1:35" x14ac:dyDescent="0.3">
      <c r="A522" s="20">
        <v>43376</v>
      </c>
      <c r="C522">
        <f>-(Historical_Simulation!B523-Historical_Simulation!B524)</f>
        <v>-0.69749999999999801</v>
      </c>
      <c r="E522">
        <f>-(Historical_Simulation!C523-Historical_Simulation!C524)</f>
        <v>18.549999999999955</v>
      </c>
      <c r="G522">
        <f>-(Historical_Simulation!D523-Historical_Simulation!D524)</f>
        <v>-3.0999999999999943</v>
      </c>
      <c r="J522" s="23">
        <v>43378</v>
      </c>
      <c r="K522" s="24">
        <f t="shared" si="32"/>
        <v>11.090252502002169</v>
      </c>
      <c r="L522" s="25"/>
      <c r="M522" s="25"/>
      <c r="N522" s="27"/>
      <c r="Q522" s="23">
        <v>43378</v>
      </c>
      <c r="R522" s="24">
        <f t="shared" si="33"/>
        <v>7.8929288694217554</v>
      </c>
      <c r="S522" s="25"/>
      <c r="T522" s="25"/>
      <c r="U522" s="27"/>
      <c r="X522" s="47">
        <v>43378</v>
      </c>
      <c r="Y522" s="48">
        <f t="shared" si="34"/>
        <v>4.2588229729075566</v>
      </c>
      <c r="Z522" s="49"/>
      <c r="AA522" s="49"/>
      <c r="AB522" s="51"/>
      <c r="AE522" s="47">
        <v>43378</v>
      </c>
      <c r="AF522" s="48">
        <f t="shared" si="35"/>
        <v>3.2491063595760559</v>
      </c>
      <c r="AG522" s="49"/>
      <c r="AH522" s="49"/>
      <c r="AI522" s="51"/>
    </row>
    <row r="523" spans="1:35" x14ac:dyDescent="0.3">
      <c r="A523" s="20">
        <v>43375</v>
      </c>
      <c r="C523">
        <f>-(Historical_Simulation!B524-Historical_Simulation!B525)</f>
        <v>-0.50500000000000256</v>
      </c>
      <c r="E523">
        <f>-(Historical_Simulation!C524-Historical_Simulation!C525)</f>
        <v>33.049999999999955</v>
      </c>
      <c r="G523">
        <f>-(Historical_Simulation!D524-Historical_Simulation!D525)</f>
        <v>3.1099999999999852</v>
      </c>
      <c r="J523" s="23">
        <v>43377</v>
      </c>
      <c r="K523" s="24">
        <f t="shared" si="32"/>
        <v>23.847990760664967</v>
      </c>
      <c r="L523" s="25"/>
      <c r="M523" s="25"/>
      <c r="N523" s="27"/>
      <c r="Q523" s="23">
        <v>43377</v>
      </c>
      <c r="R523" s="24">
        <f t="shared" si="33"/>
        <v>16.667797811298925</v>
      </c>
      <c r="S523" s="25"/>
      <c r="T523" s="25"/>
      <c r="U523" s="27"/>
      <c r="X523" s="47">
        <v>43377</v>
      </c>
      <c r="Y523" s="48">
        <f t="shared" si="34"/>
        <v>15.363843379233124</v>
      </c>
      <c r="Z523" s="49"/>
      <c r="AA523" s="49"/>
      <c r="AB523" s="51"/>
      <c r="AE523" s="47">
        <v>43377</v>
      </c>
      <c r="AF523" s="48">
        <f t="shared" si="35"/>
        <v>11.019516437840259</v>
      </c>
      <c r="AG523" s="49"/>
      <c r="AH523" s="49"/>
      <c r="AI523" s="51"/>
    </row>
    <row r="524" spans="1:35" x14ac:dyDescent="0.3">
      <c r="A524" s="20">
        <v>43374</v>
      </c>
      <c r="C524">
        <f>-(Historical_Simulation!B525-Historical_Simulation!B526)</f>
        <v>-0.37999999999999545</v>
      </c>
      <c r="E524">
        <f>-(Historical_Simulation!C525-Historical_Simulation!C526)</f>
        <v>-1.3599999999999</v>
      </c>
      <c r="G524">
        <f>-(Historical_Simulation!D525-Historical_Simulation!D526)</f>
        <v>2.0200000000000102</v>
      </c>
      <c r="J524" s="23">
        <v>43376</v>
      </c>
      <c r="K524" s="24">
        <f t="shared" si="32"/>
        <v>9.6848665445628264</v>
      </c>
      <c r="L524" s="25"/>
      <c r="M524" s="25"/>
      <c r="N524" s="27"/>
      <c r="Q524" s="23">
        <v>43376</v>
      </c>
      <c r="R524" s="24">
        <f t="shared" si="33"/>
        <v>6.4192530333879017</v>
      </c>
      <c r="S524" s="25"/>
      <c r="T524" s="25"/>
      <c r="U524" s="27"/>
      <c r="X524" s="47">
        <v>43376</v>
      </c>
      <c r="Y524" s="48">
        <f t="shared" si="34"/>
        <v>-14.15886082758098</v>
      </c>
      <c r="Z524" s="49"/>
      <c r="AA524" s="49"/>
      <c r="AB524" s="51"/>
      <c r="AE524" s="47">
        <v>43376</v>
      </c>
      <c r="AF524" s="48">
        <f t="shared" si="35"/>
        <v>-10.081811813246496</v>
      </c>
      <c r="AG524" s="49"/>
      <c r="AH524" s="49"/>
      <c r="AI524" s="51"/>
    </row>
    <row r="525" spans="1:35" x14ac:dyDescent="0.3">
      <c r="A525" s="20">
        <v>43371</v>
      </c>
      <c r="C525">
        <f>-(Historical_Simulation!B526-Historical_Simulation!B527)</f>
        <v>-0.19750000000000512</v>
      </c>
      <c r="E525">
        <f>-(Historical_Simulation!C526-Historical_Simulation!C527)</f>
        <v>9.9800000000000182</v>
      </c>
      <c r="G525">
        <f>-(Historical_Simulation!D526-Historical_Simulation!D527)</f>
        <v>4.3799999999999955</v>
      </c>
      <c r="J525" s="23">
        <v>43375</v>
      </c>
      <c r="K525" s="24">
        <f t="shared" si="32"/>
        <v>17.595029063660522</v>
      </c>
      <c r="L525" s="25"/>
      <c r="M525" s="25"/>
      <c r="N525" s="27"/>
      <c r="Q525" s="23">
        <v>43375</v>
      </c>
      <c r="R525" s="24">
        <f t="shared" si="33"/>
        <v>11.90194365685576</v>
      </c>
      <c r="S525" s="25"/>
      <c r="T525" s="25"/>
      <c r="U525" s="27"/>
      <c r="X525" s="47">
        <v>43375</v>
      </c>
      <c r="Y525" s="48">
        <f t="shared" si="34"/>
        <v>19.750075709346579</v>
      </c>
      <c r="Z525" s="49"/>
      <c r="AA525" s="49"/>
      <c r="AB525" s="51"/>
      <c r="AE525" s="47">
        <v>43375</v>
      </c>
      <c r="AF525" s="48">
        <f t="shared" si="35"/>
        <v>13.615410907340697</v>
      </c>
      <c r="AG525" s="49"/>
      <c r="AH525" s="49"/>
      <c r="AI525" s="51"/>
    </row>
    <row r="526" spans="1:35" x14ac:dyDescent="0.3">
      <c r="A526" s="20">
        <v>43370</v>
      </c>
      <c r="C526">
        <f>-(Historical_Simulation!B527-Historical_Simulation!B528)</f>
        <v>-1.1325000000000003</v>
      </c>
      <c r="E526">
        <f>-(Historical_Simulation!C527-Historical_Simulation!C528)</f>
        <v>-38.130000000000109</v>
      </c>
      <c r="G526">
        <f>-(Historical_Simulation!D527-Historical_Simulation!D528)</f>
        <v>-1.8900000000000148</v>
      </c>
      <c r="J526" s="23">
        <v>43374</v>
      </c>
      <c r="K526" s="24">
        <f t="shared" si="32"/>
        <v>-0.90862549493027744</v>
      </c>
      <c r="L526" s="25"/>
      <c r="M526" s="25"/>
      <c r="N526" s="27"/>
      <c r="Q526" s="23">
        <v>43374</v>
      </c>
      <c r="R526" s="24">
        <f t="shared" si="33"/>
        <v>-0.74235448617843314</v>
      </c>
      <c r="S526" s="25"/>
      <c r="T526" s="25"/>
      <c r="U526" s="27"/>
      <c r="X526" s="47">
        <v>43374</v>
      </c>
      <c r="Y526" s="48">
        <f t="shared" si="34"/>
        <v>13.067353168031007</v>
      </c>
      <c r="Z526" s="49"/>
      <c r="AA526" s="49"/>
      <c r="AB526" s="51"/>
      <c r="AE526" s="47">
        <v>43374</v>
      </c>
      <c r="AF526" s="48">
        <f t="shared" si="35"/>
        <v>8.994546660475212</v>
      </c>
      <c r="AG526" s="49"/>
      <c r="AH526" s="49"/>
      <c r="AI526" s="51"/>
    </row>
    <row r="527" spans="1:35" x14ac:dyDescent="0.3">
      <c r="A527" s="20">
        <v>43369</v>
      </c>
      <c r="C527">
        <f>-(Historical_Simulation!B528-Historical_Simulation!B529)</f>
        <v>0.44250000000000256</v>
      </c>
      <c r="E527">
        <f>-(Historical_Simulation!C528-Historical_Simulation!C529)</f>
        <v>-0.29999999999995453</v>
      </c>
      <c r="G527">
        <f>-(Historical_Simulation!D528-Historical_Simulation!D529)</f>
        <v>-2.039999999999992</v>
      </c>
      <c r="J527" s="23">
        <v>43371</v>
      </c>
      <c r="K527" s="24">
        <f t="shared" si="32"/>
        <v>5.2923836476055879</v>
      </c>
      <c r="L527" s="25"/>
      <c r="M527" s="25"/>
      <c r="N527" s="27"/>
      <c r="Q527" s="23">
        <v>43371</v>
      </c>
      <c r="R527" s="24">
        <f t="shared" si="33"/>
        <v>3.565625288858584</v>
      </c>
      <c r="S527" s="25"/>
      <c r="T527" s="25"/>
      <c r="U527" s="27"/>
      <c r="X527" s="47">
        <v>43371</v>
      </c>
      <c r="Y527" s="48">
        <f t="shared" si="34"/>
        <v>25.450524636109066</v>
      </c>
      <c r="Z527" s="49"/>
      <c r="AA527" s="49"/>
      <c r="AB527" s="51"/>
      <c r="AE527" s="47">
        <v>43371</v>
      </c>
      <c r="AF527" s="48">
        <f t="shared" si="35"/>
        <v>17.682494724302149</v>
      </c>
      <c r="AG527" s="49"/>
      <c r="AH527" s="49"/>
      <c r="AI527" s="51"/>
    </row>
    <row r="528" spans="1:35" x14ac:dyDescent="0.3">
      <c r="A528" s="20">
        <v>43368</v>
      </c>
      <c r="C528">
        <f>-(Historical_Simulation!B529-Historical_Simulation!B530)</f>
        <v>-0.35000000000000142</v>
      </c>
      <c r="E528">
        <f>-(Historical_Simulation!C529-Historical_Simulation!C530)</f>
        <v>-40.190000000000055</v>
      </c>
      <c r="G528">
        <f>-(Historical_Simulation!D529-Historical_Simulation!D530)</f>
        <v>0.5</v>
      </c>
      <c r="J528" s="23">
        <v>43370</v>
      </c>
      <c r="K528" s="24">
        <f t="shared" si="32"/>
        <v>-21.089460968045987</v>
      </c>
      <c r="L528" s="25"/>
      <c r="M528" s="25"/>
      <c r="N528" s="27"/>
      <c r="Q528" s="23">
        <v>43370</v>
      </c>
      <c r="R528" s="24">
        <f t="shared" si="33"/>
        <v>-14.812306226926628</v>
      </c>
      <c r="S528" s="25"/>
      <c r="T528" s="25"/>
      <c r="U528" s="27"/>
      <c r="X528" s="47">
        <v>43370</v>
      </c>
      <c r="Y528" s="48">
        <f t="shared" si="34"/>
        <v>-5.3768208436598561</v>
      </c>
      <c r="Z528" s="49"/>
      <c r="AA528" s="49"/>
      <c r="AB528" s="51"/>
      <c r="AE528" s="47">
        <v>43370</v>
      </c>
      <c r="AF528" s="48">
        <f t="shared" si="35"/>
        <v>-4.0913412897125374</v>
      </c>
      <c r="AG528" s="49"/>
      <c r="AH528" s="49"/>
      <c r="AI528" s="51"/>
    </row>
    <row r="529" spans="1:35" x14ac:dyDescent="0.3">
      <c r="A529" s="20">
        <v>43367</v>
      </c>
      <c r="C529">
        <f>-(Historical_Simulation!B530-Historical_Simulation!B531)</f>
        <v>-0.78249999999999886</v>
      </c>
      <c r="E529">
        <f>-(Historical_Simulation!C530-Historical_Simulation!C531)</f>
        <v>-19.349999999999909</v>
      </c>
      <c r="G529">
        <f>-(Historical_Simulation!D530-Historical_Simulation!D531)</f>
        <v>-2.4799999999999898</v>
      </c>
      <c r="J529" s="23">
        <v>43369</v>
      </c>
      <c r="K529" s="24">
        <f t="shared" si="32"/>
        <v>4.198527552474754E-2</v>
      </c>
      <c r="L529" s="25"/>
      <c r="M529" s="25"/>
      <c r="N529" s="27"/>
      <c r="Q529" s="23">
        <v>43369</v>
      </c>
      <c r="R529" s="24">
        <f t="shared" si="33"/>
        <v>0.16796101429847127</v>
      </c>
      <c r="S529" s="25"/>
      <c r="T529" s="25"/>
      <c r="U529" s="27"/>
      <c r="X529" s="47">
        <v>43369</v>
      </c>
      <c r="Y529" s="48">
        <f t="shared" si="34"/>
        <v>-13.467105933182003</v>
      </c>
      <c r="Z529" s="49"/>
      <c r="AA529" s="49"/>
      <c r="AB529" s="51"/>
      <c r="AE529" s="47">
        <v>43369</v>
      </c>
      <c r="AF529" s="48">
        <f t="shared" si="35"/>
        <v>-9.2542967019289968</v>
      </c>
      <c r="AG529" s="49"/>
      <c r="AH529" s="49"/>
      <c r="AI529" s="51"/>
    </row>
    <row r="530" spans="1:35" x14ac:dyDescent="0.3">
      <c r="A530" s="20">
        <v>43364</v>
      </c>
      <c r="C530">
        <f>-(Historical_Simulation!B531-Historical_Simulation!B532)</f>
        <v>0.59250000000000114</v>
      </c>
      <c r="E530">
        <f>-(Historical_Simulation!C531-Historical_Simulation!C532)</f>
        <v>29.289999999999964</v>
      </c>
      <c r="G530">
        <f>-(Historical_Simulation!D531-Historical_Simulation!D532)</f>
        <v>3.0900000000000034</v>
      </c>
      <c r="J530" s="23">
        <v>43368</v>
      </c>
      <c r="K530" s="24">
        <f t="shared" si="32"/>
        <v>-21.840244610229092</v>
      </c>
      <c r="L530" s="25"/>
      <c r="M530" s="25"/>
      <c r="N530" s="27"/>
      <c r="Q530" s="23">
        <v>43368</v>
      </c>
      <c r="R530" s="24">
        <f t="shared" si="33"/>
        <v>-15.080819111582027</v>
      </c>
      <c r="S530" s="25"/>
      <c r="T530" s="25"/>
      <c r="U530" s="27"/>
      <c r="X530" s="47">
        <v>43368</v>
      </c>
      <c r="Y530" s="48">
        <f t="shared" si="34"/>
        <v>4.4126042470109752</v>
      </c>
      <c r="Z530" s="49"/>
      <c r="AA530" s="49"/>
      <c r="AB530" s="51"/>
      <c r="AE530" s="47">
        <v>43368</v>
      </c>
      <c r="AF530" s="48">
        <f t="shared" si="35"/>
        <v>2.9701519422516323</v>
      </c>
      <c r="AG530" s="49"/>
      <c r="AH530" s="49"/>
      <c r="AI530" s="51"/>
    </row>
    <row r="531" spans="1:35" x14ac:dyDescent="0.3">
      <c r="A531" s="20">
        <v>43363</v>
      </c>
      <c r="C531">
        <f>-(Historical_Simulation!B532-Historical_Simulation!B533)</f>
        <v>-0.41499999999999915</v>
      </c>
      <c r="E531">
        <f>-(Historical_Simulation!C532-Historical_Simulation!C533)</f>
        <v>-17.879999999999882</v>
      </c>
      <c r="G531">
        <f>-(Historical_Simulation!D532-Historical_Simulation!D533)</f>
        <v>-2.960000000000008</v>
      </c>
      <c r="J531" s="23">
        <v>43367</v>
      </c>
      <c r="K531" s="24">
        <f t="shared" si="32"/>
        <v>-10.798065180733589</v>
      </c>
      <c r="L531" s="25"/>
      <c r="M531" s="25"/>
      <c r="N531" s="27"/>
      <c r="Q531" s="23">
        <v>43367</v>
      </c>
      <c r="R531" s="24">
        <f t="shared" si="33"/>
        <v>-7.6478233899171064</v>
      </c>
      <c r="S531" s="25"/>
      <c r="T531" s="25"/>
      <c r="U531" s="27"/>
      <c r="X531" s="47">
        <v>43367</v>
      </c>
      <c r="Y531" s="48">
        <f t="shared" si="34"/>
        <v>-10.293700834471853</v>
      </c>
      <c r="Z531" s="49"/>
      <c r="AA531" s="49"/>
      <c r="AB531" s="51"/>
      <c r="AE531" s="47">
        <v>43367</v>
      </c>
      <c r="AF531" s="48">
        <f t="shared" si="35"/>
        <v>-7.4130387317318913</v>
      </c>
      <c r="AG531" s="49"/>
      <c r="AH531" s="49"/>
      <c r="AI531" s="51"/>
    </row>
    <row r="532" spans="1:35" x14ac:dyDescent="0.3">
      <c r="A532" s="20">
        <v>43362</v>
      </c>
      <c r="C532">
        <f>-(Historical_Simulation!B533-Historical_Simulation!B534)</f>
        <v>-3.2499999999998863E-2</v>
      </c>
      <c r="E532">
        <f>-(Historical_Simulation!C533-Historical_Simulation!C534)</f>
        <v>14.629999999999882</v>
      </c>
      <c r="G532">
        <f>-(Historical_Simulation!D533-Historical_Simulation!D534)</f>
        <v>-2.7599999999999909</v>
      </c>
      <c r="J532" s="23">
        <v>43364</v>
      </c>
      <c r="K532" s="24">
        <f t="shared" si="32"/>
        <v>16.072326674248188</v>
      </c>
      <c r="L532" s="25"/>
      <c r="M532" s="25"/>
      <c r="N532" s="27"/>
      <c r="Q532" s="23">
        <v>43364</v>
      </c>
      <c r="R532" s="24">
        <f t="shared" si="33"/>
        <v>11.203385578680322</v>
      </c>
      <c r="S532" s="25"/>
      <c r="T532" s="25"/>
      <c r="U532" s="27"/>
      <c r="X532" s="47">
        <v>43364</v>
      </c>
      <c r="Y532" s="48">
        <f t="shared" si="34"/>
        <v>14.586151890482245</v>
      </c>
      <c r="Z532" s="49"/>
      <c r="AA532" s="49"/>
      <c r="AB532" s="51"/>
      <c r="AE532" s="47">
        <v>43364</v>
      </c>
      <c r="AF532" s="48">
        <f t="shared" si="35"/>
        <v>10.347887618556999</v>
      </c>
      <c r="AG532" s="49"/>
      <c r="AH532" s="49"/>
      <c r="AI532" s="51"/>
    </row>
    <row r="533" spans="1:35" x14ac:dyDescent="0.3">
      <c r="A533" s="20">
        <v>43361</v>
      </c>
      <c r="C533">
        <f>-(Historical_Simulation!B534-Historical_Simulation!B535)</f>
        <v>-9.0000000000003411E-2</v>
      </c>
      <c r="E533">
        <f>-(Historical_Simulation!C534-Historical_Simulation!C535)</f>
        <v>-33.019999999999982</v>
      </c>
      <c r="G533">
        <f>-(Historical_Simulation!D534-Historical_Simulation!D535)</f>
        <v>0.28000000000000114</v>
      </c>
      <c r="J533" s="23">
        <v>43363</v>
      </c>
      <c r="K533" s="24">
        <f t="shared" si="32"/>
        <v>-9.8358614989369499</v>
      </c>
      <c r="L533" s="25"/>
      <c r="M533" s="25"/>
      <c r="N533" s="27"/>
      <c r="Q533" s="23">
        <v>43363</v>
      </c>
      <c r="R533" s="24">
        <f t="shared" si="33"/>
        <v>-6.8726745929663142</v>
      </c>
      <c r="S533" s="25"/>
      <c r="T533" s="25"/>
      <c r="U533" s="27"/>
      <c r="X533" s="47">
        <v>43363</v>
      </c>
      <c r="Y533" s="48">
        <f t="shared" si="34"/>
        <v>-14.67479742193289</v>
      </c>
      <c r="Z533" s="49"/>
      <c r="AA533" s="49"/>
      <c r="AB533" s="51"/>
      <c r="AE533" s="47">
        <v>43363</v>
      </c>
      <c r="AF533" s="48">
        <f t="shared" si="35"/>
        <v>-10.355925521212262</v>
      </c>
      <c r="AG533" s="49"/>
      <c r="AH533" s="49"/>
      <c r="AI533" s="51"/>
    </row>
    <row r="534" spans="1:35" x14ac:dyDescent="0.3">
      <c r="A534" s="20">
        <v>43360</v>
      </c>
      <c r="C534">
        <f>-(Historical_Simulation!B535-Historical_Simulation!B536)</f>
        <v>1.490000000000002</v>
      </c>
      <c r="E534">
        <f>-(Historical_Simulation!C535-Historical_Simulation!C536)</f>
        <v>62.160000000000082</v>
      </c>
      <c r="G534">
        <f>-(Historical_Simulation!D535-Historical_Simulation!D536)</f>
        <v>1.7399999999999807</v>
      </c>
      <c r="J534" s="23">
        <v>43362</v>
      </c>
      <c r="K534" s="24">
        <f t="shared" si="32"/>
        <v>7.8766544075672984</v>
      </c>
      <c r="L534" s="25"/>
      <c r="M534" s="25"/>
      <c r="N534" s="27"/>
      <c r="Q534" s="23">
        <v>43362</v>
      </c>
      <c r="R534" s="24">
        <f t="shared" si="33"/>
        <v>5.3889516873385901</v>
      </c>
      <c r="S534" s="25"/>
      <c r="T534" s="25"/>
      <c r="U534" s="27"/>
      <c r="X534" s="47">
        <v>43362</v>
      </c>
      <c r="Y534" s="48">
        <f t="shared" si="34"/>
        <v>-15.314856569085151</v>
      </c>
      <c r="Z534" s="49"/>
      <c r="AA534" s="49"/>
      <c r="AB534" s="51"/>
      <c r="AE534" s="47">
        <v>43362</v>
      </c>
      <c r="AF534" s="48">
        <f t="shared" si="35"/>
        <v>-10.686281673519163</v>
      </c>
      <c r="AG534" s="49"/>
      <c r="AH534" s="49"/>
      <c r="AI534" s="51"/>
    </row>
    <row r="535" spans="1:35" x14ac:dyDescent="0.3">
      <c r="A535" s="20">
        <v>43357</v>
      </c>
      <c r="C535">
        <f>-(Historical_Simulation!B536-Historical_Simulation!B537)</f>
        <v>0.64249999999999829</v>
      </c>
      <c r="E535">
        <f>-(Historical_Simulation!C536-Historical_Simulation!C537)</f>
        <v>19.679999999999836</v>
      </c>
      <c r="G535">
        <f>-(Historical_Simulation!D536-Historical_Simulation!D537)</f>
        <v>-0.95999999999997954</v>
      </c>
      <c r="J535" s="23">
        <v>43361</v>
      </c>
      <c r="K535" s="24">
        <f t="shared" si="32"/>
        <v>-17.852895457199867</v>
      </c>
      <c r="L535" s="25"/>
      <c r="M535" s="25"/>
      <c r="N535" s="27"/>
      <c r="Q535" s="23">
        <v>43361</v>
      </c>
      <c r="R535" s="24">
        <f t="shared" si="33"/>
        <v>-12.265850234548074</v>
      </c>
      <c r="S535" s="25"/>
      <c r="T535" s="25"/>
      <c r="U535" s="27"/>
      <c r="X535" s="47">
        <v>43361</v>
      </c>
      <c r="Y535" s="48">
        <f t="shared" si="34"/>
        <v>1.9831336134047965</v>
      </c>
      <c r="Z535" s="49"/>
      <c r="AA535" s="49"/>
      <c r="AB535" s="51"/>
      <c r="AE535" s="47">
        <v>43361</v>
      </c>
      <c r="AF535" s="48">
        <f t="shared" si="35"/>
        <v>1.3552426101566053</v>
      </c>
      <c r="AG535" s="49"/>
      <c r="AH535" s="49"/>
      <c r="AI535" s="51"/>
    </row>
    <row r="536" spans="1:35" x14ac:dyDescent="0.3">
      <c r="A536" s="20">
        <v>43356</v>
      </c>
      <c r="C536">
        <f>-(Historical_Simulation!B537-Historical_Simulation!B538)</f>
        <v>-1.3350000000000009</v>
      </c>
      <c r="E536">
        <f>-(Historical_Simulation!C537-Historical_Simulation!C538)</f>
        <v>0.13000000000010914</v>
      </c>
      <c r="G536">
        <f>-(Historical_Simulation!D537-Historical_Simulation!D538)</f>
        <v>0.63999999999998636</v>
      </c>
      <c r="J536" s="23">
        <v>43360</v>
      </c>
      <c r="K536" s="24">
        <f t="shared" si="32"/>
        <v>34.216233446350387</v>
      </c>
      <c r="L536" s="25"/>
      <c r="M536" s="25"/>
      <c r="N536" s="27"/>
      <c r="Q536" s="23">
        <v>43360</v>
      </c>
      <c r="R536" s="24">
        <f t="shared" si="33"/>
        <v>23.922700690253048</v>
      </c>
      <c r="S536" s="25"/>
      <c r="T536" s="25"/>
      <c r="U536" s="27"/>
      <c r="X536" s="47">
        <v>43360</v>
      </c>
      <c r="Y536" s="48">
        <f t="shared" si="34"/>
        <v>2.8907659550031086</v>
      </c>
      <c r="Z536" s="49"/>
      <c r="AA536" s="49"/>
      <c r="AB536" s="51"/>
      <c r="AE536" s="47">
        <v>43360</v>
      </c>
      <c r="AF536" s="48">
        <f t="shared" si="35"/>
        <v>2.4665152771327499</v>
      </c>
      <c r="AG536" s="49"/>
      <c r="AH536" s="49"/>
      <c r="AI536" s="51"/>
    </row>
    <row r="537" spans="1:35" x14ac:dyDescent="0.3">
      <c r="A537" s="20">
        <v>43355</v>
      </c>
      <c r="C537">
        <f>-(Historical_Simulation!B538-Historical_Simulation!B539)</f>
        <v>0.69500000000000028</v>
      </c>
      <c r="E537">
        <f>-(Historical_Simulation!C538-Historical_Simulation!C539)</f>
        <v>-2.8499999999999091</v>
      </c>
      <c r="G537">
        <f>-(Historical_Simulation!D538-Historical_Simulation!D539)</f>
        <v>3.9399999999999977</v>
      </c>
      <c r="J537" s="23">
        <v>43357</v>
      </c>
      <c r="K537" s="24">
        <f t="shared" si="32"/>
        <v>10.911589652791974</v>
      </c>
      <c r="L537" s="25"/>
      <c r="M537" s="25"/>
      <c r="N537" s="27"/>
      <c r="Q537" s="23">
        <v>43357</v>
      </c>
      <c r="R537" s="24">
        <f t="shared" si="33"/>
        <v>7.6816056434924693</v>
      </c>
      <c r="S537" s="25"/>
      <c r="T537" s="25"/>
      <c r="U537" s="27"/>
      <c r="X537" s="47">
        <v>43357</v>
      </c>
      <c r="Y537" s="48">
        <f t="shared" si="34"/>
        <v>-8.3364097715705565</v>
      </c>
      <c r="Z537" s="49"/>
      <c r="AA537" s="49"/>
      <c r="AB537" s="51"/>
      <c r="AE537" s="47">
        <v>43357</v>
      </c>
      <c r="AF537" s="48">
        <f t="shared" si="35"/>
        <v>-5.6169629264213672</v>
      </c>
      <c r="AG537" s="49"/>
      <c r="AH537" s="49"/>
      <c r="AI537" s="51"/>
    </row>
    <row r="538" spans="1:35" x14ac:dyDescent="0.3">
      <c r="A538" s="20">
        <v>43354</v>
      </c>
      <c r="C538">
        <f>-(Historical_Simulation!B539-Historical_Simulation!B540)</f>
        <v>-1.3799999999999955</v>
      </c>
      <c r="E538">
        <f>-(Historical_Simulation!C539-Historical_Simulation!C540)</f>
        <v>-48.1400000000001</v>
      </c>
      <c r="G538">
        <f>-(Historical_Simulation!D539-Historical_Simulation!D540)</f>
        <v>-1.7599999999999909</v>
      </c>
      <c r="J538" s="23">
        <v>43356</v>
      </c>
      <c r="K538" s="24">
        <f t="shared" si="32"/>
        <v>-0.54475882645612672</v>
      </c>
      <c r="L538" s="25"/>
      <c r="M538" s="25"/>
      <c r="N538" s="27"/>
      <c r="Q538" s="23">
        <v>43356</v>
      </c>
      <c r="R538" s="24">
        <f t="shared" si="33"/>
        <v>-0.7933170181107122</v>
      </c>
      <c r="S538" s="25"/>
      <c r="T538" s="25"/>
      <c r="U538" s="27"/>
      <c r="X538" s="47">
        <v>43356</v>
      </c>
      <c r="Y538" s="48">
        <f t="shared" si="34"/>
        <v>9.7310510445254135</v>
      </c>
      <c r="Z538" s="49"/>
      <c r="AA538" s="49"/>
      <c r="AB538" s="51"/>
      <c r="AE538" s="47">
        <v>43356</v>
      </c>
      <c r="AF538" s="48">
        <f t="shared" si="35"/>
        <v>6.3794706893493203</v>
      </c>
      <c r="AG538" s="49"/>
      <c r="AH538" s="49"/>
      <c r="AI538" s="51"/>
    </row>
    <row r="539" spans="1:35" x14ac:dyDescent="0.3">
      <c r="A539" s="20">
        <v>43353</v>
      </c>
      <c r="C539">
        <f>-(Historical_Simulation!B540-Historical_Simulation!B541)</f>
        <v>0.74249999999999972</v>
      </c>
      <c r="E539">
        <f>-(Historical_Simulation!C540-Historical_Simulation!C541)</f>
        <v>13.059999999999945</v>
      </c>
      <c r="G539">
        <f>-(Historical_Simulation!D540-Historical_Simulation!D541)</f>
        <v>-1.1400000000000148</v>
      </c>
      <c r="J539" s="23">
        <v>43355</v>
      </c>
      <c r="K539" s="24">
        <f t="shared" si="32"/>
        <v>-1.2172218158448813</v>
      </c>
      <c r="L539" s="25"/>
      <c r="M539" s="25"/>
      <c r="N539" s="27"/>
      <c r="Q539" s="23">
        <v>43355</v>
      </c>
      <c r="R539" s="24">
        <f t="shared" si="33"/>
        <v>-0.61576189132923864</v>
      </c>
      <c r="S539" s="25"/>
      <c r="T539" s="25"/>
      <c r="U539" s="27"/>
      <c r="X539" s="47">
        <v>43355</v>
      </c>
      <c r="Y539" s="48">
        <f t="shared" si="34"/>
        <v>18.87694209594186</v>
      </c>
      <c r="Z539" s="49"/>
      <c r="AA539" s="49"/>
      <c r="AB539" s="51"/>
      <c r="AE539" s="47">
        <v>43355</v>
      </c>
      <c r="AF539" s="48">
        <f t="shared" si="35"/>
        <v>13.370168297184147</v>
      </c>
      <c r="AG539" s="49"/>
      <c r="AH539" s="49"/>
      <c r="AI539" s="51"/>
    </row>
    <row r="540" spans="1:35" x14ac:dyDescent="0.3">
      <c r="A540" s="20">
        <v>43350</v>
      </c>
      <c r="C540">
        <f>-(Historical_Simulation!B541-Historical_Simulation!B542)</f>
        <v>0.44999999999999574</v>
      </c>
      <c r="E540">
        <f>-(Historical_Simulation!C541-Historical_Simulation!C542)</f>
        <v>6.2400000000000091</v>
      </c>
      <c r="G540">
        <f>-(Historical_Simulation!D541-Historical_Simulation!D542)</f>
        <v>-0.50999999999999091</v>
      </c>
      <c r="J540" s="23">
        <v>43354</v>
      </c>
      <c r="K540" s="24">
        <f t="shared" si="32"/>
        <v>-26.602987900961676</v>
      </c>
      <c r="L540" s="25"/>
      <c r="M540" s="25"/>
      <c r="N540" s="27"/>
      <c r="Q540" s="23">
        <v>43354</v>
      </c>
      <c r="R540" s="24">
        <f t="shared" si="33"/>
        <v>-18.669485483372892</v>
      </c>
      <c r="S540" s="25"/>
      <c r="T540" s="25"/>
      <c r="U540" s="27"/>
      <c r="X540" s="47">
        <v>43354</v>
      </c>
      <c r="Y540" s="48">
        <f t="shared" si="34"/>
        <v>-3.509164251604874</v>
      </c>
      <c r="Z540" s="49"/>
      <c r="AA540" s="49"/>
      <c r="AB540" s="51"/>
      <c r="AE540" s="47">
        <v>43354</v>
      </c>
      <c r="AF540" s="48">
        <f t="shared" si="35"/>
        <v>-2.8643032212418822</v>
      </c>
      <c r="AG540" s="49"/>
      <c r="AH540" s="49"/>
      <c r="AI540" s="51"/>
    </row>
    <row r="541" spans="1:35" x14ac:dyDescent="0.3">
      <c r="A541" s="20">
        <v>43349</v>
      </c>
      <c r="C541">
        <f>-(Historical_Simulation!B542-Historical_Simulation!B543)</f>
        <v>0.94250000000000256</v>
      </c>
      <c r="E541">
        <f>-(Historical_Simulation!C542-Historical_Simulation!C543)</f>
        <v>36.509999999999991</v>
      </c>
      <c r="G541">
        <f>-(Historical_Simulation!D542-Historical_Simulation!D543)</f>
        <v>4.6500000000000057</v>
      </c>
      <c r="J541" s="23">
        <v>43353</v>
      </c>
      <c r="K541" s="24">
        <f t="shared" si="32"/>
        <v>7.3867291161268911</v>
      </c>
      <c r="L541" s="25"/>
      <c r="M541" s="25"/>
      <c r="N541" s="27"/>
      <c r="Q541" s="23">
        <v>43353</v>
      </c>
      <c r="R541" s="24">
        <f t="shared" si="33"/>
        <v>5.2968891668401241</v>
      </c>
      <c r="S541" s="25"/>
      <c r="T541" s="25"/>
      <c r="U541" s="27"/>
      <c r="X541" s="47">
        <v>43353</v>
      </c>
      <c r="Y541" s="48">
        <f t="shared" si="34"/>
        <v>-9.8052676411743747</v>
      </c>
      <c r="Z541" s="49"/>
      <c r="AA541" s="49"/>
      <c r="AB541" s="51"/>
      <c r="AE541" s="47">
        <v>43353</v>
      </c>
      <c r="AF541" s="48">
        <f t="shared" si="35"/>
        <v>-6.6106600368102804</v>
      </c>
      <c r="AG541" s="49"/>
      <c r="AH541" s="49"/>
      <c r="AI541" s="51"/>
    </row>
    <row r="542" spans="1:35" x14ac:dyDescent="0.3">
      <c r="A542" s="20">
        <v>43348</v>
      </c>
      <c r="C542">
        <f>-(Historical_Simulation!B543-Historical_Simulation!B544)</f>
        <v>0.37250000000000227</v>
      </c>
      <c r="E542">
        <f>-(Historical_Simulation!C543-Historical_Simulation!C544)</f>
        <v>44.690000000000055</v>
      </c>
      <c r="G542">
        <f>-(Historical_Simulation!D543-Historical_Simulation!D544)</f>
        <v>3.9799999999999898</v>
      </c>
      <c r="J542" s="23">
        <v>43350</v>
      </c>
      <c r="K542" s="24">
        <f t="shared" si="32"/>
        <v>3.5732057302516669</v>
      </c>
      <c r="L542" s="25"/>
      <c r="M542" s="25"/>
      <c r="N542" s="27"/>
      <c r="Q542" s="23">
        <v>43350</v>
      </c>
      <c r="R542" s="24">
        <f t="shared" si="33"/>
        <v>2.5908494642585298</v>
      </c>
      <c r="S542" s="25"/>
      <c r="T542" s="25"/>
      <c r="U542" s="27"/>
      <c r="X542" s="47">
        <v>43350</v>
      </c>
      <c r="Y542" s="48">
        <f t="shared" si="34"/>
        <v>-4.9289412672123181</v>
      </c>
      <c r="Z542" s="49"/>
      <c r="AA542" s="49"/>
      <c r="AB542" s="51"/>
      <c r="AE542" s="47">
        <v>43350</v>
      </c>
      <c r="AF542" s="48">
        <f t="shared" si="35"/>
        <v>-3.2998186641900262</v>
      </c>
      <c r="AG542" s="49"/>
      <c r="AH542" s="49"/>
      <c r="AI542" s="51"/>
    </row>
    <row r="543" spans="1:35" x14ac:dyDescent="0.3">
      <c r="A543" s="20">
        <v>43347</v>
      </c>
      <c r="C543">
        <f>-(Historical_Simulation!B544-Historical_Simulation!B545)</f>
        <v>-0.18250000000000455</v>
      </c>
      <c r="E543">
        <f>-(Historical_Simulation!C544-Historical_Simulation!C545)</f>
        <v>-26.799999999999955</v>
      </c>
      <c r="G543">
        <f>-(Historical_Simulation!D544-Historical_Simulation!D545)</f>
        <v>4.5699999999999932</v>
      </c>
      <c r="J543" s="23">
        <v>43349</v>
      </c>
      <c r="K543" s="24">
        <f t="shared" si="32"/>
        <v>20.12809927646391</v>
      </c>
      <c r="L543" s="25"/>
      <c r="M543" s="25"/>
      <c r="N543" s="27"/>
      <c r="Q543" s="23">
        <v>43349</v>
      </c>
      <c r="R543" s="24">
        <f t="shared" si="33"/>
        <v>14.093564476686568</v>
      </c>
      <c r="S543" s="25"/>
      <c r="T543" s="25"/>
      <c r="U543" s="27"/>
      <c r="X543" s="47">
        <v>43349</v>
      </c>
      <c r="Y543" s="48">
        <f t="shared" si="34"/>
        <v>21.715859112697864</v>
      </c>
      <c r="Z543" s="49"/>
      <c r="AA543" s="49"/>
      <c r="AB543" s="51"/>
      <c r="AE543" s="47">
        <v>43349</v>
      </c>
      <c r="AF543" s="48">
        <f t="shared" si="35"/>
        <v>15.424221559879912</v>
      </c>
      <c r="AG543" s="49"/>
      <c r="AH543" s="49"/>
      <c r="AI543" s="51"/>
    </row>
    <row r="544" spans="1:35" x14ac:dyDescent="0.3">
      <c r="A544" s="20">
        <v>43346</v>
      </c>
      <c r="C544">
        <f>-(Historical_Simulation!B545-Historical_Simulation!B546)</f>
        <v>0</v>
      </c>
      <c r="E544">
        <f>-(Historical_Simulation!C545-Historical_Simulation!C546)</f>
        <v>0</v>
      </c>
      <c r="G544">
        <f>-(Historical_Simulation!D545-Historical_Simulation!D546)</f>
        <v>0</v>
      </c>
      <c r="J544" s="23">
        <v>43348</v>
      </c>
      <c r="K544" s="24">
        <f t="shared" si="32"/>
        <v>24.277969766913348</v>
      </c>
      <c r="L544" s="25"/>
      <c r="M544" s="25"/>
      <c r="N544" s="27"/>
      <c r="Q544" s="23">
        <v>43348</v>
      </c>
      <c r="R544" s="24">
        <f t="shared" si="33"/>
        <v>16.758872388994387</v>
      </c>
      <c r="S544" s="25"/>
      <c r="T544" s="25"/>
      <c r="U544" s="27"/>
      <c r="X544" s="47">
        <v>43348</v>
      </c>
      <c r="Y544" s="48">
        <f t="shared" si="34"/>
        <v>20.585552730696485</v>
      </c>
      <c r="Z544" s="49"/>
      <c r="AA544" s="49"/>
      <c r="AB544" s="51"/>
      <c r="AE544" s="47">
        <v>43348</v>
      </c>
      <c r="AF544" s="48">
        <f t="shared" si="35"/>
        <v>14.463615449026715</v>
      </c>
      <c r="AG544" s="49"/>
      <c r="AH544" s="49"/>
      <c r="AI544" s="51"/>
    </row>
    <row r="545" spans="1:35" x14ac:dyDescent="0.3">
      <c r="A545" s="20">
        <v>43343</v>
      </c>
      <c r="C545">
        <f>-(Historical_Simulation!B546-Historical_Simulation!B547)</f>
        <v>-0.64999999999999858</v>
      </c>
      <c r="E545">
        <f>-(Historical_Simulation!C546-Historical_Simulation!C547)</f>
        <v>-10.329999999999927</v>
      </c>
      <c r="G545">
        <f>-(Historical_Simulation!D546-Historical_Simulation!D547)</f>
        <v>1.9099999999999966</v>
      </c>
      <c r="J545" s="23">
        <v>43347</v>
      </c>
      <c r="K545" s="24">
        <f t="shared" si="32"/>
        <v>-14.54034603194707</v>
      </c>
      <c r="L545" s="25"/>
      <c r="M545" s="25"/>
      <c r="N545" s="27"/>
      <c r="Q545" s="23">
        <v>43347</v>
      </c>
      <c r="R545" s="24">
        <f t="shared" si="33"/>
        <v>-10.024306669240298</v>
      </c>
      <c r="S545" s="25"/>
      <c r="T545" s="25"/>
      <c r="U545" s="27"/>
      <c r="X545" s="47">
        <v>43347</v>
      </c>
      <c r="Y545" s="48">
        <f t="shared" si="34"/>
        <v>26.446060804611314</v>
      </c>
      <c r="Z545" s="49"/>
      <c r="AA545" s="49"/>
      <c r="AB545" s="51"/>
      <c r="AE545" s="47">
        <v>43347</v>
      </c>
      <c r="AF545" s="48">
        <f t="shared" si="35"/>
        <v>18.381055418295119</v>
      </c>
      <c r="AG545" s="49"/>
      <c r="AH545" s="49"/>
      <c r="AI545" s="51"/>
    </row>
    <row r="546" spans="1:35" x14ac:dyDescent="0.3">
      <c r="A546" s="20">
        <v>43342</v>
      </c>
      <c r="C546">
        <f>-(Historical_Simulation!B547-Historical_Simulation!B548)</f>
        <v>-0.51250000000000284</v>
      </c>
      <c r="E546">
        <f>-(Historical_Simulation!C547-Historical_Simulation!C548)</f>
        <v>-4.2800000000002001</v>
      </c>
      <c r="G546">
        <f>-(Historical_Simulation!D547-Historical_Simulation!D548)</f>
        <v>-1.7399999999999807</v>
      </c>
      <c r="J546" s="23">
        <v>43346</v>
      </c>
      <c r="K546" s="24">
        <f t="shared" si="32"/>
        <v>0</v>
      </c>
      <c r="L546" s="25"/>
      <c r="M546" s="25"/>
      <c r="N546" s="27"/>
      <c r="Q546" s="23">
        <v>43346</v>
      </c>
      <c r="R546" s="24">
        <f t="shared" si="33"/>
        <v>0</v>
      </c>
      <c r="S546" s="25"/>
      <c r="T546" s="25"/>
      <c r="U546" s="27"/>
      <c r="X546" s="47">
        <v>43346</v>
      </c>
      <c r="Y546" s="48">
        <f t="shared" si="34"/>
        <v>0</v>
      </c>
      <c r="Z546" s="49"/>
      <c r="AA546" s="49"/>
      <c r="AB546" s="51"/>
      <c r="AE546" s="47">
        <v>43346</v>
      </c>
      <c r="AF546" s="48">
        <f t="shared" si="35"/>
        <v>0</v>
      </c>
      <c r="AG546" s="49"/>
      <c r="AH546" s="49"/>
      <c r="AI546" s="51"/>
    </row>
    <row r="547" spans="1:35" x14ac:dyDescent="0.3">
      <c r="A547" s="20">
        <v>43341</v>
      </c>
      <c r="C547">
        <f>-(Historical_Simulation!B548-Historical_Simulation!B549)</f>
        <v>-0.82000000000000028</v>
      </c>
      <c r="E547">
        <f>-(Historical_Simulation!C548-Historical_Simulation!C549)</f>
        <v>-65.279999999999973</v>
      </c>
      <c r="G547">
        <f>-(Historical_Simulation!D548-Historical_Simulation!D549)</f>
        <v>0.35999999999998522</v>
      </c>
      <c r="J547" s="23">
        <v>43343</v>
      </c>
      <c r="K547" s="24">
        <f t="shared" si="32"/>
        <v>-5.8715252968628455</v>
      </c>
      <c r="L547" s="25"/>
      <c r="M547" s="25"/>
      <c r="N547" s="27"/>
      <c r="Q547" s="23">
        <v>43343</v>
      </c>
      <c r="R547" s="24">
        <f t="shared" si="33"/>
        <v>-4.2291749247016241</v>
      </c>
      <c r="S547" s="25"/>
      <c r="T547" s="25"/>
      <c r="U547" s="27"/>
      <c r="X547" s="47">
        <v>43343</v>
      </c>
      <c r="Y547" s="48">
        <f t="shared" si="34"/>
        <v>13.693843379233009</v>
      </c>
      <c r="Z547" s="49"/>
      <c r="AA547" s="49"/>
      <c r="AB547" s="51"/>
      <c r="AE547" s="47">
        <v>43343</v>
      </c>
      <c r="AF547" s="48">
        <f t="shared" si="35"/>
        <v>9.3495164378401796</v>
      </c>
      <c r="AG547" s="49"/>
      <c r="AH547" s="49"/>
      <c r="AI547" s="51"/>
    </row>
    <row r="548" spans="1:35" x14ac:dyDescent="0.3">
      <c r="A548" s="20">
        <v>43340</v>
      </c>
      <c r="C548">
        <f>-(Historical_Simulation!B549-Historical_Simulation!B550)</f>
        <v>-0.43999999999999773</v>
      </c>
      <c r="E548">
        <f>-(Historical_Simulation!C549-Historical_Simulation!C550)</f>
        <v>-5.1399999999998727</v>
      </c>
      <c r="G548">
        <f>-(Historical_Simulation!D549-Historical_Simulation!D550)</f>
        <v>1.2000000000000171</v>
      </c>
      <c r="J548" s="23">
        <v>43342</v>
      </c>
      <c r="K548" s="24">
        <f t="shared" si="32"/>
        <v>-2.5447413797450391</v>
      </c>
      <c r="L548" s="25"/>
      <c r="M548" s="25"/>
      <c r="N548" s="27"/>
      <c r="Q548" s="23">
        <v>43342</v>
      </c>
      <c r="R548" s="24">
        <f t="shared" si="33"/>
        <v>-1.9055311496708893</v>
      </c>
      <c r="S548" s="25"/>
      <c r="T548" s="25"/>
      <c r="U548" s="27"/>
      <c r="X548" s="47">
        <v>43342</v>
      </c>
      <c r="Y548" s="48">
        <f t="shared" si="34"/>
        <v>-7.3902608390657178</v>
      </c>
      <c r="Z548" s="49"/>
      <c r="AA548" s="49"/>
      <c r="AB548" s="51"/>
      <c r="AE548" s="47">
        <v>43342</v>
      </c>
      <c r="AF548" s="48">
        <f t="shared" si="35"/>
        <v>-5.3071900107221204</v>
      </c>
      <c r="AG548" s="49"/>
      <c r="AH548" s="49"/>
      <c r="AI548" s="51"/>
    </row>
    <row r="549" spans="1:35" x14ac:dyDescent="0.3">
      <c r="A549" s="20">
        <v>43339</v>
      </c>
      <c r="C549">
        <f>-(Historical_Simulation!B550-Historical_Simulation!B551)</f>
        <v>-0.44500000000000028</v>
      </c>
      <c r="E549">
        <f>-(Historical_Simulation!C550-Historical_Simulation!C551)</f>
        <v>-22.289999999999964</v>
      </c>
      <c r="G549">
        <f>-(Historical_Simulation!D550-Historical_Simulation!D551)</f>
        <v>-2.8149999999999977</v>
      </c>
      <c r="J549" s="23">
        <v>43341</v>
      </c>
      <c r="K549" s="24">
        <f t="shared" si="32"/>
        <v>-35.590611635927836</v>
      </c>
      <c r="L549" s="25"/>
      <c r="M549" s="25"/>
      <c r="N549" s="27"/>
      <c r="Q549" s="23">
        <v>43341</v>
      </c>
      <c r="R549" s="24">
        <f t="shared" si="33"/>
        <v>-24.654051203126897</v>
      </c>
      <c r="S549" s="25"/>
      <c r="T549" s="25"/>
      <c r="U549" s="27"/>
      <c r="X549" s="47">
        <v>43341</v>
      </c>
      <c r="Y549" s="48">
        <f t="shared" si="34"/>
        <v>5.791615307615146</v>
      </c>
      <c r="Z549" s="49"/>
      <c r="AA549" s="49"/>
      <c r="AB549" s="51"/>
      <c r="AE549" s="47">
        <v>43341</v>
      </c>
      <c r="AF549" s="48">
        <f t="shared" si="35"/>
        <v>3.7891521080669093</v>
      </c>
      <c r="AG549" s="49"/>
      <c r="AH549" s="49"/>
      <c r="AI549" s="51"/>
    </row>
    <row r="550" spans="1:35" x14ac:dyDescent="0.3">
      <c r="A550" s="20">
        <v>43336</v>
      </c>
      <c r="C550">
        <f>-(Historical_Simulation!B551-Historical_Simulation!B552)</f>
        <v>-0.16749999999999687</v>
      </c>
      <c r="E550">
        <f>-(Historical_Simulation!C551-Historical_Simulation!C552)</f>
        <v>-2.4900000000000091</v>
      </c>
      <c r="G550">
        <f>-(Historical_Simulation!D551-Historical_Simulation!D552)</f>
        <v>-1.7450000000000045</v>
      </c>
      <c r="J550" s="23">
        <v>43340</v>
      </c>
      <c r="K550" s="24">
        <f t="shared" si="32"/>
        <v>-2.9752447205841821</v>
      </c>
      <c r="L550" s="25"/>
      <c r="M550" s="25"/>
      <c r="N550" s="27"/>
      <c r="Q550" s="23">
        <v>43340</v>
      </c>
      <c r="R550" s="24">
        <f t="shared" si="33"/>
        <v>-2.1778225357538528</v>
      </c>
      <c r="S550" s="25"/>
      <c r="T550" s="25"/>
      <c r="U550" s="27"/>
      <c r="X550" s="47">
        <v>43340</v>
      </c>
      <c r="Y550" s="48">
        <f t="shared" si="34"/>
        <v>8.7490246648212491</v>
      </c>
      <c r="Z550" s="49"/>
      <c r="AA550" s="49"/>
      <c r="AB550" s="51"/>
      <c r="AE550" s="47">
        <v>43340</v>
      </c>
      <c r="AF550" s="48">
        <f t="shared" si="35"/>
        <v>5.9659402179914371</v>
      </c>
      <c r="AG550" s="49"/>
      <c r="AH550" s="49"/>
      <c r="AI550" s="51"/>
    </row>
    <row r="551" spans="1:35" x14ac:dyDescent="0.3">
      <c r="A551" s="20">
        <v>43335</v>
      </c>
      <c r="C551">
        <f>-(Historical_Simulation!B552-Historical_Simulation!B553)</f>
        <v>-0.10999999999999943</v>
      </c>
      <c r="E551">
        <f>-(Historical_Simulation!C552-Historical_Simulation!C553)</f>
        <v>2</v>
      </c>
      <c r="G551">
        <f>-(Historical_Simulation!D552-Historical_Simulation!D553)</f>
        <v>0.73999999999998067</v>
      </c>
      <c r="J551" s="23">
        <v>43339</v>
      </c>
      <c r="K551" s="24">
        <f t="shared" si="32"/>
        <v>-12.228493813013381</v>
      </c>
      <c r="L551" s="25"/>
      <c r="M551" s="25"/>
      <c r="N551" s="27"/>
      <c r="Q551" s="23">
        <v>43339</v>
      </c>
      <c r="R551" s="24">
        <f t="shared" si="33"/>
        <v>-8.5221772964987039</v>
      </c>
      <c r="S551" s="25"/>
      <c r="T551" s="25"/>
      <c r="U551" s="27"/>
      <c r="X551" s="47">
        <v>43339</v>
      </c>
      <c r="Y551" s="48">
        <f t="shared" si="34"/>
        <v>-13.724261253430569</v>
      </c>
      <c r="Z551" s="49"/>
      <c r="AA551" s="49"/>
      <c r="AB551" s="51"/>
      <c r="AE551" s="47">
        <v>43339</v>
      </c>
      <c r="AF551" s="48">
        <f t="shared" si="35"/>
        <v>-9.7023648272192364</v>
      </c>
      <c r="AG551" s="49"/>
      <c r="AH551" s="49"/>
      <c r="AI551" s="51"/>
    </row>
    <row r="552" spans="1:35" x14ac:dyDescent="0.3">
      <c r="A552" s="20">
        <v>43334</v>
      </c>
      <c r="C552">
        <f>-(Historical_Simulation!B553-Historical_Simulation!B554)</f>
        <v>-2.5000000000048317E-3</v>
      </c>
      <c r="E552">
        <f>-(Historical_Simulation!C553-Historical_Simulation!C554)</f>
        <v>-21.480000000000018</v>
      </c>
      <c r="G552">
        <f>-(Historical_Simulation!D553-Historical_Simulation!D554)</f>
        <v>-1.0199999999999818</v>
      </c>
      <c r="J552" s="23">
        <v>43336</v>
      </c>
      <c r="K552" s="24">
        <f t="shared" si="32"/>
        <v>-1.42028848160786</v>
      </c>
      <c r="L552" s="25"/>
      <c r="M552" s="25"/>
      <c r="N552" s="27"/>
      <c r="Q552" s="23">
        <v>43336</v>
      </c>
      <c r="R552" s="24">
        <f t="shared" si="33"/>
        <v>-1.0262431572954132</v>
      </c>
      <c r="S552" s="25"/>
      <c r="T552" s="25"/>
      <c r="U552" s="27"/>
      <c r="X552" s="47">
        <v>43336</v>
      </c>
      <c r="Y552" s="48">
        <f t="shared" si="34"/>
        <v>-9.0063331760703971</v>
      </c>
      <c r="Z552" s="49"/>
      <c r="AA552" s="49"/>
      <c r="AB552" s="51"/>
      <c r="AE552" s="47">
        <v>43336</v>
      </c>
      <c r="AF552" s="48">
        <f t="shared" si="35"/>
        <v>-6.329311398708195</v>
      </c>
      <c r="AG552" s="49"/>
      <c r="AH552" s="49"/>
      <c r="AI552" s="51"/>
    </row>
    <row r="553" spans="1:35" x14ac:dyDescent="0.3">
      <c r="A553" s="20">
        <v>43333</v>
      </c>
      <c r="C553">
        <f>-(Historical_Simulation!B554-Historical_Simulation!B555)</f>
        <v>0.10500000000000398</v>
      </c>
      <c r="E553">
        <f>-(Historical_Simulation!C554-Historical_Simulation!C555)</f>
        <v>-6.7100000000000364</v>
      </c>
      <c r="G553">
        <f>-(Historical_Simulation!D554-Historical_Simulation!D555)</f>
        <v>-0.12000000000000455</v>
      </c>
      <c r="J553" s="23">
        <v>43335</v>
      </c>
      <c r="K553" s="24">
        <f t="shared" si="32"/>
        <v>1.0281630554112284</v>
      </c>
      <c r="L553" s="25"/>
      <c r="M553" s="25"/>
      <c r="N553" s="27"/>
      <c r="Q553" s="23">
        <v>43335</v>
      </c>
      <c r="R553" s="24">
        <f t="shared" si="33"/>
        <v>0.67017139371079437</v>
      </c>
      <c r="S553" s="25"/>
      <c r="T553" s="25"/>
      <c r="U553" s="27"/>
      <c r="X553" s="47">
        <v>43335</v>
      </c>
      <c r="Y553" s="48">
        <f t="shared" si="34"/>
        <v>4.6526042470108582</v>
      </c>
      <c r="Z553" s="49"/>
      <c r="AA553" s="49"/>
      <c r="AB553" s="51"/>
      <c r="AE553" s="47">
        <v>43335</v>
      </c>
      <c r="AF553" s="48">
        <f t="shared" si="35"/>
        <v>3.2101519422515512</v>
      </c>
      <c r="AG553" s="49"/>
      <c r="AH553" s="49"/>
      <c r="AI553" s="51"/>
    </row>
    <row r="554" spans="1:35" x14ac:dyDescent="0.3">
      <c r="A554" s="20">
        <v>43332</v>
      </c>
      <c r="C554">
        <f>-(Historical_Simulation!B555-Historical_Simulation!B556)</f>
        <v>0.53000000000000114</v>
      </c>
      <c r="E554">
        <f>-(Historical_Simulation!C555-Historical_Simulation!C556)</f>
        <v>5.5099999999999909</v>
      </c>
      <c r="G554">
        <f>-(Historical_Simulation!D555-Historical_Simulation!D556)</f>
        <v>1.3000000000000114</v>
      </c>
      <c r="J554" s="23">
        <v>43334</v>
      </c>
      <c r="K554" s="24">
        <f t="shared" si="32"/>
        <v>-11.587759252414539</v>
      </c>
      <c r="L554" s="25"/>
      <c r="M554" s="25"/>
      <c r="N554" s="27"/>
      <c r="Q554" s="23">
        <v>43334</v>
      </c>
      <c r="R554" s="24">
        <f t="shared" si="33"/>
        <v>-7.9437943641817998</v>
      </c>
      <c r="S554" s="25"/>
      <c r="T554" s="25"/>
      <c r="U554" s="27"/>
      <c r="X554" s="47">
        <v>43334</v>
      </c>
      <c r="Y554" s="48">
        <f t="shared" si="34"/>
        <v>-5.7036174368630057</v>
      </c>
      <c r="Z554" s="49"/>
      <c r="AA554" s="49"/>
      <c r="AB554" s="51"/>
      <c r="AE554" s="47">
        <v>43334</v>
      </c>
      <c r="AF554" s="48">
        <f t="shared" si="35"/>
        <v>-3.9769171779305403</v>
      </c>
      <c r="AG554" s="49"/>
      <c r="AH554" s="49"/>
      <c r="AI554" s="51"/>
    </row>
    <row r="555" spans="1:35" x14ac:dyDescent="0.3">
      <c r="A555" s="20">
        <v>43329</v>
      </c>
      <c r="C555">
        <f>-(Historical_Simulation!B556-Historical_Simulation!B557)</f>
        <v>-1.0650000000000048</v>
      </c>
      <c r="E555">
        <f>-(Historical_Simulation!C556-Historical_Simulation!C557)</f>
        <v>4.2999999999999545</v>
      </c>
      <c r="G555">
        <f>-(Historical_Simulation!D556-Historical_Simulation!D557)</f>
        <v>0.89999999999997726</v>
      </c>
      <c r="J555" s="23">
        <v>43333</v>
      </c>
      <c r="K555" s="24">
        <f t="shared" si="32"/>
        <v>-3.5711048448471838</v>
      </c>
      <c r="L555" s="25"/>
      <c r="M555" s="25"/>
      <c r="N555" s="27"/>
      <c r="Q555" s="23">
        <v>43333</v>
      </c>
      <c r="R555" s="24">
        <f t="shared" si="33"/>
        <v>-2.4148426768431679</v>
      </c>
      <c r="S555" s="25"/>
      <c r="T555" s="25"/>
      <c r="U555" s="27"/>
      <c r="X555" s="47">
        <v>43333</v>
      </c>
      <c r="Y555" s="48">
        <f t="shared" si="34"/>
        <v>-1.1556893595029472</v>
      </c>
      <c r="Z555" s="49"/>
      <c r="AA555" s="49"/>
      <c r="AB555" s="51"/>
      <c r="AE555" s="47">
        <v>43333</v>
      </c>
      <c r="AF555" s="48">
        <f t="shared" si="35"/>
        <v>-0.77386374941957792</v>
      </c>
      <c r="AG555" s="49"/>
      <c r="AH555" s="49"/>
      <c r="AI555" s="51"/>
    </row>
    <row r="556" spans="1:35" x14ac:dyDescent="0.3">
      <c r="A556" s="20">
        <v>43328</v>
      </c>
      <c r="C556">
        <f>-(Historical_Simulation!B557-Historical_Simulation!B558)</f>
        <v>-0.76999999999999602</v>
      </c>
      <c r="E556">
        <f>-(Historical_Simulation!C557-Historical_Simulation!C558)</f>
        <v>-3.9000000000000909</v>
      </c>
      <c r="G556">
        <f>-(Historical_Simulation!D557-Historical_Simulation!D558)</f>
        <v>4.8300000000000125</v>
      </c>
      <c r="J556" s="23">
        <v>43332</v>
      </c>
      <c r="K556" s="24">
        <f t="shared" si="32"/>
        <v>3.2162805762786291</v>
      </c>
      <c r="L556" s="25"/>
      <c r="M556" s="25"/>
      <c r="N556" s="27"/>
      <c r="Q556" s="23">
        <v>43332</v>
      </c>
      <c r="R556" s="24">
        <f t="shared" si="33"/>
        <v>2.3713523889477481</v>
      </c>
      <c r="S556" s="25"/>
      <c r="T556" s="25"/>
      <c r="U556" s="27"/>
      <c r="X556" s="47">
        <v>43332</v>
      </c>
      <c r="Y556" s="48">
        <f t="shared" si="34"/>
        <v>4.8443591414099956</v>
      </c>
      <c r="Z556" s="49"/>
      <c r="AA556" s="49"/>
      <c r="AB556" s="51"/>
      <c r="AE556" s="47">
        <v>43332</v>
      </c>
      <c r="AF556" s="48">
        <f t="shared" si="35"/>
        <v>3.5376670535691628</v>
      </c>
      <c r="AG556" s="49"/>
      <c r="AH556" s="49"/>
      <c r="AI556" s="51"/>
    </row>
    <row r="557" spans="1:35" x14ac:dyDescent="0.3">
      <c r="A557" s="20">
        <v>43327</v>
      </c>
      <c r="C557">
        <f>-(Historical_Simulation!B558-Historical_Simulation!B559)</f>
        <v>-0.12250000000000227</v>
      </c>
      <c r="E557">
        <f>-(Historical_Simulation!C558-Historical_Simulation!C559)</f>
        <v>37.0300000000002</v>
      </c>
      <c r="G557">
        <f>-(Historical_Simulation!D558-Historical_Simulation!D559)</f>
        <v>1.5800000000000125</v>
      </c>
      <c r="J557" s="23">
        <v>43329</v>
      </c>
      <c r="K557" s="24">
        <f t="shared" si="32"/>
        <v>1.8289548778583806</v>
      </c>
      <c r="L557" s="25"/>
      <c r="M557" s="25"/>
      <c r="N557" s="27"/>
      <c r="Q557" s="23">
        <v>43329</v>
      </c>
      <c r="R557" s="24">
        <f t="shared" si="33"/>
        <v>0.91870593708927384</v>
      </c>
      <c r="S557" s="25"/>
      <c r="T557" s="25"/>
      <c r="U557" s="27"/>
      <c r="X557" s="47">
        <v>43329</v>
      </c>
      <c r="Y557" s="48">
        <f t="shared" si="34"/>
        <v>9.9450204063252521</v>
      </c>
      <c r="Z557" s="49"/>
      <c r="AA557" s="49"/>
      <c r="AB557" s="51"/>
      <c r="AE557" s="47">
        <v>43329</v>
      </c>
      <c r="AF557" s="48">
        <f t="shared" si="35"/>
        <v>6.6104100782639836</v>
      </c>
      <c r="AG557" s="49"/>
      <c r="AH557" s="49"/>
      <c r="AI557" s="51"/>
    </row>
    <row r="558" spans="1:35" x14ac:dyDescent="0.3">
      <c r="A558" s="20">
        <v>43326</v>
      </c>
      <c r="C558">
        <f>-(Historical_Simulation!B559-Historical_Simulation!B560)</f>
        <v>-0.21999999999999886</v>
      </c>
      <c r="E558">
        <f>-(Historical_Simulation!C559-Historical_Simulation!C560)</f>
        <v>-23.450000000000045</v>
      </c>
      <c r="G558">
        <f>-(Historical_Simulation!D559-Historical_Simulation!D560)</f>
        <v>-1.0600000000000023</v>
      </c>
      <c r="J558" s="23">
        <v>43328</v>
      </c>
      <c r="K558" s="24">
        <f t="shared" si="32"/>
        <v>-2.4583651011550915</v>
      </c>
      <c r="L558" s="25"/>
      <c r="M558" s="25"/>
      <c r="N558" s="27"/>
      <c r="Q558" s="23">
        <v>43328</v>
      </c>
      <c r="R558" s="24">
        <f t="shared" si="33"/>
        <v>-1.927315858916991</v>
      </c>
      <c r="S558" s="25"/>
      <c r="T558" s="25"/>
      <c r="U558" s="27"/>
      <c r="X558" s="47">
        <v>43328</v>
      </c>
      <c r="Y558" s="48">
        <f t="shared" si="34"/>
        <v>30.607157392072313</v>
      </c>
      <c r="Z558" s="49"/>
      <c r="AA558" s="49"/>
      <c r="AB558" s="51"/>
      <c r="AE558" s="47">
        <v>43328</v>
      </c>
      <c r="AF558" s="48">
        <f t="shared" si="35"/>
        <v>21.103942207775471</v>
      </c>
      <c r="AG558" s="49"/>
      <c r="AH558" s="49"/>
      <c r="AI558" s="51"/>
    </row>
    <row r="559" spans="1:35" x14ac:dyDescent="0.3">
      <c r="A559" s="20">
        <v>43325</v>
      </c>
      <c r="C559">
        <f>-(Historical_Simulation!B560-Historical_Simulation!B561)</f>
        <v>-0.33500000000000085</v>
      </c>
      <c r="E559">
        <f>-(Historical_Simulation!C560-Historical_Simulation!C561)</f>
        <v>-9.9000000000000909</v>
      </c>
      <c r="G559">
        <f>-(Historical_Simulation!D560-Historical_Simulation!D561)</f>
        <v>0.20999999999997954</v>
      </c>
      <c r="J559" s="23">
        <v>43327</v>
      </c>
      <c r="K559" s="24">
        <f t="shared" si="32"/>
        <v>19.918070102448283</v>
      </c>
      <c r="L559" s="25"/>
      <c r="M559" s="25"/>
      <c r="N559" s="27"/>
      <c r="Q559" s="23">
        <v>43327</v>
      </c>
      <c r="R559" s="24">
        <f t="shared" si="33"/>
        <v>13.61461739565897</v>
      </c>
      <c r="S559" s="25"/>
      <c r="T559" s="25"/>
      <c r="U559" s="27"/>
      <c r="X559" s="47">
        <v>43327</v>
      </c>
      <c r="Y559" s="48">
        <f t="shared" si="34"/>
        <v>9.4167161535720503</v>
      </c>
      <c r="Z559" s="49"/>
      <c r="AA559" s="49"/>
      <c r="AB559" s="51"/>
      <c r="AE559" s="47">
        <v>43327</v>
      </c>
      <c r="AF559" s="48">
        <f t="shared" si="35"/>
        <v>6.52756903727464</v>
      </c>
      <c r="AG559" s="49"/>
      <c r="AH559" s="49"/>
      <c r="AI559" s="51"/>
    </row>
    <row r="560" spans="1:35" x14ac:dyDescent="0.3">
      <c r="A560" s="20">
        <v>43322</v>
      </c>
      <c r="C560">
        <f>-(Historical_Simulation!B561-Historical_Simulation!B562)</f>
        <v>0.33749999999999858</v>
      </c>
      <c r="E560">
        <f>-(Historical_Simulation!C561-Historical_Simulation!C562)</f>
        <v>12.220000000000027</v>
      </c>
      <c r="G560">
        <f>-(Historical_Simulation!D561-Historical_Simulation!D562)</f>
        <v>2.8300000000000125</v>
      </c>
      <c r="J560" s="23">
        <v>43326</v>
      </c>
      <c r="K560" s="24">
        <f t="shared" si="32"/>
        <v>-12.750581884930275</v>
      </c>
      <c r="L560" s="25"/>
      <c r="M560" s="25"/>
      <c r="N560" s="27"/>
      <c r="Q560" s="23">
        <v>43326</v>
      </c>
      <c r="R560" s="24">
        <f t="shared" si="33"/>
        <v>-8.8092803203325953</v>
      </c>
      <c r="S560" s="25"/>
      <c r="T560" s="25"/>
      <c r="U560" s="27"/>
      <c r="X560" s="47">
        <v>43326</v>
      </c>
      <c r="Y560" s="48">
        <f t="shared" si="34"/>
        <v>-4.926573608810858</v>
      </c>
      <c r="Z560" s="49"/>
      <c r="AA560" s="49"/>
      <c r="AB560" s="51"/>
      <c r="AE560" s="47">
        <v>43326</v>
      </c>
      <c r="AF560" s="48">
        <f t="shared" si="35"/>
        <v>-3.501091331166327</v>
      </c>
      <c r="AG560" s="49"/>
      <c r="AH560" s="49"/>
      <c r="AI560" s="51"/>
    </row>
    <row r="561" spans="1:35" x14ac:dyDescent="0.3">
      <c r="A561" s="20">
        <v>43321</v>
      </c>
      <c r="C561">
        <f>-(Historical_Simulation!B562-Historical_Simulation!B563)</f>
        <v>-0.40749999999999886</v>
      </c>
      <c r="E561">
        <f>-(Historical_Simulation!C562-Historical_Simulation!C563)</f>
        <v>-12</v>
      </c>
      <c r="G561">
        <f>-(Historical_Simulation!D562-Historical_Simulation!D563)</f>
        <v>2.0900000000000034</v>
      </c>
      <c r="J561" s="23">
        <v>43325</v>
      </c>
      <c r="K561" s="24">
        <f t="shared" si="32"/>
        <v>-5.4944927132741714</v>
      </c>
      <c r="L561" s="25"/>
      <c r="M561" s="25"/>
      <c r="N561" s="27"/>
      <c r="Q561" s="23">
        <v>43325</v>
      </c>
      <c r="R561" s="24">
        <f t="shared" si="33"/>
        <v>-3.8716537349970692</v>
      </c>
      <c r="S561" s="25"/>
      <c r="T561" s="25"/>
      <c r="U561" s="27"/>
      <c r="X561" s="47">
        <v>43325</v>
      </c>
      <c r="Y561" s="48">
        <f t="shared" si="34"/>
        <v>2.7186697819069225</v>
      </c>
      <c r="Z561" s="49"/>
      <c r="AA561" s="49"/>
      <c r="AB561" s="51"/>
      <c r="AE561" s="47">
        <v>43325</v>
      </c>
      <c r="AF561" s="48">
        <f t="shared" si="35"/>
        <v>1.7938033041494958</v>
      </c>
      <c r="AG561" s="49"/>
      <c r="AH561" s="49"/>
      <c r="AI561" s="51"/>
    </row>
    <row r="562" spans="1:35" x14ac:dyDescent="0.3">
      <c r="A562" s="20">
        <v>43320</v>
      </c>
      <c r="C562">
        <f>-(Historical_Simulation!B563-Historical_Simulation!B564)</f>
        <v>-3.4999999999996589E-2</v>
      </c>
      <c r="E562">
        <f>-(Historical_Simulation!C563-Historical_Simulation!C564)</f>
        <v>-24.039999999999964</v>
      </c>
      <c r="G562">
        <f>-(Historical_Simulation!D563-Historical_Simulation!D564)</f>
        <v>-1.3700000000000045</v>
      </c>
      <c r="J562" s="23">
        <v>43322</v>
      </c>
      <c r="K562" s="24">
        <f t="shared" si="32"/>
        <v>6.7470841260303072</v>
      </c>
      <c r="L562" s="25"/>
      <c r="M562" s="25"/>
      <c r="N562" s="27"/>
      <c r="Q562" s="23">
        <v>43322</v>
      </c>
      <c r="R562" s="24">
        <f t="shared" si="33"/>
        <v>4.7310481449139941</v>
      </c>
      <c r="S562" s="25"/>
      <c r="T562" s="25"/>
      <c r="U562" s="27"/>
      <c r="X562" s="47">
        <v>43322</v>
      </c>
      <c r="Y562" s="48">
        <f t="shared" si="34"/>
        <v>14.303136571382241</v>
      </c>
      <c r="Z562" s="49"/>
      <c r="AA562" s="49"/>
      <c r="AB562" s="51"/>
      <c r="AE562" s="47">
        <v>43322</v>
      </c>
      <c r="AF562" s="48">
        <f t="shared" si="35"/>
        <v>10.073357313014386</v>
      </c>
      <c r="AG562" s="49"/>
      <c r="AH562" s="49"/>
      <c r="AI562" s="51"/>
    </row>
    <row r="563" spans="1:35" x14ac:dyDescent="0.3">
      <c r="A563" s="20">
        <v>43319</v>
      </c>
      <c r="C563">
        <f>-(Historical_Simulation!B564-Historical_Simulation!B565)</f>
        <v>0.48999999999999488</v>
      </c>
      <c r="E563">
        <f>-(Historical_Simulation!C564-Historical_Simulation!C565)</f>
        <v>-14.730000000000018</v>
      </c>
      <c r="G563">
        <f>-(Historical_Simulation!D564-Historical_Simulation!D565)</f>
        <v>1.8799999999999955</v>
      </c>
      <c r="J563" s="23">
        <v>43321</v>
      </c>
      <c r="K563" s="24">
        <f t="shared" si="32"/>
        <v>-6.6606541326325406</v>
      </c>
      <c r="L563" s="25"/>
      <c r="M563" s="25"/>
      <c r="N563" s="27"/>
      <c r="Q563" s="23">
        <v>43321</v>
      </c>
      <c r="R563" s="24">
        <f t="shared" si="33"/>
        <v>-4.6938207969632124</v>
      </c>
      <c r="S563" s="25"/>
      <c r="T563" s="25"/>
      <c r="U563" s="27"/>
      <c r="X563" s="47">
        <v>43321</v>
      </c>
      <c r="Y563" s="48">
        <f t="shared" si="34"/>
        <v>13.586151890482242</v>
      </c>
      <c r="Z563" s="49"/>
      <c r="AA563" s="49"/>
      <c r="AB563" s="51"/>
      <c r="AE563" s="47">
        <v>43321</v>
      </c>
      <c r="AF563" s="48">
        <f t="shared" si="35"/>
        <v>9.3478876185569995</v>
      </c>
      <c r="AG563" s="49"/>
      <c r="AH563" s="49"/>
      <c r="AI563" s="51"/>
    </row>
    <row r="564" spans="1:35" x14ac:dyDescent="0.3">
      <c r="A564" s="20">
        <v>43318</v>
      </c>
      <c r="C564">
        <f>-(Historical_Simulation!B565-Historical_Simulation!B566)</f>
        <v>-0.26999999999999602</v>
      </c>
      <c r="E564">
        <f>-(Historical_Simulation!C565-Historical_Simulation!C566)</f>
        <v>-24.460000000000036</v>
      </c>
      <c r="G564">
        <f>-(Historical_Simulation!D565-Historical_Simulation!D566)</f>
        <v>-7.9099999999999966</v>
      </c>
      <c r="J564" s="23">
        <v>43320</v>
      </c>
      <c r="K564" s="24">
        <f t="shared" si="32"/>
        <v>-12.983627556941464</v>
      </c>
      <c r="L564" s="25"/>
      <c r="M564" s="25"/>
      <c r="N564" s="27"/>
      <c r="Q564" s="23">
        <v>43320</v>
      </c>
      <c r="R564" s="24">
        <f t="shared" si="33"/>
        <v>-8.9108361639941123</v>
      </c>
      <c r="S564" s="25"/>
      <c r="T564" s="25"/>
      <c r="U564" s="27"/>
      <c r="X564" s="47">
        <v>43320</v>
      </c>
      <c r="Y564" s="48">
        <f t="shared" si="34"/>
        <v>-7.5150901997172683</v>
      </c>
      <c r="Z564" s="49"/>
      <c r="AA564" s="49"/>
      <c r="AB564" s="51"/>
      <c r="AE564" s="47">
        <v>43320</v>
      </c>
      <c r="AF564" s="48">
        <f t="shared" si="35"/>
        <v>-5.2495915798893495</v>
      </c>
      <c r="AG564" s="49"/>
      <c r="AH564" s="49"/>
      <c r="AI564" s="51"/>
    </row>
    <row r="565" spans="1:35" x14ac:dyDescent="0.3">
      <c r="A565" s="20">
        <v>43315</v>
      </c>
      <c r="C565">
        <f>-(Historical_Simulation!B566-Historical_Simulation!B567)</f>
        <v>-0.15000000000000568</v>
      </c>
      <c r="E565">
        <f>-(Historical_Simulation!C566-Historical_Simulation!C567)</f>
        <v>11.039999999999964</v>
      </c>
      <c r="G565">
        <f>-(Historical_Simulation!D566-Historical_Simulation!D567)</f>
        <v>-1.4099999999999966</v>
      </c>
      <c r="J565" s="23">
        <v>43319</v>
      </c>
      <c r="K565" s="24">
        <f t="shared" si="32"/>
        <v>-7.7198775845302929</v>
      </c>
      <c r="L565" s="25"/>
      <c r="M565" s="25"/>
      <c r="N565" s="27"/>
      <c r="Q565" s="23">
        <v>43319</v>
      </c>
      <c r="R565" s="24">
        <f t="shared" si="33"/>
        <v>-5.1375870200371114</v>
      </c>
      <c r="S565" s="25"/>
      <c r="T565" s="25"/>
      <c r="U565" s="27"/>
      <c r="X565" s="47">
        <v>43319</v>
      </c>
      <c r="Y565" s="48">
        <f t="shared" si="34"/>
        <v>8.2782587098179352</v>
      </c>
      <c r="Z565" s="49"/>
      <c r="AA565" s="49"/>
      <c r="AB565" s="51"/>
      <c r="AE565" s="47">
        <v>43319</v>
      </c>
      <c r="AF565" s="48">
        <f t="shared" si="35"/>
        <v>5.9194249408585424</v>
      </c>
      <c r="AG565" s="49"/>
      <c r="AH565" s="49"/>
      <c r="AI565" s="51"/>
    </row>
    <row r="566" spans="1:35" x14ac:dyDescent="0.3">
      <c r="A566" s="20">
        <v>43314</v>
      </c>
      <c r="C566">
        <f>-(Historical_Simulation!B567-Historical_Simulation!B568)</f>
        <v>-1.4724999999999966</v>
      </c>
      <c r="E566">
        <f>-(Historical_Simulation!C567-Historical_Simulation!C568)</f>
        <v>-37.159999999999854</v>
      </c>
      <c r="G566">
        <f>-(Historical_Simulation!D567-Historical_Simulation!D568)</f>
        <v>-4.7199999999999989</v>
      </c>
      <c r="J566" s="23">
        <v>43318</v>
      </c>
      <c r="K566" s="24">
        <f t="shared" si="32"/>
        <v>-13.318419104453861</v>
      </c>
      <c r="L566" s="25"/>
      <c r="M566" s="25"/>
      <c r="N566" s="27"/>
      <c r="Q566" s="23">
        <v>43318</v>
      </c>
      <c r="R566" s="24">
        <f t="shared" si="33"/>
        <v>-9.2142398169972175</v>
      </c>
      <c r="S566" s="25"/>
      <c r="T566" s="25"/>
      <c r="U566" s="27"/>
      <c r="X566" s="47">
        <v>43318</v>
      </c>
      <c r="Y566" s="48">
        <f t="shared" si="34"/>
        <v>-43.077407584898587</v>
      </c>
      <c r="Z566" s="49"/>
      <c r="AA566" s="49"/>
      <c r="AB566" s="51"/>
      <c r="AE566" s="47">
        <v>43318</v>
      </c>
      <c r="AF566" s="48">
        <f t="shared" si="35"/>
        <v>-30.112306869179339</v>
      </c>
      <c r="AG566" s="49"/>
      <c r="AH566" s="49"/>
      <c r="AI566" s="51"/>
    </row>
    <row r="567" spans="1:35" x14ac:dyDescent="0.3">
      <c r="A567" s="20">
        <v>43313</v>
      </c>
      <c r="C567">
        <f>-(Historical_Simulation!B568-Historical_Simulation!B569)</f>
        <v>-2.802500000000002</v>
      </c>
      <c r="E567">
        <f>-(Historical_Simulation!C568-Historical_Simulation!C569)</f>
        <v>-19.730000000000018</v>
      </c>
      <c r="G567">
        <f>-(Historical_Simulation!D568-Historical_Simulation!D569)</f>
        <v>0.93000000000000682</v>
      </c>
      <c r="J567" s="23">
        <v>43315</v>
      </c>
      <c r="K567" s="24">
        <f t="shared" si="32"/>
        <v>5.8860400900718464</v>
      </c>
      <c r="L567" s="25"/>
      <c r="M567" s="25"/>
      <c r="N567" s="27"/>
      <c r="Q567" s="23">
        <v>43315</v>
      </c>
      <c r="R567" s="24">
        <f t="shared" si="33"/>
        <v>3.9874966329970372</v>
      </c>
      <c r="S567" s="25"/>
      <c r="T567" s="25"/>
      <c r="U567" s="27"/>
      <c r="X567" s="47">
        <v>43315</v>
      </c>
      <c r="Y567" s="48">
        <f t="shared" si="34"/>
        <v>-7.2098604132162141</v>
      </c>
      <c r="Z567" s="49"/>
      <c r="AA567" s="49"/>
      <c r="AB567" s="51"/>
      <c r="AE567" s="47">
        <v>43315</v>
      </c>
      <c r="AF567" s="48">
        <f t="shared" si="35"/>
        <v>-5.0716369967494419</v>
      </c>
      <c r="AG567" s="49"/>
      <c r="AH567" s="49"/>
      <c r="AI567" s="51"/>
    </row>
    <row r="568" spans="1:35" x14ac:dyDescent="0.3">
      <c r="A568" s="20">
        <v>43312</v>
      </c>
      <c r="C568">
        <f>-(Historical_Simulation!B569-Historical_Simulation!B570)</f>
        <v>-9.4999999999998863E-2</v>
      </c>
      <c r="E568">
        <f>-(Historical_Simulation!C569-Historical_Simulation!C570)</f>
        <v>1.7799999999999727</v>
      </c>
      <c r="G568">
        <f>-(Historical_Simulation!D569-Historical_Simulation!D570)</f>
        <v>-1.5200000000000102</v>
      </c>
      <c r="J568" s="23">
        <v>43314</v>
      </c>
      <c r="K568" s="24">
        <f t="shared" si="32"/>
        <v>-20.722828928904281</v>
      </c>
      <c r="L568" s="25"/>
      <c r="M568" s="25"/>
      <c r="N568" s="27"/>
      <c r="Q568" s="23">
        <v>43314</v>
      </c>
      <c r="R568" s="24">
        <f t="shared" si="33"/>
        <v>-14.667934413769594</v>
      </c>
      <c r="S568" s="25"/>
      <c r="T568" s="25"/>
      <c r="U568" s="27"/>
      <c r="X568" s="47">
        <v>43314</v>
      </c>
      <c r="Y568" s="48">
        <f t="shared" si="34"/>
        <v>-19.668449755491913</v>
      </c>
      <c r="Z568" s="49"/>
      <c r="AA568" s="49"/>
      <c r="AB568" s="51"/>
      <c r="AE568" s="47">
        <v>43314</v>
      </c>
      <c r="AF568" s="48">
        <f t="shared" si="35"/>
        <v>-14.157433449955491</v>
      </c>
      <c r="AG568" s="49"/>
      <c r="AH568" s="49"/>
      <c r="AI568" s="51"/>
    </row>
    <row r="569" spans="1:35" x14ac:dyDescent="0.3">
      <c r="A569" s="20">
        <v>43311</v>
      </c>
      <c r="C569">
        <f>-(Historical_Simulation!B570-Historical_Simulation!B571)</f>
        <v>0.26749999999999829</v>
      </c>
      <c r="E569">
        <f>-(Historical_Simulation!C570-Historical_Simulation!C571)</f>
        <v>38.049999999999955</v>
      </c>
      <c r="G569">
        <f>-(Historical_Simulation!D570-Historical_Simulation!D571)</f>
        <v>3.8299999999999841</v>
      </c>
      <c r="J569" s="23">
        <v>43313</v>
      </c>
      <c r="K569" s="24">
        <f t="shared" si="32"/>
        <v>-11.933426597380846</v>
      </c>
      <c r="L569" s="25"/>
      <c r="M569" s="25"/>
      <c r="N569" s="27"/>
      <c r="Q569" s="23">
        <v>43313</v>
      </c>
      <c r="R569" s="24">
        <f t="shared" si="33"/>
        <v>-9.0614342497817457</v>
      </c>
      <c r="S569" s="25"/>
      <c r="T569" s="25"/>
      <c r="U569" s="27"/>
      <c r="X569" s="47">
        <v>43313</v>
      </c>
      <c r="Y569" s="48">
        <f t="shared" si="34"/>
        <v>18.110935708198213</v>
      </c>
      <c r="Z569" s="49"/>
      <c r="AA569" s="49"/>
      <c r="AB569" s="51"/>
      <c r="AE569" s="47">
        <v>43313</v>
      </c>
      <c r="AF569" s="48">
        <f t="shared" si="35"/>
        <v>11.776873087593211</v>
      </c>
      <c r="AG569" s="49"/>
      <c r="AH569" s="49"/>
      <c r="AI569" s="51"/>
    </row>
    <row r="570" spans="1:35" x14ac:dyDescent="0.3">
      <c r="A570" s="20">
        <v>43308</v>
      </c>
      <c r="C570">
        <f>-(Historical_Simulation!B571-Historical_Simulation!B572)</f>
        <v>0.80750000000000455</v>
      </c>
      <c r="E570">
        <f>-(Historical_Simulation!C571-Historical_Simulation!C572)</f>
        <v>-9.2699999999999818</v>
      </c>
      <c r="G570">
        <f>-(Historical_Simulation!D571-Historical_Simulation!D572)</f>
        <v>1.3700000000000045</v>
      </c>
      <c r="J570" s="23">
        <v>43312</v>
      </c>
      <c r="K570" s="24">
        <f t="shared" si="32"/>
        <v>0.91640081938200135</v>
      </c>
      <c r="L570" s="25"/>
      <c r="M570" s="25"/>
      <c r="N570" s="27"/>
      <c r="Q570" s="23">
        <v>43312</v>
      </c>
      <c r="R570" s="24">
        <f t="shared" si="33"/>
        <v>0.59828026692308955</v>
      </c>
      <c r="S570" s="25"/>
      <c r="T570" s="25"/>
      <c r="U570" s="27"/>
      <c r="X570" s="47">
        <v>43312</v>
      </c>
      <c r="Y570" s="48">
        <f t="shared" si="34"/>
        <v>-8.0793659435184519</v>
      </c>
      <c r="Z570" s="49"/>
      <c r="AA570" s="49"/>
      <c r="AB570" s="51"/>
      <c r="AE570" s="47">
        <v>43312</v>
      </c>
      <c r="AF570" s="48">
        <f t="shared" si="35"/>
        <v>-5.661137079657184</v>
      </c>
      <c r="AG570" s="49"/>
      <c r="AH570" s="49"/>
      <c r="AI570" s="51"/>
    </row>
    <row r="571" spans="1:35" x14ac:dyDescent="0.3">
      <c r="A571" s="20">
        <v>43307</v>
      </c>
      <c r="C571">
        <f>-(Historical_Simulation!B572-Historical_Simulation!B573)</f>
        <v>0.15249999999999631</v>
      </c>
      <c r="E571">
        <f>-(Historical_Simulation!C572-Historical_Simulation!C573)</f>
        <v>55.6099999999999</v>
      </c>
      <c r="G571">
        <f>-(Historical_Simulation!D572-Historical_Simulation!D573)</f>
        <v>41.240000000000009</v>
      </c>
      <c r="J571" s="23">
        <v>43311</v>
      </c>
      <c r="K571" s="24">
        <f t="shared" si="32"/>
        <v>20.647900777760508</v>
      </c>
      <c r="L571" s="25"/>
      <c r="M571" s="25"/>
      <c r="N571" s="27"/>
      <c r="Q571" s="23">
        <v>43311</v>
      </c>
      <c r="R571" s="24">
        <f t="shared" si="33"/>
        <v>14.237559565345039</v>
      </c>
      <c r="S571" s="25"/>
      <c r="T571" s="25"/>
      <c r="U571" s="27"/>
      <c r="X571" s="47">
        <v>43311</v>
      </c>
      <c r="Y571" s="48">
        <f t="shared" si="34"/>
        <v>20.22841485879589</v>
      </c>
      <c r="Z571" s="49"/>
      <c r="AA571" s="49"/>
      <c r="AB571" s="51"/>
      <c r="AE571" s="47">
        <v>43311</v>
      </c>
      <c r="AF571" s="48">
        <f t="shared" si="35"/>
        <v>14.182842699142796</v>
      </c>
      <c r="AG571" s="49"/>
      <c r="AH571" s="49"/>
      <c r="AI571" s="51"/>
    </row>
    <row r="572" spans="1:35" x14ac:dyDescent="0.3">
      <c r="A572" s="20">
        <v>43306</v>
      </c>
      <c r="C572">
        <f>-(Historical_Simulation!B573-Historical_Simulation!B574)</f>
        <v>-0.45499999999999829</v>
      </c>
      <c r="E572">
        <f>-(Historical_Simulation!C573-Historical_Simulation!C574)</f>
        <v>-34.369999999999891</v>
      </c>
      <c r="G572">
        <f>-(Historical_Simulation!D573-Historical_Simulation!D574)</f>
        <v>-2.8300000000000125</v>
      </c>
      <c r="J572" s="23">
        <v>43308</v>
      </c>
      <c r="K572" s="24">
        <f t="shared" si="32"/>
        <v>-4.6284422705718606</v>
      </c>
      <c r="L572" s="25"/>
      <c r="M572" s="25"/>
      <c r="N572" s="27"/>
      <c r="Q572" s="23">
        <v>43308</v>
      </c>
      <c r="R572" s="24">
        <f t="shared" si="33"/>
        <v>-2.9186503412893394</v>
      </c>
      <c r="S572" s="25"/>
      <c r="T572" s="25"/>
      <c r="U572" s="27"/>
      <c r="X572" s="47">
        <v>43308</v>
      </c>
      <c r="Y572" s="48">
        <f t="shared" si="34"/>
        <v>3.9592233987572634</v>
      </c>
      <c r="Z572" s="49"/>
      <c r="AA572" s="49"/>
      <c r="AB572" s="51"/>
      <c r="AE572" s="47">
        <v>43308</v>
      </c>
      <c r="AF572" s="48">
        <f t="shared" si="35"/>
        <v>3.0046593735488765</v>
      </c>
      <c r="AG572" s="49"/>
      <c r="AH572" s="49"/>
      <c r="AI572" s="51"/>
    </row>
    <row r="573" spans="1:35" x14ac:dyDescent="0.3">
      <c r="A573" s="20">
        <v>43305</v>
      </c>
      <c r="C573">
        <f>-(Historical_Simulation!B574-Historical_Simulation!B575)</f>
        <v>-0.34749999999999659</v>
      </c>
      <c r="E573">
        <f>-(Historical_Simulation!C574-Historical_Simulation!C575)</f>
        <v>-27.240000000000009</v>
      </c>
      <c r="G573">
        <f>-(Historical_Simulation!D574-Historical_Simulation!D575)</f>
        <v>-3.7599999999999909</v>
      </c>
      <c r="J573" s="23">
        <v>43307</v>
      </c>
      <c r="K573" s="24">
        <f t="shared" si="32"/>
        <v>30.067039168468281</v>
      </c>
      <c r="L573" s="25"/>
      <c r="M573" s="25"/>
      <c r="N573" s="27"/>
      <c r="Q573" s="23">
        <v>43307</v>
      </c>
      <c r="R573" s="24">
        <f t="shared" si="33"/>
        <v>20.657881548206763</v>
      </c>
      <c r="S573" s="25"/>
      <c r="T573" s="25"/>
      <c r="U573" s="27"/>
      <c r="X573" s="47">
        <v>43307</v>
      </c>
      <c r="Y573" s="48">
        <f t="shared" si="34"/>
        <v>230.36838470478025</v>
      </c>
      <c r="Z573" s="49"/>
      <c r="AA573" s="49"/>
      <c r="AB573" s="51"/>
      <c r="AE573" s="47">
        <v>43307</v>
      </c>
      <c r="AF573" s="48">
        <f t="shared" si="35"/>
        <v>160.64278579678094</v>
      </c>
      <c r="AG573" s="49"/>
      <c r="AH573" s="49"/>
      <c r="AI573" s="51"/>
    </row>
    <row r="574" spans="1:35" x14ac:dyDescent="0.3">
      <c r="A574" s="20">
        <v>43304</v>
      </c>
      <c r="C574">
        <f>-(Historical_Simulation!B575-Historical_Simulation!B576)</f>
        <v>-4.2500000000003979E-2</v>
      </c>
      <c r="E574">
        <f>-(Historical_Simulation!C575-Historical_Simulation!C576)</f>
        <v>11.700000000000045</v>
      </c>
      <c r="G574">
        <f>-(Historical_Simulation!D575-Historical_Simulation!D576)</f>
        <v>-0.96999999999999886</v>
      </c>
      <c r="J574" s="23">
        <v>43306</v>
      </c>
      <c r="K574" s="24">
        <f t="shared" si="32"/>
        <v>-18.749218020981836</v>
      </c>
      <c r="L574" s="25"/>
      <c r="M574" s="25"/>
      <c r="N574" s="27"/>
      <c r="Q574" s="23">
        <v>43306</v>
      </c>
      <c r="R574" s="24">
        <f t="shared" si="33"/>
        <v>-12.995053468104972</v>
      </c>
      <c r="S574" s="25"/>
      <c r="T574" s="25"/>
      <c r="U574" s="27"/>
      <c r="X574" s="47">
        <v>43306</v>
      </c>
      <c r="Y574" s="48">
        <f t="shared" si="34"/>
        <v>-13.762276572530727</v>
      </c>
      <c r="Z574" s="49"/>
      <c r="AA574" s="49"/>
      <c r="AB574" s="51"/>
      <c r="AE574" s="47">
        <v>43306</v>
      </c>
      <c r="AF574" s="48">
        <f t="shared" si="35"/>
        <v>-9.7318951327619558</v>
      </c>
      <c r="AG574" s="49"/>
      <c r="AH574" s="49"/>
      <c r="AI574" s="51"/>
    </row>
    <row r="575" spans="1:35" x14ac:dyDescent="0.3">
      <c r="A575" s="20">
        <v>43301</v>
      </c>
      <c r="C575">
        <f>-(Historical_Simulation!B576-Historical_Simulation!B577)</f>
        <v>0.10999999999999943</v>
      </c>
      <c r="E575">
        <f>-(Historical_Simulation!C576-Historical_Simulation!C577)</f>
        <v>-0.73000000000001819</v>
      </c>
      <c r="G575">
        <f>-(Historical_Simulation!D576-Historical_Simulation!D577)</f>
        <v>-1.8499999999999943</v>
      </c>
      <c r="J575" s="23">
        <v>43305</v>
      </c>
      <c r="K575" s="24">
        <f t="shared" si="32"/>
        <v>-14.853684818789791</v>
      </c>
      <c r="L575" s="25"/>
      <c r="M575" s="25"/>
      <c r="N575" s="27"/>
      <c r="Q575" s="23">
        <v>43305</v>
      </c>
      <c r="R575" s="24">
        <f t="shared" si="33"/>
        <v>-10.290987775055701</v>
      </c>
      <c r="S575" s="25"/>
      <c r="T575" s="25"/>
      <c r="U575" s="27"/>
      <c r="X575" s="47">
        <v>43305</v>
      </c>
      <c r="Y575" s="48">
        <f t="shared" si="34"/>
        <v>-19.467955285793998</v>
      </c>
      <c r="Z575" s="49"/>
      <c r="AA575" s="49"/>
      <c r="AB575" s="51"/>
      <c r="AE575" s="47">
        <v>43305</v>
      </c>
      <c r="AF575" s="48">
        <f t="shared" si="35"/>
        <v>-13.67693353286313</v>
      </c>
      <c r="AG575" s="49"/>
      <c r="AH575" s="49"/>
      <c r="AI575" s="51"/>
    </row>
    <row r="576" spans="1:35" x14ac:dyDescent="0.3">
      <c r="A576" s="20">
        <v>43300</v>
      </c>
      <c r="C576">
        <f>-(Historical_Simulation!B577-Historical_Simulation!B578)</f>
        <v>-0.36999999999999744</v>
      </c>
      <c r="E576">
        <f>-(Historical_Simulation!C577-Historical_Simulation!C578)</f>
        <v>29.950000000000045</v>
      </c>
      <c r="G576">
        <f>-(Historical_Simulation!D577-Historical_Simulation!D578)</f>
        <v>1.2700000000000102</v>
      </c>
      <c r="J576" s="23">
        <v>43304</v>
      </c>
      <c r="K576" s="24">
        <f t="shared" si="32"/>
        <v>6.2915661981831246</v>
      </c>
      <c r="L576" s="25"/>
      <c r="M576" s="25"/>
      <c r="N576" s="27"/>
      <c r="Q576" s="23">
        <v>43304</v>
      </c>
      <c r="R576" s="24">
        <f t="shared" si="33"/>
        <v>4.2992832183170746</v>
      </c>
      <c r="S576" s="25"/>
      <c r="T576" s="25"/>
      <c r="U576" s="27"/>
      <c r="X576" s="47">
        <v>43304</v>
      </c>
      <c r="Y576" s="48">
        <f t="shared" si="34"/>
        <v>-5.2393416930619443</v>
      </c>
      <c r="Z576" s="49"/>
      <c r="AA576" s="49"/>
      <c r="AB576" s="51"/>
      <c r="AE576" s="47">
        <v>43304</v>
      </c>
      <c r="AF576" s="48">
        <f t="shared" si="35"/>
        <v>-3.6653716781627899</v>
      </c>
      <c r="AG576" s="49"/>
      <c r="AH576" s="49"/>
      <c r="AI576" s="51"/>
    </row>
    <row r="577" spans="1:35" x14ac:dyDescent="0.3">
      <c r="A577" s="20">
        <v>43299</v>
      </c>
      <c r="C577">
        <f>-(Historical_Simulation!B578-Historical_Simulation!B579)</f>
        <v>0.26249999999999574</v>
      </c>
      <c r="E577">
        <f>-(Historical_Simulation!C578-Historical_Simulation!C579)</f>
        <v>1.0099999999999909</v>
      </c>
      <c r="G577">
        <f>-(Historical_Simulation!D578-Historical_Simulation!D579)</f>
        <v>0.62999999999999545</v>
      </c>
      <c r="J577" s="23">
        <v>43301</v>
      </c>
      <c r="K577" s="24">
        <f t="shared" si="32"/>
        <v>-0.34310756708315304</v>
      </c>
      <c r="L577" s="25"/>
      <c r="M577" s="25"/>
      <c r="N577" s="27"/>
      <c r="Q577" s="23">
        <v>43301</v>
      </c>
      <c r="R577" s="24">
        <f t="shared" si="33"/>
        <v>-0.20058955958155539</v>
      </c>
      <c r="S577" s="25"/>
      <c r="T577" s="25"/>
      <c r="U577" s="27"/>
      <c r="X577" s="47">
        <v>43301</v>
      </c>
      <c r="Y577" s="48">
        <f t="shared" si="34"/>
        <v>-10.87200508722526</v>
      </c>
      <c r="Z577" s="49"/>
      <c r="AA577" s="49"/>
      <c r="AB577" s="51"/>
      <c r="AE577" s="47">
        <v>43301</v>
      </c>
      <c r="AF577" s="48">
        <f t="shared" si="35"/>
        <v>-7.5458797727213778</v>
      </c>
      <c r="AG577" s="49"/>
      <c r="AH577" s="49"/>
      <c r="AI577" s="51"/>
    </row>
    <row r="578" spans="1:35" x14ac:dyDescent="0.3">
      <c r="A578" s="20">
        <v>43298</v>
      </c>
      <c r="C578">
        <f>-(Historical_Simulation!B579-Historical_Simulation!B580)</f>
        <v>-0.13499999999999801</v>
      </c>
      <c r="E578">
        <f>-(Historical_Simulation!C579-Historical_Simulation!C580)</f>
        <v>-21.440000000000055</v>
      </c>
      <c r="G578">
        <f>-(Historical_Simulation!D579-Historical_Simulation!D580)</f>
        <v>-2.7600000000000193</v>
      </c>
      <c r="J578" s="23">
        <v>43300</v>
      </c>
      <c r="K578" s="24">
        <f t="shared" si="32"/>
        <v>15.985025516620139</v>
      </c>
      <c r="L578" s="25"/>
      <c r="M578" s="25"/>
      <c r="N578" s="27"/>
      <c r="Q578" s="23">
        <v>43300</v>
      </c>
      <c r="R578" s="24">
        <f t="shared" si="33"/>
        <v>10.840804102991143</v>
      </c>
      <c r="S578" s="25"/>
      <c r="T578" s="25"/>
      <c r="U578" s="27"/>
      <c r="X578" s="47">
        <v>43300</v>
      </c>
      <c r="Y578" s="48">
        <f t="shared" si="34"/>
        <v>8.8190246648212085</v>
      </c>
      <c r="Z578" s="49"/>
      <c r="AA578" s="49"/>
      <c r="AB578" s="51"/>
      <c r="AE578" s="47">
        <v>43300</v>
      </c>
      <c r="AF578" s="48">
        <f t="shared" si="35"/>
        <v>6.0359402179914099</v>
      </c>
      <c r="AG578" s="49"/>
      <c r="AH578" s="49"/>
      <c r="AI578" s="51"/>
    </row>
    <row r="579" spans="1:35" x14ac:dyDescent="0.3">
      <c r="A579" s="20">
        <v>43297</v>
      </c>
      <c r="C579">
        <f>-(Historical_Simulation!B580-Historical_Simulation!B581)</f>
        <v>0.10500000000000398</v>
      </c>
      <c r="E579">
        <f>-(Historical_Simulation!C580-Historical_Simulation!C581)</f>
        <v>-9.4600000000000364</v>
      </c>
      <c r="G579">
        <f>-(Historical_Simulation!D580-Historical_Simulation!D581)</f>
        <v>9.0000000000003411E-2</v>
      </c>
      <c r="J579" s="23">
        <v>43299</v>
      </c>
      <c r="K579" s="24">
        <f t="shared" si="32"/>
        <v>0.66571179332695662</v>
      </c>
      <c r="L579" s="25"/>
      <c r="M579" s="25"/>
      <c r="N579" s="27"/>
      <c r="Q579" s="23">
        <v>43299</v>
      </c>
      <c r="R579" s="24">
        <f t="shared" si="33"/>
        <v>0.53888773308000271</v>
      </c>
      <c r="S579" s="25"/>
      <c r="T579" s="25"/>
      <c r="U579" s="27"/>
      <c r="X579" s="47">
        <v>43299</v>
      </c>
      <c r="Y579" s="48">
        <f t="shared" si="34"/>
        <v>2.3216259538547366</v>
      </c>
      <c r="Z579" s="49"/>
      <c r="AA579" s="49"/>
      <c r="AB579" s="51"/>
      <c r="AE579" s="47">
        <v>43299</v>
      </c>
      <c r="AF579" s="48">
        <f t="shared" si="35"/>
        <v>1.6979774573852575</v>
      </c>
      <c r="AG579" s="49"/>
      <c r="AH579" s="49"/>
      <c r="AI579" s="51"/>
    </row>
    <row r="580" spans="1:35" x14ac:dyDescent="0.3">
      <c r="A580" s="20">
        <v>43294</v>
      </c>
      <c r="C580">
        <f>-(Historical_Simulation!B581-Historical_Simulation!B582)</f>
        <v>-7.5000000000002842E-2</v>
      </c>
      <c r="E580">
        <f>-(Historical_Simulation!C581-Historical_Simulation!C582)</f>
        <v>-16.410000000000082</v>
      </c>
      <c r="G580">
        <f>-(Historical_Simulation!D581-Historical_Simulation!D582)</f>
        <v>-0.40000000000000568</v>
      </c>
      <c r="J580" s="23">
        <v>43298</v>
      </c>
      <c r="K580" s="24">
        <f t="shared" si="32"/>
        <v>-11.62721037703141</v>
      </c>
      <c r="L580" s="25"/>
      <c r="M580" s="25"/>
      <c r="N580" s="27"/>
      <c r="Q580" s="23">
        <v>43298</v>
      </c>
      <c r="R580" s="24">
        <f t="shared" si="33"/>
        <v>-8.0125125796248842</v>
      </c>
      <c r="S580" s="25"/>
      <c r="T580" s="25"/>
      <c r="U580" s="27"/>
      <c r="X580" s="47">
        <v>43298</v>
      </c>
      <c r="Y580" s="48">
        <f t="shared" si="34"/>
        <v>-14.84304252753399</v>
      </c>
      <c r="Z580" s="49"/>
      <c r="AA580" s="49"/>
      <c r="AB580" s="51"/>
      <c r="AE580" s="47">
        <v>43298</v>
      </c>
      <c r="AF580" s="48">
        <f t="shared" si="35"/>
        <v>-10.388410409894815</v>
      </c>
      <c r="AG580" s="49"/>
      <c r="AH580" s="49"/>
      <c r="AI580" s="51"/>
    </row>
    <row r="581" spans="1:35" x14ac:dyDescent="0.3">
      <c r="A581" s="20">
        <v>43293</v>
      </c>
      <c r="C581">
        <f>-(Historical_Simulation!B582-Historical_Simulation!B583)</f>
        <v>-0.78750000000000142</v>
      </c>
      <c r="E581">
        <f>-(Historical_Simulation!C582-Historical_Simulation!C583)</f>
        <v>-41.619999999999891</v>
      </c>
      <c r="G581">
        <f>-(Historical_Simulation!D582-Historical_Simulation!D583)</f>
        <v>-4.3799999999999955</v>
      </c>
      <c r="J581" s="23">
        <v>43297</v>
      </c>
      <c r="K581" s="24">
        <f t="shared" si="32"/>
        <v>-5.0544927132741391</v>
      </c>
      <c r="L581" s="25"/>
      <c r="M581" s="25"/>
      <c r="N581" s="27"/>
      <c r="Q581" s="23">
        <v>43297</v>
      </c>
      <c r="R581" s="24">
        <f t="shared" si="33"/>
        <v>-3.4316537349970462</v>
      </c>
      <c r="S581" s="25"/>
      <c r="T581" s="25"/>
      <c r="U581" s="27"/>
      <c r="X581" s="47">
        <v>43297</v>
      </c>
      <c r="Y581" s="48">
        <f t="shared" si="34"/>
        <v>2.0954042699807163E-2</v>
      </c>
      <c r="Z581" s="49"/>
      <c r="AA581" s="49"/>
      <c r="AB581" s="51"/>
      <c r="AE581" s="47">
        <v>43297</v>
      </c>
      <c r="AF581" s="48">
        <f t="shared" si="35"/>
        <v>4.6409083372031867E-2</v>
      </c>
      <c r="AG581" s="49"/>
      <c r="AH581" s="49"/>
      <c r="AI581" s="51"/>
    </row>
    <row r="582" spans="1:35" x14ac:dyDescent="0.3">
      <c r="A582" s="20">
        <v>43292</v>
      </c>
      <c r="C582">
        <f>-(Historical_Simulation!B583-Historical_Simulation!B584)</f>
        <v>0.61749999999999972</v>
      </c>
      <c r="E582">
        <f>-(Historical_Simulation!C583-Historical_Simulation!C584)</f>
        <v>-11.930000000000064</v>
      </c>
      <c r="G582">
        <f>-(Historical_Simulation!D583-Historical_Simulation!D584)</f>
        <v>1</v>
      </c>
      <c r="J582" s="23">
        <v>43294</v>
      </c>
      <c r="K582" s="24">
        <f t="shared" ref="K582:K645" si="36">C580*$K$3+E580*(1-$K$3)</f>
        <v>-8.8863239384561652</v>
      </c>
      <c r="L582" s="25"/>
      <c r="M582" s="25"/>
      <c r="N582" s="27"/>
      <c r="Q582" s="23">
        <v>43294</v>
      </c>
      <c r="R582" s="24">
        <f t="shared" si="33"/>
        <v>-6.1148576854340702</v>
      </c>
      <c r="S582" s="25"/>
      <c r="T582" s="25"/>
      <c r="U582" s="27"/>
      <c r="X582" s="47">
        <v>43294</v>
      </c>
      <c r="Y582" s="48">
        <f t="shared" si="34"/>
        <v>-1.8959957415042128</v>
      </c>
      <c r="Z582" s="49"/>
      <c r="AA582" s="49"/>
      <c r="AB582" s="51"/>
      <c r="AE582" s="47">
        <v>43294</v>
      </c>
      <c r="AF582" s="48">
        <f t="shared" si="35"/>
        <v>-1.3444698602726954</v>
      </c>
      <c r="AG582" s="49"/>
      <c r="AH582" s="49"/>
      <c r="AI582" s="51"/>
    </row>
    <row r="583" spans="1:35" x14ac:dyDescent="0.3">
      <c r="A583" s="20">
        <v>43291</v>
      </c>
      <c r="C583">
        <f>-(Historical_Simulation!B584-Historical_Simulation!B585)</f>
        <v>5.7500000000004547E-2</v>
      </c>
      <c r="E583">
        <f>-(Historical_Simulation!C584-Historical_Simulation!C585)</f>
        <v>-4.0499999999999545</v>
      </c>
      <c r="G583">
        <f>-(Historical_Simulation!D584-Historical_Simulation!D585)</f>
        <v>1.2000000000000171</v>
      </c>
      <c r="J583" s="23">
        <v>43293</v>
      </c>
      <c r="K583" s="24">
        <f t="shared" si="36"/>
        <v>-22.813112777288552</v>
      </c>
      <c r="L583" s="25"/>
      <c r="M583" s="25"/>
      <c r="N583" s="27"/>
      <c r="Q583" s="23">
        <v>43293</v>
      </c>
      <c r="R583" s="24">
        <f t="shared" ref="R583:R646" si="37">C581*$R$3+E581*(1-$R$3)</f>
        <v>-15.885295466206593</v>
      </c>
      <c r="S583" s="25"/>
      <c r="T583" s="25"/>
      <c r="U583" s="27"/>
      <c r="X583" s="47">
        <v>43293</v>
      </c>
      <c r="Y583" s="48">
        <f t="shared" ref="Y583:Y646" si="38">C581*$Y$3+G581*(1-$Y$3)</f>
        <v>-20.916506773396325</v>
      </c>
      <c r="Z583" s="49"/>
      <c r="AA583" s="49"/>
      <c r="AB583" s="51"/>
      <c r="AE583" s="47">
        <v>43293</v>
      </c>
      <c r="AF583" s="48">
        <f t="shared" ref="AF583:AF646" si="39">C581*$AF$3+G581*(1-$AF$3)</f>
        <v>-14.820024532398772</v>
      </c>
      <c r="AG583" s="49"/>
      <c r="AH583" s="49"/>
      <c r="AI583" s="51"/>
    </row>
    <row r="584" spans="1:35" x14ac:dyDescent="0.3">
      <c r="A584" s="20">
        <v>43290</v>
      </c>
      <c r="C584">
        <f>-(Historical_Simulation!B585-Historical_Simulation!B586)</f>
        <v>-0.65250000000000341</v>
      </c>
      <c r="E584">
        <f>-(Historical_Simulation!C585-Historical_Simulation!C586)</f>
        <v>-28.389999999999873</v>
      </c>
      <c r="G584">
        <f>-(Historical_Simulation!D585-Historical_Simulation!D586)</f>
        <v>-1.5100000000000193</v>
      </c>
      <c r="J584" s="23">
        <v>43292</v>
      </c>
      <c r="K584" s="24">
        <f t="shared" si="36"/>
        <v>-6.1507942833044824</v>
      </c>
      <c r="L584" s="25"/>
      <c r="M584" s="25"/>
      <c r="N584" s="27"/>
      <c r="Q584" s="23">
        <v>43292</v>
      </c>
      <c r="R584" s="24">
        <f t="shared" si="37"/>
        <v>-4.0219315462494016</v>
      </c>
      <c r="S584" s="25"/>
      <c r="T584" s="25"/>
      <c r="U584" s="27"/>
      <c r="X584" s="47">
        <v>43292</v>
      </c>
      <c r="Y584" s="48">
        <f t="shared" si="38"/>
        <v>2.7606719111549372</v>
      </c>
      <c r="Z584" s="49"/>
      <c r="AA584" s="49"/>
      <c r="AB584" s="51"/>
      <c r="AE584" s="47">
        <v>43292</v>
      </c>
      <c r="AF584" s="48">
        <f t="shared" si="39"/>
        <v>2.1115683740132338</v>
      </c>
      <c r="AG584" s="49"/>
      <c r="AH584" s="49"/>
      <c r="AI584" s="51"/>
    </row>
    <row r="585" spans="1:35" x14ac:dyDescent="0.3">
      <c r="A585" s="20">
        <v>43287</v>
      </c>
      <c r="C585">
        <f>-(Historical_Simulation!B586-Historical_Simulation!B587)</f>
        <v>-0.64249999999999829</v>
      </c>
      <c r="E585">
        <f>-(Historical_Simulation!C586-Historical_Simulation!C587)</f>
        <v>-10.900000000000091</v>
      </c>
      <c r="G585">
        <f>-(Historical_Simulation!D586-Historical_Simulation!D587)</f>
        <v>-4.7800000000000011</v>
      </c>
      <c r="J585" s="23">
        <v>43291</v>
      </c>
      <c r="K585" s="24">
        <f t="shared" si="36"/>
        <v>-2.1581420616595088</v>
      </c>
      <c r="L585" s="25"/>
      <c r="M585" s="25"/>
      <c r="N585" s="27"/>
      <c r="Q585" s="23">
        <v>43291</v>
      </c>
      <c r="R585" s="24">
        <f t="shared" si="37"/>
        <v>-1.4612459714061825</v>
      </c>
      <c r="S585" s="25"/>
      <c r="T585" s="25"/>
      <c r="U585" s="27"/>
      <c r="X585" s="47">
        <v>43291</v>
      </c>
      <c r="Y585" s="48">
        <f t="shared" si="38"/>
        <v>6.4590004143648176</v>
      </c>
      <c r="Z585" s="49"/>
      <c r="AA585" s="49"/>
      <c r="AB585" s="51"/>
      <c r="AE585" s="47">
        <v>43291</v>
      </c>
      <c r="AF585" s="48">
        <f t="shared" si="39"/>
        <v>4.5201748164970947</v>
      </c>
      <c r="AG585" s="49"/>
      <c r="AH585" s="49"/>
      <c r="AI585" s="51"/>
    </row>
    <row r="586" spans="1:35" x14ac:dyDescent="0.3">
      <c r="A586" s="20">
        <v>43286</v>
      </c>
      <c r="C586">
        <f>-(Historical_Simulation!B587-Historical_Simulation!B588)</f>
        <v>-0.37000000000000455</v>
      </c>
      <c r="E586">
        <f>-(Historical_Simulation!C587-Historical_Simulation!C588)</f>
        <v>-5.7699999999999818</v>
      </c>
      <c r="G586">
        <f>-(Historical_Simulation!D587-Historical_Simulation!D588)</f>
        <v>-5.7199999999999989</v>
      </c>
      <c r="J586" s="23">
        <v>43290</v>
      </c>
      <c r="K586" s="24">
        <f t="shared" si="36"/>
        <v>-15.614489454724549</v>
      </c>
      <c r="L586" s="25"/>
      <c r="M586" s="25"/>
      <c r="N586" s="27"/>
      <c r="Q586" s="23">
        <v>43290</v>
      </c>
      <c r="R586" s="24">
        <f t="shared" si="37"/>
        <v>-10.908426082015664</v>
      </c>
      <c r="S586" s="25"/>
      <c r="T586" s="25"/>
      <c r="U586" s="27"/>
      <c r="X586" s="47">
        <v>43290</v>
      </c>
      <c r="Y586" s="48">
        <f t="shared" si="38"/>
        <v>-5.4571272256611572</v>
      </c>
      <c r="Z586" s="49"/>
      <c r="AA586" s="49"/>
      <c r="AB586" s="51"/>
      <c r="AE586" s="47">
        <v>43290</v>
      </c>
      <c r="AF586" s="48">
        <f t="shared" si="39"/>
        <v>-4.0019474005656788</v>
      </c>
      <c r="AG586" s="49"/>
      <c r="AH586" s="49"/>
      <c r="AI586" s="51"/>
    </row>
    <row r="587" spans="1:35" x14ac:dyDescent="0.3">
      <c r="A587" s="20">
        <v>43285</v>
      </c>
      <c r="C587">
        <f>-(Historical_Simulation!B588-Historical_Simulation!B589)</f>
        <v>0</v>
      </c>
      <c r="E587">
        <f>-(Historical_Simulation!C588-Historical_Simulation!C589)</f>
        <v>0</v>
      </c>
      <c r="G587">
        <f>-(Historical_Simulation!D588-Historical_Simulation!D589)</f>
        <v>0</v>
      </c>
      <c r="J587" s="23">
        <v>43287</v>
      </c>
      <c r="K587" s="24">
        <f t="shared" si="36"/>
        <v>-6.1755367492325943</v>
      </c>
      <c r="L587" s="25"/>
      <c r="M587" s="25"/>
      <c r="N587" s="27"/>
      <c r="Q587" s="23">
        <v>43287</v>
      </c>
      <c r="R587" s="24">
        <f t="shared" si="37"/>
        <v>-4.4352052469139984</v>
      </c>
      <c r="S587" s="25"/>
      <c r="T587" s="25"/>
      <c r="U587" s="27"/>
      <c r="X587" s="47">
        <v>43287</v>
      </c>
      <c r="Y587" s="48">
        <f t="shared" si="38"/>
        <v>-23.825176555303408</v>
      </c>
      <c r="Z587" s="49"/>
      <c r="AA587" s="49"/>
      <c r="AB587" s="51"/>
      <c r="AE587" s="47">
        <v>43287</v>
      </c>
      <c r="AF587" s="48">
        <f t="shared" si="39"/>
        <v>-16.803827836548376</v>
      </c>
      <c r="AG587" s="49"/>
      <c r="AH587" s="49"/>
      <c r="AI587" s="51"/>
    </row>
    <row r="588" spans="1:35" x14ac:dyDescent="0.3">
      <c r="A588" s="20">
        <v>43284</v>
      </c>
      <c r="C588">
        <f>-(Historical_Simulation!B589-Historical_Simulation!B590)</f>
        <v>0.81500000000000483</v>
      </c>
      <c r="E588">
        <f>-(Historical_Simulation!C589-Historical_Simulation!C590)</f>
        <v>19.819999999999936</v>
      </c>
      <c r="G588">
        <f>-(Historical_Simulation!D589-Historical_Simulation!D590)</f>
        <v>4.6300000000000239</v>
      </c>
      <c r="J588" s="23">
        <v>43286</v>
      </c>
      <c r="K588" s="24">
        <f t="shared" si="36"/>
        <v>-3.282834359820197</v>
      </c>
      <c r="L588" s="25"/>
      <c r="M588" s="25"/>
      <c r="N588" s="27"/>
      <c r="Q588" s="23">
        <v>43286</v>
      </c>
      <c r="R588" s="24">
        <f t="shared" si="37"/>
        <v>-2.3666471687385213</v>
      </c>
      <c r="S588" s="25"/>
      <c r="T588" s="25"/>
      <c r="U588" s="27"/>
      <c r="X588" s="47">
        <v>43286</v>
      </c>
      <c r="Y588" s="48">
        <f t="shared" si="38"/>
        <v>-30.346391437069009</v>
      </c>
      <c r="Z588" s="49"/>
      <c r="AA588" s="49"/>
      <c r="AB588" s="51"/>
      <c r="AE588" s="47">
        <v>43286</v>
      </c>
      <c r="AF588" s="48">
        <f t="shared" si="39"/>
        <v>-21.267426930642582</v>
      </c>
      <c r="AG588" s="49"/>
      <c r="AH588" s="49"/>
      <c r="AI588" s="51"/>
    </row>
    <row r="589" spans="1:35" x14ac:dyDescent="0.3">
      <c r="A589" s="20">
        <v>43283</v>
      </c>
      <c r="C589">
        <f>-(Historical_Simulation!B590-Historical_Simulation!B591)</f>
        <v>-0.51749999999999829</v>
      </c>
      <c r="E589">
        <f>-(Historical_Simulation!C590-Historical_Simulation!C591)</f>
        <v>-13.980000000000018</v>
      </c>
      <c r="G589">
        <f>-(Historical_Simulation!D590-Historical_Simulation!D591)</f>
        <v>-3.0400000000000205</v>
      </c>
      <c r="J589" s="23">
        <v>43285</v>
      </c>
      <c r="K589" s="24">
        <f t="shared" si="36"/>
        <v>0</v>
      </c>
      <c r="L589" s="25"/>
      <c r="M589" s="25"/>
      <c r="N589" s="27"/>
      <c r="Q589" s="23">
        <v>43285</v>
      </c>
      <c r="R589" s="24">
        <f t="shared" si="37"/>
        <v>0</v>
      </c>
      <c r="S589" s="25"/>
      <c r="T589" s="25"/>
      <c r="U589" s="27"/>
      <c r="X589" s="47">
        <v>43285</v>
      </c>
      <c r="Y589" s="48">
        <f t="shared" si="38"/>
        <v>0</v>
      </c>
      <c r="Z589" s="49"/>
      <c r="AA589" s="49"/>
      <c r="AB589" s="51"/>
      <c r="AE589" s="47">
        <v>43285</v>
      </c>
      <c r="AF589" s="48">
        <f t="shared" si="39"/>
        <v>0</v>
      </c>
      <c r="AG589" s="49"/>
      <c r="AH589" s="49"/>
      <c r="AI589" s="51"/>
    </row>
    <row r="590" spans="1:35" x14ac:dyDescent="0.3">
      <c r="A590" s="20">
        <v>43280</v>
      </c>
      <c r="C590">
        <f>-(Historical_Simulation!B591-Historical_Simulation!B592)</f>
        <v>9.7499999999996589E-2</v>
      </c>
      <c r="E590">
        <f>-(Historical_Simulation!C591-Historical_Simulation!C592)</f>
        <v>1.6500000000000909</v>
      </c>
      <c r="G590">
        <f>-(Historical_Simulation!D591-Historical_Simulation!D592)</f>
        <v>1.9099999999999966</v>
      </c>
      <c r="J590" s="23">
        <v>43284</v>
      </c>
      <c r="K590" s="24">
        <f t="shared" si="36"/>
        <v>11.066558705256076</v>
      </c>
      <c r="L590" s="25"/>
      <c r="M590" s="25"/>
      <c r="N590" s="27"/>
      <c r="Q590" s="23">
        <v>43284</v>
      </c>
      <c r="R590" s="24">
        <f t="shared" si="37"/>
        <v>7.8420887855325097</v>
      </c>
      <c r="S590" s="25"/>
      <c r="T590" s="25"/>
      <c r="U590" s="27"/>
      <c r="X590" s="47">
        <v>43284</v>
      </c>
      <c r="Y590" s="48">
        <f t="shared" si="38"/>
        <v>22.19068847334934</v>
      </c>
      <c r="Z590" s="49"/>
      <c r="AA590" s="49"/>
      <c r="AB590" s="51"/>
      <c r="AE590" s="47">
        <v>43284</v>
      </c>
      <c r="AF590" s="48">
        <f t="shared" si="39"/>
        <v>15.716623129047093</v>
      </c>
      <c r="AG590" s="49"/>
      <c r="AH590" s="49"/>
      <c r="AI590" s="51"/>
    </row>
    <row r="591" spans="1:35" x14ac:dyDescent="0.3">
      <c r="A591" s="20">
        <v>43279</v>
      </c>
      <c r="C591">
        <f>-(Historical_Simulation!B592-Historical_Simulation!B593)</f>
        <v>-0.33500000000000085</v>
      </c>
      <c r="E591">
        <f>-(Historical_Simulation!C592-Historical_Simulation!C593)</f>
        <v>-40.940000000000055</v>
      </c>
      <c r="G591">
        <f>-(Historical_Simulation!D592-Historical_Simulation!D593)</f>
        <v>-0.38999999999998636</v>
      </c>
      <c r="J591" s="23">
        <v>43283</v>
      </c>
      <c r="K591" s="24">
        <f t="shared" si="36"/>
        <v>-7.7793578831628807</v>
      </c>
      <c r="L591" s="25"/>
      <c r="M591" s="25"/>
      <c r="N591" s="27"/>
      <c r="Q591" s="23">
        <v>43283</v>
      </c>
      <c r="R591" s="24">
        <f t="shared" si="37"/>
        <v>-5.4952523165078562</v>
      </c>
      <c r="S591" s="25"/>
      <c r="T591" s="25"/>
      <c r="U591" s="27"/>
      <c r="X591" s="47">
        <v>43283</v>
      </c>
      <c r="Y591" s="48">
        <f t="shared" si="38"/>
        <v>-14.651228485982674</v>
      </c>
      <c r="Z591" s="49"/>
      <c r="AA591" s="49"/>
      <c r="AB591" s="51"/>
      <c r="AE591" s="47">
        <v>43283</v>
      </c>
      <c r="AF591" s="48">
        <f t="shared" si="39"/>
        <v>-10.370539146270357</v>
      </c>
      <c r="AG591" s="49"/>
      <c r="AH591" s="49"/>
      <c r="AI591" s="51"/>
    </row>
    <row r="592" spans="1:35" x14ac:dyDescent="0.3">
      <c r="A592" s="20">
        <v>43278</v>
      </c>
      <c r="C592">
        <f>-(Historical_Simulation!B593-Historical_Simulation!B594)</f>
        <v>6.7500000000002558E-2</v>
      </c>
      <c r="E592">
        <f>-(Historical_Simulation!C593-Historical_Simulation!C594)</f>
        <v>30.579999999999927</v>
      </c>
      <c r="G592">
        <f>-(Historical_Simulation!D593-Historical_Simulation!D594)</f>
        <v>3.1599999999999966</v>
      </c>
      <c r="J592" s="23">
        <v>43280</v>
      </c>
      <c r="K592" s="24">
        <f t="shared" si="36"/>
        <v>0.93493987844835624</v>
      </c>
      <c r="L592" s="25"/>
      <c r="M592" s="25"/>
      <c r="N592" s="27"/>
      <c r="Q592" s="23">
        <v>43280</v>
      </c>
      <c r="R592" s="24">
        <f t="shared" si="37"/>
        <v>0.67153606101235741</v>
      </c>
      <c r="S592" s="25"/>
      <c r="T592" s="25"/>
      <c r="U592" s="27"/>
      <c r="X592" s="47">
        <v>43280</v>
      </c>
      <c r="Y592" s="48">
        <f t="shared" si="38"/>
        <v>10.253053173773386</v>
      </c>
      <c r="Z592" s="49"/>
      <c r="AA592" s="49"/>
      <c r="AB592" s="51"/>
      <c r="AE592" s="47">
        <v>43280</v>
      </c>
      <c r="AF592" s="48">
        <f t="shared" si="39"/>
        <v>7.1772357592130271</v>
      </c>
      <c r="AG592" s="49"/>
      <c r="AH592" s="49"/>
      <c r="AI592" s="51"/>
    </row>
    <row r="593" spans="1:35" x14ac:dyDescent="0.3">
      <c r="A593" s="20">
        <v>43277</v>
      </c>
      <c r="C593">
        <f>-(Historical_Simulation!B594-Historical_Simulation!B595)</f>
        <v>-0.56500000000000483</v>
      </c>
      <c r="E593">
        <f>-(Historical_Simulation!C594-Historical_Simulation!C595)</f>
        <v>-27.939999999999827</v>
      </c>
      <c r="G593">
        <f>-(Historical_Simulation!D594-Historical_Simulation!D595)</f>
        <v>-2.6500000000000057</v>
      </c>
      <c r="J593" s="23">
        <v>43279</v>
      </c>
      <c r="K593" s="24">
        <f t="shared" si="36"/>
        <v>-22.237896144536958</v>
      </c>
      <c r="L593" s="25"/>
      <c r="M593" s="25"/>
      <c r="N593" s="27"/>
      <c r="Q593" s="23">
        <v>43279</v>
      </c>
      <c r="R593" s="24">
        <f t="shared" si="37"/>
        <v>-15.34867746048665</v>
      </c>
      <c r="S593" s="25"/>
      <c r="T593" s="25"/>
      <c r="U593" s="27"/>
      <c r="X593" s="47">
        <v>43279</v>
      </c>
      <c r="Y593" s="48">
        <f t="shared" si="38"/>
        <v>-0.64316851010062948</v>
      </c>
      <c r="Z593" s="49"/>
      <c r="AA593" s="49"/>
      <c r="AB593" s="51"/>
      <c r="AE593" s="47">
        <v>43279</v>
      </c>
      <c r="AF593" s="48">
        <f t="shared" si="39"/>
        <v>-0.54983336096916724</v>
      </c>
      <c r="AG593" s="49"/>
      <c r="AH593" s="49"/>
      <c r="AI593" s="51"/>
    </row>
    <row r="594" spans="1:35" x14ac:dyDescent="0.3">
      <c r="A594" s="20">
        <v>43276</v>
      </c>
      <c r="C594">
        <f>-(Historical_Simulation!B595-Historical_Simulation!B596)</f>
        <v>0.6875</v>
      </c>
      <c r="E594">
        <f>-(Historical_Simulation!C595-Historical_Simulation!C596)</f>
        <v>52.519999999999982</v>
      </c>
      <c r="G594">
        <f>-(Historical_Simulation!D595-Historical_Simulation!D596)</f>
        <v>5.3900000000000148</v>
      </c>
      <c r="J594" s="23">
        <v>43278</v>
      </c>
      <c r="K594" s="24">
        <f t="shared" si="36"/>
        <v>16.526362667409963</v>
      </c>
      <c r="L594" s="25"/>
      <c r="M594" s="25"/>
      <c r="N594" s="27"/>
      <c r="Q594" s="23">
        <v>43278</v>
      </c>
      <c r="R594" s="24">
        <f t="shared" si="37"/>
        <v>11.349480877061872</v>
      </c>
      <c r="S594" s="25"/>
      <c r="T594" s="25"/>
      <c r="U594" s="27"/>
      <c r="X594" s="47">
        <v>43278</v>
      </c>
      <c r="Y594" s="48">
        <f t="shared" si="38"/>
        <v>17.394974863389873</v>
      </c>
      <c r="Z594" s="49"/>
      <c r="AA594" s="49"/>
      <c r="AB594" s="51"/>
      <c r="AE594" s="47">
        <v>43278</v>
      </c>
      <c r="AF594" s="48">
        <f t="shared" si="39"/>
        <v>12.146993978133109</v>
      </c>
      <c r="AG594" s="49"/>
      <c r="AH594" s="49"/>
      <c r="AI594" s="51"/>
    </row>
    <row r="595" spans="1:35" x14ac:dyDescent="0.3">
      <c r="A595" s="20">
        <v>43273</v>
      </c>
      <c r="C595">
        <f>-(Historical_Simulation!B596-Historical_Simulation!B597)</f>
        <v>0.13500000000000512</v>
      </c>
      <c r="E595">
        <f>-(Historical_Simulation!C596-Historical_Simulation!C597)</f>
        <v>14.549999999999955</v>
      </c>
      <c r="G595">
        <f>-(Historical_Simulation!D596-Historical_Simulation!D597)</f>
        <v>-0.24000000000000909</v>
      </c>
      <c r="J595" s="23">
        <v>43277</v>
      </c>
      <c r="K595" s="24">
        <f t="shared" si="36"/>
        <v>-15.331451962977336</v>
      </c>
      <c r="L595" s="25"/>
      <c r="M595" s="25"/>
      <c r="N595" s="27"/>
      <c r="Q595" s="23">
        <v>43277</v>
      </c>
      <c r="R595" s="24">
        <f t="shared" si="37"/>
        <v>-10.686891897077183</v>
      </c>
      <c r="S595" s="25"/>
      <c r="T595" s="25"/>
      <c r="U595" s="27"/>
      <c r="X595" s="47">
        <v>43277</v>
      </c>
      <c r="Y595" s="48">
        <f t="shared" si="38"/>
        <v>-12.247388064726916</v>
      </c>
      <c r="Z595" s="49"/>
      <c r="AA595" s="49"/>
      <c r="AB595" s="51"/>
      <c r="AE595" s="47">
        <v>43277</v>
      </c>
      <c r="AF595" s="48">
        <f t="shared" si="39"/>
        <v>-8.7091374112878253</v>
      </c>
      <c r="AG595" s="49"/>
      <c r="AH595" s="49"/>
      <c r="AI595" s="51"/>
    </row>
    <row r="596" spans="1:35" x14ac:dyDescent="0.3">
      <c r="A596" s="20">
        <v>43272</v>
      </c>
      <c r="C596">
        <f>-(Historical_Simulation!B597-Historical_Simulation!B598)</f>
        <v>0.25999999999999801</v>
      </c>
      <c r="E596">
        <f>-(Historical_Simulation!C597-Historical_Simulation!C598)</f>
        <v>19.8599999999999</v>
      </c>
      <c r="G596">
        <f>-(Historical_Simulation!D597-Historical_Simulation!D598)</f>
        <v>0.5</v>
      </c>
      <c r="J596" s="23">
        <v>43276</v>
      </c>
      <c r="K596" s="24">
        <f t="shared" si="36"/>
        <v>28.646664250996427</v>
      </c>
      <c r="L596" s="25"/>
      <c r="M596" s="25"/>
      <c r="N596" s="27"/>
      <c r="Q596" s="23">
        <v>43276</v>
      </c>
      <c r="R596" s="24">
        <f t="shared" si="37"/>
        <v>19.852539698822142</v>
      </c>
      <c r="S596" s="25"/>
      <c r="T596" s="25"/>
      <c r="U596" s="27"/>
      <c r="X596" s="47">
        <v>43276</v>
      </c>
      <c r="Y596" s="48">
        <f t="shared" si="38"/>
        <v>27.035907613610767</v>
      </c>
      <c r="Z596" s="49"/>
      <c r="AA596" s="49"/>
      <c r="AB596" s="51"/>
      <c r="AE596" s="47">
        <v>43276</v>
      </c>
      <c r="AF596" s="48">
        <f t="shared" si="39"/>
        <v>19.055752362868624</v>
      </c>
      <c r="AG596" s="49"/>
      <c r="AH596" s="49"/>
      <c r="AI596" s="51"/>
    </row>
    <row r="597" spans="1:35" x14ac:dyDescent="0.3">
      <c r="A597" s="20">
        <v>43271</v>
      </c>
      <c r="C597">
        <f>-(Historical_Simulation!B598-Historical_Simulation!B599)</f>
        <v>-0.20250000000000057</v>
      </c>
      <c r="E597">
        <f>-(Historical_Simulation!C598-Historical_Simulation!C599)</f>
        <v>-15.299999999999955</v>
      </c>
      <c r="G597">
        <f>-(Historical_Simulation!D598-Historical_Simulation!D599)</f>
        <v>-4.5099999999999909</v>
      </c>
      <c r="J597" s="23">
        <v>43273</v>
      </c>
      <c r="K597" s="24">
        <f t="shared" si="36"/>
        <v>7.9106494994089136</v>
      </c>
      <c r="L597" s="25"/>
      <c r="M597" s="25"/>
      <c r="N597" s="27"/>
      <c r="Q597" s="23">
        <v>43273</v>
      </c>
      <c r="R597" s="24">
        <f t="shared" si="37"/>
        <v>5.4649386921047709</v>
      </c>
      <c r="S597" s="25"/>
      <c r="T597" s="25"/>
      <c r="U597" s="27"/>
      <c r="X597" s="47">
        <v>43273</v>
      </c>
      <c r="Y597" s="48">
        <f t="shared" si="38"/>
        <v>-1.9661489325049137</v>
      </c>
      <c r="Z597" s="49"/>
      <c r="AA597" s="49"/>
      <c r="AB597" s="51"/>
      <c r="AE597" s="47">
        <v>43273</v>
      </c>
      <c r="AF597" s="48">
        <f t="shared" si="39"/>
        <v>-1.3297729156992981</v>
      </c>
      <c r="AG597" s="49"/>
      <c r="AH597" s="49"/>
      <c r="AI597" s="51"/>
    </row>
    <row r="598" spans="1:35" x14ac:dyDescent="0.3">
      <c r="A598" s="20">
        <v>43270</v>
      </c>
      <c r="C598">
        <f>-(Historical_Simulation!B599-Historical_Simulation!B600)</f>
        <v>0.76250000000000284</v>
      </c>
      <c r="E598">
        <f>-(Historical_Simulation!C599-Historical_Simulation!C600)</f>
        <v>-10.990000000000009</v>
      </c>
      <c r="G598">
        <f>-(Historical_Simulation!D599-Historical_Simulation!D600)</f>
        <v>0.81999999999999318</v>
      </c>
      <c r="J598" s="23">
        <v>43272</v>
      </c>
      <c r="K598" s="24">
        <f t="shared" si="36"/>
        <v>10.832509898606613</v>
      </c>
      <c r="L598" s="25"/>
      <c r="M598" s="25"/>
      <c r="N598" s="27"/>
      <c r="Q598" s="23">
        <v>43272</v>
      </c>
      <c r="R598" s="24">
        <f t="shared" si="37"/>
        <v>7.5070897235694227</v>
      </c>
      <c r="S598" s="25"/>
      <c r="T598" s="25"/>
      <c r="U598" s="27"/>
      <c r="X598" s="47">
        <v>43272</v>
      </c>
      <c r="Y598" s="48">
        <f t="shared" si="38"/>
        <v>1.6047353168031062</v>
      </c>
      <c r="Z598" s="49"/>
      <c r="AA598" s="49"/>
      <c r="AB598" s="51"/>
      <c r="AE598" s="47">
        <v>43272</v>
      </c>
      <c r="AF598" s="48">
        <f t="shared" si="39"/>
        <v>1.1974546660475243</v>
      </c>
      <c r="AG598" s="49"/>
      <c r="AH598" s="49"/>
      <c r="AI598" s="51"/>
    </row>
    <row r="599" spans="1:35" x14ac:dyDescent="0.3">
      <c r="A599" s="20">
        <v>43269</v>
      </c>
      <c r="C599">
        <f>-(Historical_Simulation!B600-Historical_Simulation!B601)</f>
        <v>2.4999999999998579E-2</v>
      </c>
      <c r="E599">
        <f>-(Historical_Simulation!C600-Historical_Simulation!C601)</f>
        <v>-7.8199999999999363</v>
      </c>
      <c r="G599">
        <f>-(Historical_Simulation!D600-Historical_Simulation!D601)</f>
        <v>-2.460000000000008</v>
      </c>
      <c r="J599" s="23">
        <v>43271</v>
      </c>
      <c r="K599" s="24">
        <f t="shared" si="36"/>
        <v>-8.3462993976639659</v>
      </c>
      <c r="L599" s="25"/>
      <c r="M599" s="25"/>
      <c r="N599" s="27"/>
      <c r="Q599" s="23">
        <v>43271</v>
      </c>
      <c r="R599" s="24">
        <f t="shared" si="37"/>
        <v>-5.7847927092647762</v>
      </c>
      <c r="S599" s="25"/>
      <c r="T599" s="25"/>
      <c r="U599" s="27"/>
      <c r="X599" s="47">
        <v>43271</v>
      </c>
      <c r="Y599" s="48">
        <f t="shared" si="38"/>
        <v>-24.337697404705533</v>
      </c>
      <c r="Z599" s="49"/>
      <c r="AA599" s="49"/>
      <c r="AB599" s="51"/>
      <c r="AE599" s="47">
        <v>43271</v>
      </c>
      <c r="AF599" s="48">
        <f t="shared" si="39"/>
        <v>-17.027858224998656</v>
      </c>
      <c r="AG599" s="49"/>
      <c r="AH599" s="49"/>
      <c r="AI599" s="51"/>
    </row>
    <row r="600" spans="1:35" x14ac:dyDescent="0.3">
      <c r="A600" s="20">
        <v>43266</v>
      </c>
      <c r="C600">
        <f>-(Historical_Simulation!B601-Historical_Simulation!B602)</f>
        <v>0.49000000000000199</v>
      </c>
      <c r="E600">
        <f>-(Historical_Simulation!C601-Historical_Simulation!C602)</f>
        <v>7.8899999999998727</v>
      </c>
      <c r="G600">
        <f>-(Historical_Simulation!D601-Historical_Simulation!D602)</f>
        <v>0.96000000000000796</v>
      </c>
      <c r="J600" s="23">
        <v>43270</v>
      </c>
      <c r="K600" s="24">
        <f t="shared" si="36"/>
        <v>-5.5769603358864774</v>
      </c>
      <c r="L600" s="25"/>
      <c r="M600" s="25"/>
      <c r="N600" s="27"/>
      <c r="Q600" s="23">
        <v>43270</v>
      </c>
      <c r="R600" s="24">
        <f t="shared" si="37"/>
        <v>-3.5829807130739852</v>
      </c>
      <c r="S600" s="25"/>
      <c r="T600" s="25"/>
      <c r="U600" s="27"/>
      <c r="X600" s="47">
        <v>43270</v>
      </c>
      <c r="Y600" s="48">
        <f t="shared" si="38"/>
        <v>1.0846761696506908</v>
      </c>
      <c r="Z600" s="49"/>
      <c r="AA600" s="49"/>
      <c r="AB600" s="51"/>
      <c r="AE600" s="47">
        <v>43270</v>
      </c>
      <c r="AF600" s="48">
        <f t="shared" si="39"/>
        <v>0.98709851374051683</v>
      </c>
      <c r="AG600" s="49"/>
      <c r="AH600" s="49"/>
      <c r="AI600" s="51"/>
    </row>
    <row r="601" spans="1:35" x14ac:dyDescent="0.3">
      <c r="A601" s="20">
        <v>43265</v>
      </c>
      <c r="C601">
        <f>-(Historical_Simulation!B602-Historical_Simulation!B603)</f>
        <v>-2.5000000000005684E-2</v>
      </c>
      <c r="E601">
        <f>-(Historical_Simulation!C602-Historical_Simulation!C603)</f>
        <v>-19</v>
      </c>
      <c r="G601">
        <f>-(Historical_Simulation!D602-Historical_Simulation!D603)</f>
        <v>-4.4000000000000057</v>
      </c>
      <c r="J601" s="23">
        <v>43269</v>
      </c>
      <c r="K601" s="24">
        <f t="shared" si="36"/>
        <v>-4.2067010282943196</v>
      </c>
      <c r="L601" s="25"/>
      <c r="M601" s="25"/>
      <c r="N601" s="27"/>
      <c r="Q601" s="23">
        <v>43269</v>
      </c>
      <c r="R601" s="24">
        <f t="shared" si="37"/>
        <v>-2.875684636806223</v>
      </c>
      <c r="S601" s="25"/>
      <c r="T601" s="25"/>
      <c r="U601" s="27"/>
      <c r="X601" s="47">
        <v>43269</v>
      </c>
      <c r="Y601" s="48">
        <f t="shared" si="38"/>
        <v>-13.898613592732104</v>
      </c>
      <c r="Z601" s="49"/>
      <c r="AA601" s="49"/>
      <c r="AB601" s="51"/>
      <c r="AE601" s="47">
        <v>43269</v>
      </c>
      <c r="AF601" s="48">
        <f t="shared" si="39"/>
        <v>-9.6815618547003766</v>
      </c>
      <c r="AG601" s="49"/>
      <c r="AH601" s="49"/>
      <c r="AI601" s="51"/>
    </row>
    <row r="602" spans="1:35" x14ac:dyDescent="0.3">
      <c r="A602" s="20">
        <v>43264</v>
      </c>
      <c r="C602">
        <f>-(Historical_Simulation!B603-Historical_Simulation!B604)</f>
        <v>0.39500000000000313</v>
      </c>
      <c r="E602">
        <f>-(Historical_Simulation!C603-Historical_Simulation!C604)</f>
        <v>-6.1099999999999</v>
      </c>
      <c r="G602">
        <f>-(Historical_Simulation!D603-Historical_Simulation!D604)</f>
        <v>-9.9999999999909051E-3</v>
      </c>
      <c r="J602" s="23">
        <v>43266</v>
      </c>
      <c r="K602" s="24">
        <f t="shared" si="36"/>
        <v>4.481661900494287</v>
      </c>
      <c r="L602" s="25"/>
      <c r="M602" s="25"/>
      <c r="N602" s="27"/>
      <c r="Q602" s="23">
        <v>43266</v>
      </c>
      <c r="R602" s="24">
        <f t="shared" si="37"/>
        <v>3.2261461201231181</v>
      </c>
      <c r="S602" s="25"/>
      <c r="T602" s="25"/>
      <c r="U602" s="27"/>
      <c r="X602" s="47">
        <v>43266</v>
      </c>
      <c r="Y602" s="48">
        <f t="shared" si="38"/>
        <v>3.1234399954061005</v>
      </c>
      <c r="Z602" s="49"/>
      <c r="AA602" s="49"/>
      <c r="AB602" s="51"/>
      <c r="AE602" s="47">
        <v>43266</v>
      </c>
      <c r="AF602" s="48">
        <f t="shared" si="39"/>
        <v>2.3258487210097494</v>
      </c>
      <c r="AG602" s="49"/>
      <c r="AH602" s="49"/>
      <c r="AI602" s="51"/>
    </row>
    <row r="603" spans="1:35" x14ac:dyDescent="0.3">
      <c r="A603" s="20">
        <v>43263</v>
      </c>
      <c r="C603">
        <f>-(Historical_Simulation!B604-Historical_Simulation!B605)</f>
        <v>-0.26250000000000284</v>
      </c>
      <c r="E603">
        <f>-(Historical_Simulation!C604-Historical_Simulation!C605)</f>
        <v>-9.6300000000001091</v>
      </c>
      <c r="G603">
        <f>-(Historical_Simulation!D604-Historical_Simulation!D605)</f>
        <v>-0.86000000000001364</v>
      </c>
      <c r="J603" s="23">
        <v>43265</v>
      </c>
      <c r="K603" s="24">
        <f t="shared" si="36"/>
        <v>-10.260376292146001</v>
      </c>
      <c r="L603" s="25"/>
      <c r="M603" s="25"/>
      <c r="N603" s="27"/>
      <c r="Q603" s="23">
        <v>43265</v>
      </c>
      <c r="R603" s="24">
        <f t="shared" si="37"/>
        <v>-7.0409963012617638</v>
      </c>
      <c r="S603" s="25"/>
      <c r="T603" s="25"/>
      <c r="U603" s="27"/>
      <c r="X603" s="47">
        <v>43265</v>
      </c>
      <c r="Y603" s="48">
        <f t="shared" si="38"/>
        <v>-24.538404212556465</v>
      </c>
      <c r="Z603" s="49"/>
      <c r="AA603" s="49"/>
      <c r="AB603" s="51"/>
      <c r="AE603" s="47">
        <v>43265</v>
      </c>
      <c r="AF603" s="48">
        <f t="shared" si="39"/>
        <v>-17.114017349824561</v>
      </c>
      <c r="AG603" s="49"/>
      <c r="AH603" s="49"/>
      <c r="AI603" s="51"/>
    </row>
    <row r="604" spans="1:35" x14ac:dyDescent="0.3">
      <c r="A604" s="20">
        <v>43262</v>
      </c>
      <c r="C604">
        <f>-(Historical_Simulation!B605-Historical_Simulation!B606)</f>
        <v>0.11749999999999972</v>
      </c>
      <c r="E604">
        <f>-(Historical_Simulation!C605-Historical_Simulation!C606)</f>
        <v>-5.1299999999998818</v>
      </c>
      <c r="G604">
        <f>-(Historical_Simulation!D605-Historical_Simulation!D606)</f>
        <v>-2.4399999999999977</v>
      </c>
      <c r="J604" s="23">
        <v>43264</v>
      </c>
      <c r="K604" s="24">
        <f t="shared" si="36"/>
        <v>-3.1138865760426171</v>
      </c>
      <c r="L604" s="25"/>
      <c r="M604" s="25"/>
      <c r="N604" s="27"/>
      <c r="Q604" s="23">
        <v>43264</v>
      </c>
      <c r="R604" s="24">
        <f t="shared" si="37"/>
        <v>-2.010220339378499</v>
      </c>
      <c r="S604" s="25"/>
      <c r="T604" s="25"/>
      <c r="U604" s="27"/>
      <c r="X604" s="47">
        <v>43264</v>
      </c>
      <c r="Y604" s="48">
        <f t="shared" si="38"/>
        <v>-1.8742408471051897</v>
      </c>
      <c r="Z604" s="49"/>
      <c r="AA604" s="49"/>
      <c r="AB604" s="51"/>
      <c r="AE604" s="47">
        <v>43264</v>
      </c>
      <c r="AF604" s="48">
        <f t="shared" si="39"/>
        <v>-1.1869547489551611</v>
      </c>
      <c r="AG604" s="49"/>
      <c r="AH604" s="49"/>
      <c r="AI604" s="51"/>
    </row>
    <row r="605" spans="1:35" x14ac:dyDescent="0.3">
      <c r="A605" s="20">
        <v>43259</v>
      </c>
      <c r="C605">
        <f>-(Historical_Simulation!B606-Historical_Simulation!B607)</f>
        <v>0.44000000000000483</v>
      </c>
      <c r="E605">
        <f>-(Historical_Simulation!C606-Historical_Simulation!C607)</f>
        <v>5.3099999999999454</v>
      </c>
      <c r="G605">
        <f>-(Historical_Simulation!D606-Historical_Simulation!D607)</f>
        <v>-0.91999999999998749</v>
      </c>
      <c r="J605" s="23">
        <v>43263</v>
      </c>
      <c r="K605" s="24">
        <f t="shared" si="36"/>
        <v>-5.3154584936326099</v>
      </c>
      <c r="L605" s="25"/>
      <c r="M605" s="25"/>
      <c r="N605" s="27"/>
      <c r="Q605" s="23">
        <v>43263</v>
      </c>
      <c r="R605" s="24">
        <f t="shared" si="37"/>
        <v>-3.7261282135478444</v>
      </c>
      <c r="S605" s="25"/>
      <c r="T605" s="25"/>
      <c r="U605" s="27"/>
      <c r="X605" s="47">
        <v>43263</v>
      </c>
      <c r="Y605" s="48">
        <f t="shared" si="38"/>
        <v>-3.6103306324577735</v>
      </c>
      <c r="Z605" s="49"/>
      <c r="AA605" s="49"/>
      <c r="AB605" s="51"/>
      <c r="AE605" s="47">
        <v>43263</v>
      </c>
      <c r="AF605" s="48">
        <f t="shared" si="39"/>
        <v>-2.5963715123475133</v>
      </c>
      <c r="AG605" s="49"/>
      <c r="AH605" s="49"/>
      <c r="AI605" s="51"/>
    </row>
    <row r="606" spans="1:35" x14ac:dyDescent="0.3">
      <c r="A606" s="20">
        <v>43258</v>
      </c>
      <c r="C606">
        <f>-(Historical_Simulation!B607-Historical_Simulation!B608)</f>
        <v>0.12999999999999545</v>
      </c>
      <c r="E606">
        <f>-(Historical_Simulation!C607-Historical_Simulation!C608)</f>
        <v>6.4500000000000455</v>
      </c>
      <c r="G606">
        <f>-(Historical_Simulation!D607-Historical_Simulation!D608)</f>
        <v>3.1599999999999966</v>
      </c>
      <c r="J606" s="23">
        <v>43262</v>
      </c>
      <c r="K606" s="24">
        <f t="shared" si="36"/>
        <v>-2.7130737598437373</v>
      </c>
      <c r="L606" s="25"/>
      <c r="M606" s="25"/>
      <c r="N606" s="27"/>
      <c r="Q606" s="23">
        <v>43262</v>
      </c>
      <c r="R606" s="24">
        <f t="shared" si="37"/>
        <v>-1.8227603736954028</v>
      </c>
      <c r="S606" s="25"/>
      <c r="T606" s="25"/>
      <c r="U606" s="27"/>
      <c r="X606" s="47">
        <v>43262</v>
      </c>
      <c r="Y606" s="48">
        <f t="shared" si="38"/>
        <v>-14.212335719682988</v>
      </c>
      <c r="Z606" s="49"/>
      <c r="AA606" s="49"/>
      <c r="AB606" s="51"/>
      <c r="AE606" s="47">
        <v>43262</v>
      </c>
      <c r="AF606" s="48">
        <f t="shared" si="39"/>
        <v>-9.8722512850688595</v>
      </c>
      <c r="AG606" s="49"/>
      <c r="AH606" s="49"/>
      <c r="AI606" s="51"/>
    </row>
    <row r="607" spans="1:35" x14ac:dyDescent="0.3">
      <c r="A607" s="20">
        <v>43257</v>
      </c>
      <c r="C607">
        <f>-(Historical_Simulation!B608-Historical_Simulation!B609)</f>
        <v>-0.16749999999999687</v>
      </c>
      <c r="E607">
        <f>-(Historical_Simulation!C608-Historical_Simulation!C609)</f>
        <v>0.59999999999990905</v>
      </c>
      <c r="G607">
        <f>-(Historical_Simulation!D608-Historical_Simulation!D609)</f>
        <v>1.5999999999999943</v>
      </c>
      <c r="J607" s="23">
        <v>43259</v>
      </c>
      <c r="K607" s="24">
        <f t="shared" si="36"/>
        <v>3.0669450615415279</v>
      </c>
      <c r="L607" s="25"/>
      <c r="M607" s="25"/>
      <c r="N607" s="27"/>
      <c r="Q607" s="23">
        <v>43259</v>
      </c>
      <c r="R607" s="24">
        <f t="shared" si="37"/>
        <v>2.2406799466215785</v>
      </c>
      <c r="S607" s="25"/>
      <c r="T607" s="25"/>
      <c r="U607" s="27"/>
      <c r="X607" s="47">
        <v>43259</v>
      </c>
      <c r="Y607" s="48">
        <f t="shared" si="38"/>
        <v>-7.1801667952175023</v>
      </c>
      <c r="Z607" s="49"/>
      <c r="AA607" s="49"/>
      <c r="AB607" s="51"/>
      <c r="AE607" s="47">
        <v>43259</v>
      </c>
      <c r="AF607" s="48">
        <f t="shared" si="39"/>
        <v>-4.8722431076025705</v>
      </c>
      <c r="AG607" s="49"/>
      <c r="AH607" s="49"/>
      <c r="AI607" s="51"/>
    </row>
    <row r="608" spans="1:35" x14ac:dyDescent="0.3">
      <c r="A608" s="20">
        <v>43256</v>
      </c>
      <c r="C608">
        <f>-(Historical_Simulation!B609-Historical_Simulation!B610)</f>
        <v>-0.36999999999999744</v>
      </c>
      <c r="E608">
        <f>-(Historical_Simulation!C609-Historical_Simulation!C610)</f>
        <v>-31.079999999999927</v>
      </c>
      <c r="G608">
        <f>-(Historical_Simulation!D609-Historical_Simulation!D610)</f>
        <v>0.34000000000000341</v>
      </c>
      <c r="J608" s="23">
        <v>43258</v>
      </c>
      <c r="K608" s="24">
        <f t="shared" si="36"/>
        <v>3.539095028530336</v>
      </c>
      <c r="L608" s="25"/>
      <c r="M608" s="25"/>
      <c r="N608" s="27"/>
      <c r="Q608" s="23">
        <v>43258</v>
      </c>
      <c r="R608" s="24">
        <f t="shared" si="37"/>
        <v>2.4668166863754726</v>
      </c>
      <c r="S608" s="25"/>
      <c r="T608" s="25"/>
      <c r="U608" s="27"/>
      <c r="X608" s="47">
        <v>43258</v>
      </c>
      <c r="Y608" s="48">
        <f t="shared" si="38"/>
        <v>17.107283374639099</v>
      </c>
      <c r="Z608" s="49"/>
      <c r="AA608" s="49"/>
      <c r="AB608" s="51"/>
      <c r="AE608" s="47">
        <v>43258</v>
      </c>
      <c r="AF608" s="48">
        <f t="shared" si="39"/>
        <v>11.965365158849922</v>
      </c>
      <c r="AG608" s="49"/>
      <c r="AH608" s="49"/>
      <c r="AI608" s="51"/>
    </row>
    <row r="609" spans="1:35" x14ac:dyDescent="0.3">
      <c r="A609" s="20">
        <v>43255</v>
      </c>
      <c r="C609">
        <f>-(Historical_Simulation!B610-Historical_Simulation!B611)</f>
        <v>-0.39750000000000085</v>
      </c>
      <c r="E609">
        <f>-(Historical_Simulation!C610-Historical_Simulation!C611)</f>
        <v>-23.730000000000018</v>
      </c>
      <c r="G609">
        <f>-(Historical_Simulation!D610-Historical_Simulation!D611)</f>
        <v>0.71000000000000796</v>
      </c>
      <c r="J609" s="23">
        <v>43257</v>
      </c>
      <c r="K609" s="24">
        <f t="shared" si="36"/>
        <v>0.24650006873365737</v>
      </c>
      <c r="L609" s="25"/>
      <c r="M609" s="25"/>
      <c r="N609" s="27"/>
      <c r="Q609" s="23">
        <v>43257</v>
      </c>
      <c r="R609" s="24">
        <f t="shared" si="37"/>
        <v>0.1162827225938235</v>
      </c>
      <c r="S609" s="25"/>
      <c r="T609" s="25"/>
      <c r="U609" s="27"/>
      <c r="X609" s="47">
        <v>43257</v>
      </c>
      <c r="Y609" s="48">
        <f t="shared" si="38"/>
        <v>9.7359153018727618</v>
      </c>
      <c r="Z609" s="49"/>
      <c r="AA609" s="49"/>
      <c r="AB609" s="51"/>
      <c r="AE609" s="47">
        <v>43257</v>
      </c>
      <c r="AF609" s="48">
        <f t="shared" si="39"/>
        <v>6.73646300932909</v>
      </c>
      <c r="AG609" s="49"/>
      <c r="AH609" s="49"/>
      <c r="AI609" s="51"/>
    </row>
    <row r="610" spans="1:35" x14ac:dyDescent="0.3">
      <c r="A610" s="20">
        <v>43252</v>
      </c>
      <c r="C610">
        <f>-(Historical_Simulation!B611-Historical_Simulation!B612)</f>
        <v>-0.84250000000000114</v>
      </c>
      <c r="E610">
        <f>-(Historical_Simulation!C611-Historical_Simulation!C612)</f>
        <v>-11.920000000000073</v>
      </c>
      <c r="G610">
        <f>-(Historical_Simulation!D611-Historical_Simulation!D612)</f>
        <v>-2.210000000000008</v>
      </c>
      <c r="J610" s="23">
        <v>43256</v>
      </c>
      <c r="K610" s="24">
        <f t="shared" si="36"/>
        <v>-16.935396887051528</v>
      </c>
      <c r="L610" s="25"/>
      <c r="M610" s="25"/>
      <c r="N610" s="27"/>
      <c r="Q610" s="23">
        <v>43256</v>
      </c>
      <c r="R610" s="24">
        <f t="shared" si="37"/>
        <v>-11.725006398511102</v>
      </c>
      <c r="S610" s="25"/>
      <c r="T610" s="25"/>
      <c r="U610" s="27"/>
      <c r="X610" s="47">
        <v>43256</v>
      </c>
      <c r="Y610" s="48">
        <f t="shared" si="38"/>
        <v>3.6081753122091693</v>
      </c>
      <c r="Z610" s="49"/>
      <c r="AA610" s="49"/>
      <c r="AB610" s="51"/>
      <c r="AE610" s="47">
        <v>43256</v>
      </c>
      <c r="AF610" s="48">
        <f t="shared" si="39"/>
        <v>2.4033033870572482</v>
      </c>
      <c r="AG610" s="49"/>
      <c r="AH610" s="49"/>
      <c r="AI610" s="51"/>
    </row>
    <row r="611" spans="1:35" x14ac:dyDescent="0.3">
      <c r="A611" s="20">
        <v>43251</v>
      </c>
      <c r="C611">
        <f>-(Historical_Simulation!B612-Historical_Simulation!B613)</f>
        <v>0.15749999999999886</v>
      </c>
      <c r="E611">
        <f>-(Historical_Simulation!C612-Historical_Simulation!C613)</f>
        <v>-4.7299999999997908</v>
      </c>
      <c r="G611">
        <f>-(Historical_Simulation!D612-Historical_Simulation!D613)</f>
        <v>-4.1100000000000136</v>
      </c>
      <c r="J611" s="23">
        <v>43255</v>
      </c>
      <c r="K611" s="24">
        <f t="shared" si="36"/>
        <v>-12.983371796389811</v>
      </c>
      <c r="L611" s="25"/>
      <c r="M611" s="25"/>
      <c r="N611" s="27"/>
      <c r="Q611" s="23">
        <v>43255</v>
      </c>
      <c r="R611" s="24">
        <f t="shared" si="37"/>
        <v>-9.0246796415910495</v>
      </c>
      <c r="S611" s="25"/>
      <c r="T611" s="25"/>
      <c r="U611" s="27"/>
      <c r="X611" s="47">
        <v>43255</v>
      </c>
      <c r="Y611" s="48">
        <f t="shared" si="38"/>
        <v>5.8078931806643403</v>
      </c>
      <c r="Z611" s="49"/>
      <c r="AA611" s="49"/>
      <c r="AB611" s="51"/>
      <c r="AE611" s="47">
        <v>43255</v>
      </c>
      <c r="AF611" s="48">
        <f t="shared" si="39"/>
        <v>3.9284626776984788</v>
      </c>
      <c r="AG611" s="49"/>
      <c r="AH611" s="49"/>
      <c r="AI611" s="51"/>
    </row>
    <row r="612" spans="1:35" x14ac:dyDescent="0.3">
      <c r="A612" s="20">
        <v>43250</v>
      </c>
      <c r="C612">
        <f>-(Historical_Simulation!B613-Historical_Simulation!B614)</f>
        <v>0.10000000000000142</v>
      </c>
      <c r="E612">
        <f>-(Historical_Simulation!C613-Historical_Simulation!C614)</f>
        <v>-12.020000000000209</v>
      </c>
      <c r="G612">
        <f>-(Historical_Simulation!D613-Historical_Simulation!D614)</f>
        <v>-1.9299999999999784</v>
      </c>
      <c r="J612" s="23">
        <v>43252</v>
      </c>
      <c r="K612" s="24">
        <f t="shared" si="36"/>
        <v>-6.8178560409089872</v>
      </c>
      <c r="L612" s="25"/>
      <c r="M612" s="25"/>
      <c r="N612" s="27"/>
      <c r="Q612" s="23">
        <v>43252</v>
      </c>
      <c r="R612" s="24">
        <f t="shared" si="37"/>
        <v>-4.9383998169816961</v>
      </c>
      <c r="S612" s="25"/>
      <c r="T612" s="25"/>
      <c r="U612" s="27"/>
      <c r="X612" s="47">
        <v>43252</v>
      </c>
      <c r="Y612" s="48">
        <f t="shared" si="38"/>
        <v>-8.5046897738676872</v>
      </c>
      <c r="Z612" s="49"/>
      <c r="AA612" s="49"/>
      <c r="AB612" s="51"/>
      <c r="AE612" s="47">
        <v>43252</v>
      </c>
      <c r="AF612" s="48">
        <f t="shared" si="39"/>
        <v>-6.1840385659166177</v>
      </c>
      <c r="AG612" s="49"/>
      <c r="AH612" s="49"/>
      <c r="AI612" s="51"/>
    </row>
    <row r="613" spans="1:35" x14ac:dyDescent="0.3">
      <c r="A613" s="20">
        <v>43249</v>
      </c>
      <c r="C613">
        <f>-(Historical_Simulation!B614-Historical_Simulation!B615)</f>
        <v>0.17000000000000171</v>
      </c>
      <c r="E613">
        <f>-(Historical_Simulation!C614-Historical_Simulation!C615)</f>
        <v>-2.7199999999997999</v>
      </c>
      <c r="G613">
        <f>-(Historical_Simulation!D614-Historical_Simulation!D615)</f>
        <v>-0.8200000000000216</v>
      </c>
      <c r="J613" s="23">
        <v>43251</v>
      </c>
      <c r="K613" s="24">
        <f t="shared" si="36"/>
        <v>-2.4788848025223413</v>
      </c>
      <c r="L613" s="25"/>
      <c r="M613" s="25"/>
      <c r="N613" s="27"/>
      <c r="Q613" s="23">
        <v>43251</v>
      </c>
      <c r="R613" s="24">
        <f t="shared" si="37"/>
        <v>-1.6496505624461346</v>
      </c>
      <c r="S613" s="25"/>
      <c r="T613" s="25"/>
      <c r="U613" s="27"/>
      <c r="X613" s="47">
        <v>43251</v>
      </c>
      <c r="Y613" s="48">
        <f t="shared" si="38"/>
        <v>-23.753574851905139</v>
      </c>
      <c r="Z613" s="49"/>
      <c r="AA613" s="49"/>
      <c r="AB613" s="51"/>
      <c r="AE613" s="47">
        <v>43251</v>
      </c>
      <c r="AF613" s="48">
        <f t="shared" si="39"/>
        <v>-16.51161578065749</v>
      </c>
      <c r="AG613" s="49"/>
      <c r="AH613" s="49"/>
      <c r="AI613" s="51"/>
    </row>
    <row r="614" spans="1:35" x14ac:dyDescent="0.3">
      <c r="A614" s="20">
        <v>43248</v>
      </c>
      <c r="C614">
        <f>-(Historical_Simulation!B615-Historical_Simulation!B616)</f>
        <v>0</v>
      </c>
      <c r="E614">
        <f>-(Historical_Simulation!C615-Historical_Simulation!C616)</f>
        <v>0</v>
      </c>
      <c r="G614">
        <f>-(Historical_Simulation!D615-Historical_Simulation!D616)</f>
        <v>0</v>
      </c>
      <c r="J614" s="23">
        <v>43250</v>
      </c>
      <c r="K614" s="24">
        <f t="shared" si="36"/>
        <v>-6.4376948964854606</v>
      </c>
      <c r="L614" s="25"/>
      <c r="M614" s="25"/>
      <c r="N614" s="27"/>
      <c r="Q614" s="23">
        <v>43250</v>
      </c>
      <c r="R614" s="24">
        <f t="shared" si="37"/>
        <v>-4.3813636453909881</v>
      </c>
      <c r="S614" s="25"/>
      <c r="T614" s="25"/>
      <c r="U614" s="27"/>
      <c r="X614" s="47">
        <v>43250</v>
      </c>
      <c r="Y614" s="48">
        <f t="shared" si="38"/>
        <v>-11.274219554626082</v>
      </c>
      <c r="Z614" s="49"/>
      <c r="AA614" s="49"/>
      <c r="AB614" s="51"/>
      <c r="AE614" s="47">
        <v>43250</v>
      </c>
      <c r="AF614" s="48">
        <f t="shared" si="39"/>
        <v>-7.8293040503185143</v>
      </c>
      <c r="AG614" s="49"/>
      <c r="AH614" s="49"/>
      <c r="AI614" s="51"/>
    </row>
    <row r="615" spans="1:35" x14ac:dyDescent="0.3">
      <c r="A615" s="20">
        <v>43245</v>
      </c>
      <c r="C615">
        <f>-(Historical_Simulation!B616-Historical_Simulation!B617)</f>
        <v>-0.10750000000000171</v>
      </c>
      <c r="E615">
        <f>-(Historical_Simulation!C616-Historical_Simulation!C617)</f>
        <v>-7.0800000000001546</v>
      </c>
      <c r="G615">
        <f>-(Historical_Simulation!D616-Historical_Simulation!D617)</f>
        <v>1.0100000000000193</v>
      </c>
      <c r="J615" s="23">
        <v>43249</v>
      </c>
      <c r="K615" s="24">
        <f t="shared" si="36"/>
        <v>-1.3889057962740379</v>
      </c>
      <c r="L615" s="25"/>
      <c r="M615" s="25"/>
      <c r="N615" s="27"/>
      <c r="Q615" s="23">
        <v>43249</v>
      </c>
      <c r="R615" s="24">
        <f t="shared" si="37"/>
        <v>-0.89857598475072797</v>
      </c>
      <c r="S615" s="25"/>
      <c r="T615" s="25"/>
      <c r="U615" s="27"/>
      <c r="X615" s="47">
        <v>43249</v>
      </c>
      <c r="Y615" s="48">
        <f t="shared" si="38"/>
        <v>-5.3770331818129042</v>
      </c>
      <c r="Z615" s="49"/>
      <c r="AA615" s="49"/>
      <c r="AB615" s="51"/>
      <c r="AE615" s="47">
        <v>43249</v>
      </c>
      <c r="AF615" s="48">
        <f t="shared" si="39"/>
        <v>-3.6970004974461035</v>
      </c>
      <c r="AG615" s="49"/>
      <c r="AH615" s="49"/>
      <c r="AI615" s="51"/>
    </row>
    <row r="616" spans="1:35" x14ac:dyDescent="0.3">
      <c r="A616" s="20">
        <v>43244</v>
      </c>
      <c r="C616">
        <f>-(Historical_Simulation!B617-Historical_Simulation!B618)</f>
        <v>5.250000000000199E-2</v>
      </c>
      <c r="E616">
        <f>-(Historical_Simulation!C617-Historical_Simulation!C618)</f>
        <v>-1.2100000000000364</v>
      </c>
      <c r="G616">
        <f>-(Historical_Simulation!D617-Historical_Simulation!D618)</f>
        <v>0.96999999999999886</v>
      </c>
      <c r="J616" s="23">
        <v>43248</v>
      </c>
      <c r="K616" s="24">
        <f t="shared" si="36"/>
        <v>0</v>
      </c>
      <c r="L616" s="25"/>
      <c r="M616" s="25"/>
      <c r="N616" s="27"/>
      <c r="Q616" s="23">
        <v>43248</v>
      </c>
      <c r="R616" s="24">
        <f t="shared" si="37"/>
        <v>0</v>
      </c>
      <c r="S616" s="25"/>
      <c r="T616" s="25"/>
      <c r="U616" s="27"/>
      <c r="X616" s="47">
        <v>43248</v>
      </c>
      <c r="Y616" s="48">
        <f t="shared" si="38"/>
        <v>0</v>
      </c>
      <c r="Z616" s="49"/>
      <c r="AA616" s="49"/>
      <c r="AB616" s="51"/>
      <c r="AE616" s="47">
        <v>43248</v>
      </c>
      <c r="AF616" s="48">
        <f t="shared" si="39"/>
        <v>0</v>
      </c>
      <c r="AG616" s="49"/>
      <c r="AH616" s="49"/>
      <c r="AI616" s="51"/>
    </row>
    <row r="617" spans="1:35" x14ac:dyDescent="0.3">
      <c r="A617" s="20">
        <v>43243</v>
      </c>
      <c r="C617">
        <f>-(Historical_Simulation!B618-Historical_Simulation!B619)</f>
        <v>-0.30000000000000426</v>
      </c>
      <c r="E617">
        <f>-(Historical_Simulation!C618-Historical_Simulation!C619)</f>
        <v>-20.459999999999809</v>
      </c>
      <c r="G617">
        <f>-(Historical_Simulation!D618-Historical_Simulation!D619)</f>
        <v>-3.0999999999999943</v>
      </c>
      <c r="J617" s="23">
        <v>43245</v>
      </c>
      <c r="K617" s="24">
        <f t="shared" si="36"/>
        <v>-3.8685625136753394</v>
      </c>
      <c r="L617" s="25"/>
      <c r="M617" s="25"/>
      <c r="N617" s="27"/>
      <c r="Q617" s="23">
        <v>43245</v>
      </c>
      <c r="R617" s="24">
        <f t="shared" si="37"/>
        <v>-2.6855782192647553</v>
      </c>
      <c r="S617" s="25"/>
      <c r="T617" s="25"/>
      <c r="U617" s="27"/>
      <c r="X617" s="47">
        <v>43245</v>
      </c>
      <c r="Y617" s="48">
        <f t="shared" si="38"/>
        <v>6.1539238188645369</v>
      </c>
      <c r="Z617" s="49"/>
      <c r="AA617" s="49"/>
      <c r="AB617" s="51"/>
      <c r="AE617" s="47">
        <v>43245</v>
      </c>
      <c r="AF617" s="48">
        <f t="shared" si="39"/>
        <v>4.2575232887838386</v>
      </c>
      <c r="AG617" s="49"/>
      <c r="AH617" s="49"/>
      <c r="AI617" s="51"/>
    </row>
    <row r="618" spans="1:35" x14ac:dyDescent="0.3">
      <c r="A618" s="20">
        <v>43242</v>
      </c>
      <c r="C618">
        <f>-(Historical_Simulation!B619-Historical_Simulation!B620)</f>
        <v>0.11749999999999972</v>
      </c>
      <c r="E618">
        <f>-(Historical_Simulation!C619-Historical_Simulation!C620)</f>
        <v>4.0599999999999454</v>
      </c>
      <c r="G618">
        <f>-(Historical_Simulation!D619-Historical_Simulation!D620)</f>
        <v>0.68999999999999773</v>
      </c>
      <c r="J618" s="23">
        <v>43244</v>
      </c>
      <c r="K618" s="24">
        <f t="shared" si="36"/>
        <v>-0.62850988505057581</v>
      </c>
      <c r="L618" s="25"/>
      <c r="M618" s="25"/>
      <c r="N618" s="27"/>
      <c r="Q618" s="23">
        <v>43244</v>
      </c>
      <c r="R618" s="24">
        <f t="shared" si="37"/>
        <v>-0.41430871306156547</v>
      </c>
      <c r="S618" s="25"/>
      <c r="T618" s="25"/>
      <c r="U618" s="27"/>
      <c r="X618" s="47">
        <v>43244</v>
      </c>
      <c r="Y618" s="48">
        <f t="shared" si="38"/>
        <v>5.1933110548618249</v>
      </c>
      <c r="Z618" s="49"/>
      <c r="AA618" s="49"/>
      <c r="AB618" s="51"/>
      <c r="AE618" s="47">
        <v>43244</v>
      </c>
      <c r="AF618" s="48">
        <f t="shared" si="39"/>
        <v>3.6363110670774828</v>
      </c>
      <c r="AG618" s="49"/>
      <c r="AH618" s="49"/>
      <c r="AI618" s="51"/>
    </row>
    <row r="619" spans="1:35" x14ac:dyDescent="0.3">
      <c r="A619" s="20">
        <v>43241</v>
      </c>
      <c r="C619">
        <f>-(Historical_Simulation!B620-Historical_Simulation!B621)</f>
        <v>-0.32999999999999829</v>
      </c>
      <c r="E619">
        <f>-(Historical_Simulation!C620-Historical_Simulation!C621)</f>
        <v>-11.090000000000146</v>
      </c>
      <c r="G619">
        <f>-(Historical_Simulation!D620-Historical_Simulation!D621)</f>
        <v>-1.8100000000000023</v>
      </c>
      <c r="J619" s="23">
        <v>43243</v>
      </c>
      <c r="K619" s="24">
        <f t="shared" si="36"/>
        <v>-11.174581609995331</v>
      </c>
      <c r="L619" s="25"/>
      <c r="M619" s="25"/>
      <c r="N619" s="27"/>
      <c r="Q619" s="23">
        <v>43243</v>
      </c>
      <c r="R619" s="24">
        <f t="shared" si="37"/>
        <v>-7.7541494299570921</v>
      </c>
      <c r="S619" s="25"/>
      <c r="T619" s="25"/>
      <c r="U619" s="27"/>
      <c r="X619" s="47">
        <v>43243</v>
      </c>
      <c r="Y619" s="48">
        <f t="shared" si="38"/>
        <v>-15.988578696036083</v>
      </c>
      <c r="Z619" s="49"/>
      <c r="AA619" s="49"/>
      <c r="AB619" s="51"/>
      <c r="AE619" s="47">
        <v>43243</v>
      </c>
      <c r="AF619" s="48">
        <f t="shared" si="39"/>
        <v>-11.236971103887681</v>
      </c>
      <c r="AG619" s="49"/>
      <c r="AH619" s="49"/>
      <c r="AI619" s="51"/>
    </row>
    <row r="620" spans="1:35" x14ac:dyDescent="0.3">
      <c r="A620" s="20">
        <v>43238</v>
      </c>
      <c r="C620">
        <f>-(Historical_Simulation!B621-Historical_Simulation!B622)</f>
        <v>0.17000000000000171</v>
      </c>
      <c r="E620">
        <f>-(Historical_Simulation!C621-Historical_Simulation!C622)</f>
        <v>7.3900000000001</v>
      </c>
      <c r="G620">
        <f>-(Historical_Simulation!D621-Historical_Simulation!D622)</f>
        <v>1.0799999999999841</v>
      </c>
      <c r="J620" s="23">
        <v>43242</v>
      </c>
      <c r="K620" s="24">
        <f t="shared" si="36"/>
        <v>2.2441387895538885</v>
      </c>
      <c r="L620" s="25"/>
      <c r="M620" s="25"/>
      <c r="N620" s="27"/>
      <c r="Q620" s="23">
        <v>43242</v>
      </c>
      <c r="R620" s="24">
        <f t="shared" si="37"/>
        <v>1.5752373079169488</v>
      </c>
      <c r="S620" s="25"/>
      <c r="T620" s="25"/>
      <c r="U620" s="27"/>
      <c r="X620" s="47">
        <v>43242</v>
      </c>
      <c r="Y620" s="48">
        <f t="shared" si="38"/>
        <v>3.3252540369573764</v>
      </c>
      <c r="Z620" s="49"/>
      <c r="AA620" s="49"/>
      <c r="AB620" s="51"/>
      <c r="AE620" s="47">
        <v>43242</v>
      </c>
      <c r="AF620" s="48">
        <f t="shared" si="39"/>
        <v>2.3537199846341768</v>
      </c>
      <c r="AG620" s="49"/>
      <c r="AH620" s="49"/>
      <c r="AI620" s="51"/>
    </row>
    <row r="621" spans="1:35" x14ac:dyDescent="0.3">
      <c r="A621" s="20">
        <v>43237</v>
      </c>
      <c r="C621">
        <f>-(Historical_Simulation!B622-Historical_Simulation!B623)</f>
        <v>0.29749999999999943</v>
      </c>
      <c r="E621">
        <f>-(Historical_Simulation!C622-Historical_Simulation!C623)</f>
        <v>5.5199999999999818</v>
      </c>
      <c r="G621">
        <f>-(Historical_Simulation!D622-Historical_Simulation!D623)</f>
        <v>-0.56000000000000227</v>
      </c>
      <c r="J621" s="23">
        <v>43241</v>
      </c>
      <c r="K621" s="24">
        <f t="shared" si="36"/>
        <v>-6.1340921688270038</v>
      </c>
      <c r="L621" s="25"/>
      <c r="M621" s="25"/>
      <c r="N621" s="27"/>
      <c r="Q621" s="23">
        <v>43241</v>
      </c>
      <c r="R621" s="24">
        <f t="shared" si="37"/>
        <v>-4.3085043584494098</v>
      </c>
      <c r="S621" s="25"/>
      <c r="T621" s="25"/>
      <c r="U621" s="27"/>
      <c r="X621" s="47">
        <v>43241</v>
      </c>
      <c r="Y621" s="48">
        <f t="shared" si="38"/>
        <v>-8.6225344536191191</v>
      </c>
      <c r="Z621" s="49"/>
      <c r="AA621" s="49"/>
      <c r="AB621" s="51"/>
      <c r="AE621" s="47">
        <v>43241</v>
      </c>
      <c r="AF621" s="48">
        <f t="shared" si="39"/>
        <v>-6.1109704406263781</v>
      </c>
      <c r="AG621" s="49"/>
      <c r="AH621" s="49"/>
      <c r="AI621" s="51"/>
    </row>
    <row r="622" spans="1:35" x14ac:dyDescent="0.3">
      <c r="A622" s="20">
        <v>43236</v>
      </c>
      <c r="C622">
        <f>-(Historical_Simulation!B623-Historical_Simulation!B624)</f>
        <v>-0.43500000000000227</v>
      </c>
      <c r="E622">
        <f>-(Historical_Simulation!C623-Historical_Simulation!C624)</f>
        <v>-11.160000000000082</v>
      </c>
      <c r="G622">
        <f>-(Historical_Simulation!D623-Historical_Simulation!D624)</f>
        <v>1.1200000000000045</v>
      </c>
      <c r="J622" s="23">
        <v>43238</v>
      </c>
      <c r="K622" s="24">
        <f t="shared" si="36"/>
        <v>4.0645674218337353</v>
      </c>
      <c r="L622" s="25"/>
      <c r="M622" s="25"/>
      <c r="N622" s="27"/>
      <c r="Q622" s="23">
        <v>43238</v>
      </c>
      <c r="R622" s="24">
        <f t="shared" si="37"/>
        <v>2.8395912144985842</v>
      </c>
      <c r="S622" s="25"/>
      <c r="T622" s="25"/>
      <c r="U622" s="27"/>
      <c r="X622" s="47">
        <v>43238</v>
      </c>
      <c r="Y622" s="48">
        <f t="shared" si="38"/>
        <v>5.2687880762116457</v>
      </c>
      <c r="Z622" s="49"/>
      <c r="AA622" s="49"/>
      <c r="AB622" s="51"/>
      <c r="AE622" s="47">
        <v>43238</v>
      </c>
      <c r="AF622" s="48">
        <f t="shared" si="39"/>
        <v>3.7245156087634403</v>
      </c>
      <c r="AG622" s="49"/>
      <c r="AH622" s="49"/>
      <c r="AI622" s="51"/>
    </row>
    <row r="623" spans="1:35" x14ac:dyDescent="0.3">
      <c r="A623" s="20">
        <v>43235</v>
      </c>
      <c r="C623">
        <f>-(Historical_Simulation!B624-Historical_Simulation!B625)</f>
        <v>0.42750000000000199</v>
      </c>
      <c r="E623">
        <f>-(Historical_Simulation!C624-Historical_Simulation!C625)</f>
        <v>25.420000000000073</v>
      </c>
      <c r="G623">
        <f>-(Historical_Simulation!D624-Historical_Simulation!D625)</f>
        <v>2.3199999999999932</v>
      </c>
      <c r="J623" s="23">
        <v>43237</v>
      </c>
      <c r="K623" s="24">
        <f t="shared" si="36"/>
        <v>3.1145884155853638</v>
      </c>
      <c r="L623" s="25"/>
      <c r="M623" s="25"/>
      <c r="N623" s="27"/>
      <c r="Q623" s="23">
        <v>43237</v>
      </c>
      <c r="R623" s="24">
        <f t="shared" si="37"/>
        <v>2.2285166368031311</v>
      </c>
      <c r="S623" s="25"/>
      <c r="T623" s="25"/>
      <c r="U623" s="27"/>
      <c r="X623" s="47">
        <v>43237</v>
      </c>
      <c r="Y623" s="48">
        <f t="shared" si="38"/>
        <v>-4.5071272256610753</v>
      </c>
      <c r="Z623" s="49"/>
      <c r="AA623" s="49"/>
      <c r="AB623" s="51"/>
      <c r="AE623" s="47">
        <v>43237</v>
      </c>
      <c r="AF623" s="48">
        <f t="shared" si="39"/>
        <v>-3.0519474005656204</v>
      </c>
      <c r="AG623" s="49"/>
      <c r="AH623" s="49"/>
      <c r="AI623" s="51"/>
    </row>
    <row r="624" spans="1:35" x14ac:dyDescent="0.3">
      <c r="A624" s="20">
        <v>43234</v>
      </c>
      <c r="C624">
        <f>-(Historical_Simulation!B625-Historical_Simulation!B626)</f>
        <v>0.10999999999999943</v>
      </c>
      <c r="E624">
        <f>-(Historical_Simulation!C625-Historical_Simulation!C626)</f>
        <v>1.3700000000001182</v>
      </c>
      <c r="G624">
        <f>-(Historical_Simulation!D625-Historical_Simulation!D626)</f>
        <v>0.35000000000002274</v>
      </c>
      <c r="J624" s="23">
        <v>43236</v>
      </c>
      <c r="K624" s="24">
        <f t="shared" si="36"/>
        <v>-6.2202126868651737</v>
      </c>
      <c r="L624" s="25"/>
      <c r="M624" s="25"/>
      <c r="N624" s="27"/>
      <c r="Q624" s="23">
        <v>43236</v>
      </c>
      <c r="R624" s="24">
        <f t="shared" si="37"/>
        <v>-4.400563126800157</v>
      </c>
      <c r="S624" s="25"/>
      <c r="T624" s="25"/>
      <c r="U624" s="27"/>
      <c r="X624" s="47">
        <v>43236</v>
      </c>
      <c r="Y624" s="48">
        <f t="shared" si="38"/>
        <v>8.2777642401201028</v>
      </c>
      <c r="Z624" s="49"/>
      <c r="AA624" s="49"/>
      <c r="AB624" s="51"/>
      <c r="AE624" s="47">
        <v>43236</v>
      </c>
      <c r="AF624" s="48">
        <f t="shared" si="39"/>
        <v>5.6389250237662383</v>
      </c>
      <c r="AG624" s="49"/>
      <c r="AH624" s="49"/>
      <c r="AI624" s="51"/>
    </row>
    <row r="625" spans="1:35" x14ac:dyDescent="0.3">
      <c r="A625" s="20">
        <v>43231</v>
      </c>
      <c r="C625">
        <f>-(Historical_Simulation!B626-Historical_Simulation!B627)</f>
        <v>0.36249999999999716</v>
      </c>
      <c r="E625">
        <f>-(Historical_Simulation!C626-Historical_Simulation!C627)</f>
        <v>6.1699999999998454</v>
      </c>
      <c r="G625">
        <f>-(Historical_Simulation!D626-Historical_Simulation!D627)</f>
        <v>-1.460000000000008</v>
      </c>
      <c r="J625" s="23">
        <v>43235</v>
      </c>
      <c r="K625" s="24">
        <f t="shared" si="36"/>
        <v>13.908798655149385</v>
      </c>
      <c r="L625" s="25"/>
      <c r="M625" s="25"/>
      <c r="N625" s="27"/>
      <c r="Q625" s="23">
        <v>43235</v>
      </c>
      <c r="R625" s="24">
        <f t="shared" si="37"/>
        <v>9.6684637712403205</v>
      </c>
      <c r="S625" s="25"/>
      <c r="T625" s="25"/>
      <c r="U625" s="27"/>
      <c r="X625" s="47">
        <v>43235</v>
      </c>
      <c r="Y625" s="48">
        <f t="shared" si="38"/>
        <v>11.031298279374374</v>
      </c>
      <c r="Z625" s="49"/>
      <c r="AA625" s="49"/>
      <c r="AB625" s="51"/>
      <c r="AE625" s="47">
        <v>43235</v>
      </c>
      <c r="AF625" s="48">
        <f t="shared" si="39"/>
        <v>7.8197206478955046</v>
      </c>
      <c r="AG625" s="49"/>
      <c r="AH625" s="49"/>
      <c r="AI625" s="51"/>
    </row>
    <row r="626" spans="1:35" x14ac:dyDescent="0.3">
      <c r="A626" s="20">
        <v>43230</v>
      </c>
      <c r="C626">
        <f>-(Historical_Simulation!B627-Historical_Simulation!B628)</f>
        <v>-0.6699999999999946</v>
      </c>
      <c r="E626">
        <f>-(Historical_Simulation!C627-Historical_Simulation!C628)</f>
        <v>-1.0799999999999272</v>
      </c>
      <c r="G626">
        <f>-(Historical_Simulation!D627-Historical_Simulation!D628)</f>
        <v>-2.8700000000000045</v>
      </c>
      <c r="J626" s="23">
        <v>43234</v>
      </c>
      <c r="K626" s="24">
        <f t="shared" si="36"/>
        <v>0.78966135062477794</v>
      </c>
      <c r="L626" s="25"/>
      <c r="M626" s="25"/>
      <c r="N626" s="27"/>
      <c r="Q626" s="23">
        <v>43234</v>
      </c>
      <c r="R626" s="24">
        <f t="shared" si="37"/>
        <v>0.57588433937236583</v>
      </c>
      <c r="S626" s="25"/>
      <c r="T626" s="25"/>
      <c r="U626" s="27"/>
      <c r="X626" s="47">
        <v>43234</v>
      </c>
      <c r="Y626" s="48">
        <f t="shared" si="38"/>
        <v>1.4547353168032271</v>
      </c>
      <c r="Z626" s="49"/>
      <c r="AA626" s="49"/>
      <c r="AB626" s="51"/>
      <c r="AE626" s="47">
        <v>43234</v>
      </c>
      <c r="AF626" s="48">
        <f t="shared" si="39"/>
        <v>1.047454666047609</v>
      </c>
      <c r="AG626" s="49"/>
      <c r="AH626" s="49"/>
      <c r="AI626" s="51"/>
    </row>
    <row r="627" spans="1:35" x14ac:dyDescent="0.3">
      <c r="A627" s="20">
        <v>43229</v>
      </c>
      <c r="C627">
        <f>-(Historical_Simulation!B628-Historical_Simulation!B629)</f>
        <v>-0.32750000000000057</v>
      </c>
      <c r="E627">
        <f>-(Historical_Simulation!C628-Historical_Simulation!C629)</f>
        <v>-15.6099999999999</v>
      </c>
      <c r="G627">
        <f>-(Historical_Simulation!D628-Historical_Simulation!D629)</f>
        <v>-3.7400000000000091</v>
      </c>
      <c r="J627" s="23">
        <v>43231</v>
      </c>
      <c r="K627" s="24">
        <f t="shared" si="36"/>
        <v>3.4951454712324779</v>
      </c>
      <c r="L627" s="25"/>
      <c r="M627" s="25"/>
      <c r="N627" s="27"/>
      <c r="Q627" s="23">
        <v>43231</v>
      </c>
      <c r="R627" s="24">
        <f t="shared" si="37"/>
        <v>2.5098200800830859</v>
      </c>
      <c r="S627" s="25"/>
      <c r="T627" s="25"/>
      <c r="U627" s="27"/>
      <c r="X627" s="47">
        <v>43231</v>
      </c>
      <c r="Y627" s="48">
        <f t="shared" si="38"/>
        <v>-9.8490838119735482</v>
      </c>
      <c r="Z627" s="49"/>
      <c r="AA627" s="49"/>
      <c r="AB627" s="51"/>
      <c r="AE627" s="47">
        <v>43231</v>
      </c>
      <c r="AF627" s="48">
        <f t="shared" si="39"/>
        <v>-6.7562963702983669</v>
      </c>
      <c r="AG627" s="49"/>
      <c r="AH627" s="49"/>
      <c r="AI627" s="51"/>
    </row>
    <row r="628" spans="1:35" x14ac:dyDescent="0.3">
      <c r="A628" s="20">
        <v>43228</v>
      </c>
      <c r="C628">
        <f>-(Historical_Simulation!B629-Historical_Simulation!B630)</f>
        <v>-0.22250000000000369</v>
      </c>
      <c r="E628">
        <f>-(Historical_Simulation!C629-Historical_Simulation!C630)</f>
        <v>7.75</v>
      </c>
      <c r="G628">
        <f>-(Historical_Simulation!D629-Historical_Simulation!D630)</f>
        <v>-0.94999999999998863</v>
      </c>
      <c r="J628" s="23">
        <v>43230</v>
      </c>
      <c r="K628" s="24">
        <f t="shared" si="36"/>
        <v>-0.89115964583815899</v>
      </c>
      <c r="L628" s="25"/>
      <c r="M628" s="25"/>
      <c r="N628" s="27"/>
      <c r="Q628" s="23">
        <v>43230</v>
      </c>
      <c r="R628" s="24">
        <f t="shared" si="37"/>
        <v>-0.82159728503382068</v>
      </c>
      <c r="S628" s="25"/>
      <c r="T628" s="25"/>
      <c r="U628" s="27"/>
      <c r="X628" s="47">
        <v>43230</v>
      </c>
      <c r="Y628" s="48">
        <f t="shared" si="38"/>
        <v>-12.99674040402844</v>
      </c>
      <c r="Z628" s="49"/>
      <c r="AA628" s="49"/>
      <c r="AB628" s="51"/>
      <c r="AE628" s="47">
        <v>43230</v>
      </c>
      <c r="AF628" s="48">
        <f t="shared" si="39"/>
        <v>-9.263334438768954</v>
      </c>
      <c r="AG628" s="49"/>
      <c r="AH628" s="49"/>
      <c r="AI628" s="51"/>
    </row>
    <row r="629" spans="1:35" x14ac:dyDescent="0.3">
      <c r="A629" s="20">
        <v>43227</v>
      </c>
      <c r="C629">
        <f>-(Historical_Simulation!B630-Historical_Simulation!B631)</f>
        <v>-0.33249999999999602</v>
      </c>
      <c r="E629">
        <f>-(Historical_Simulation!C630-Historical_Simulation!C631)</f>
        <v>-19.190000000000055</v>
      </c>
      <c r="G629">
        <f>-(Historical_Simulation!D630-Historical_Simulation!D631)</f>
        <v>-1.3599999999999852</v>
      </c>
      <c r="J629" s="23">
        <v>43229</v>
      </c>
      <c r="K629" s="24">
        <f t="shared" si="36"/>
        <v>-8.5710909451762944</v>
      </c>
      <c r="L629" s="25"/>
      <c r="M629" s="25"/>
      <c r="N629" s="27"/>
      <c r="Q629" s="23">
        <v>43229</v>
      </c>
      <c r="R629" s="24">
        <f t="shared" si="37"/>
        <v>-5.9781963622678349</v>
      </c>
      <c r="S629" s="25"/>
      <c r="T629" s="25"/>
      <c r="U629" s="27"/>
      <c r="X629" s="47">
        <v>43229</v>
      </c>
      <c r="Y629" s="48">
        <f t="shared" si="38"/>
        <v>-19.447955285794084</v>
      </c>
      <c r="Z629" s="49"/>
      <c r="AA629" s="49"/>
      <c r="AB629" s="51"/>
      <c r="AE629" s="47">
        <v>43229</v>
      </c>
      <c r="AF629" s="48">
        <f t="shared" si="39"/>
        <v>-13.656933532863189</v>
      </c>
      <c r="AG629" s="49"/>
      <c r="AH629" s="49"/>
      <c r="AI629" s="51"/>
    </row>
    <row r="630" spans="1:35" x14ac:dyDescent="0.3">
      <c r="A630" s="20">
        <v>43224</v>
      </c>
      <c r="C630">
        <f>-(Historical_Simulation!B631-Historical_Simulation!B632)</f>
        <v>-1.7350000000000065</v>
      </c>
      <c r="E630">
        <f>-(Historical_Simulation!C631-Historical_Simulation!C632)</f>
        <v>-8.875</v>
      </c>
      <c r="G630">
        <f>-(Historical_Simulation!D631-Historical_Simulation!D632)</f>
        <v>-2.5900000000000034</v>
      </c>
      <c r="J630" s="23">
        <v>43228</v>
      </c>
      <c r="K630" s="24">
        <f t="shared" si="36"/>
        <v>4.0779762840123288</v>
      </c>
      <c r="L630" s="25"/>
      <c r="M630" s="25"/>
      <c r="N630" s="27"/>
      <c r="Q630" s="23">
        <v>43228</v>
      </c>
      <c r="R630" s="24">
        <f t="shared" si="37"/>
        <v>2.7253276949570142</v>
      </c>
      <c r="S630" s="25"/>
      <c r="T630" s="25"/>
      <c r="U630" s="27"/>
      <c r="X630" s="47">
        <v>43228</v>
      </c>
      <c r="Y630" s="48">
        <f t="shared" si="38"/>
        <v>-4.2987289290593074</v>
      </c>
      <c r="Z630" s="49"/>
      <c r="AA630" s="49"/>
      <c r="AB630" s="51"/>
      <c r="AE630" s="47">
        <v>43228</v>
      </c>
      <c r="AF630" s="48">
        <f t="shared" si="39"/>
        <v>-3.0641594564564851</v>
      </c>
      <c r="AG630" s="49"/>
      <c r="AH630" s="49"/>
      <c r="AI630" s="51"/>
    </row>
    <row r="631" spans="1:35" x14ac:dyDescent="0.3">
      <c r="A631" s="20">
        <v>43223</v>
      </c>
      <c r="C631">
        <f>-(Historical_Simulation!B632-Historical_Simulation!B633)</f>
        <v>-7.9999999999998295E-2</v>
      </c>
      <c r="E631">
        <f>-(Historical_Simulation!C632-Historical_Simulation!C633)</f>
        <v>-2.3949999999999818</v>
      </c>
      <c r="G631">
        <f>-(Historical_Simulation!D632-Historical_Simulation!D633)</f>
        <v>2.0499999999999829</v>
      </c>
      <c r="J631" s="23">
        <v>43227</v>
      </c>
      <c r="K631" s="24">
        <f t="shared" si="36"/>
        <v>-10.504495174131419</v>
      </c>
      <c r="L631" s="25"/>
      <c r="M631" s="25"/>
      <c r="N631" s="27"/>
      <c r="Q631" s="23">
        <v>43227</v>
      </c>
      <c r="R631" s="24">
        <f t="shared" si="37"/>
        <v>-7.3050507378679317</v>
      </c>
      <c r="S631" s="25"/>
      <c r="T631" s="25"/>
      <c r="U631" s="27"/>
      <c r="X631" s="47">
        <v>43227</v>
      </c>
      <c r="Y631" s="48">
        <f t="shared" si="38"/>
        <v>-6.0896480750631952</v>
      </c>
      <c r="Z631" s="49"/>
      <c r="AA631" s="49"/>
      <c r="AB631" s="51"/>
      <c r="AE631" s="47">
        <v>43227</v>
      </c>
      <c r="AF631" s="48">
        <f t="shared" si="39"/>
        <v>-4.3459777890158922</v>
      </c>
      <c r="AG631" s="49"/>
      <c r="AH631" s="49"/>
      <c r="AI631" s="51"/>
    </row>
    <row r="632" spans="1:35" x14ac:dyDescent="0.3">
      <c r="A632" s="20">
        <v>43222</v>
      </c>
      <c r="C632">
        <f>-(Historical_Simulation!B633-Historical_Simulation!B634)</f>
        <v>-1.8674999999999997</v>
      </c>
      <c r="E632">
        <f>-(Historical_Simulation!C633-Historical_Simulation!C634)</f>
        <v>12.579999999999927</v>
      </c>
      <c r="G632">
        <f>-(Historical_Simulation!D633-Historical_Simulation!D634)</f>
        <v>-2.2099999999999795</v>
      </c>
      <c r="J632" s="23">
        <v>43224</v>
      </c>
      <c r="K632" s="24">
        <f t="shared" si="36"/>
        <v>-5.5864143202067185</v>
      </c>
      <c r="L632" s="25"/>
      <c r="M632" s="25"/>
      <c r="N632" s="27"/>
      <c r="Q632" s="23">
        <v>43224</v>
      </c>
      <c r="R632" s="24">
        <f t="shared" si="37"/>
        <v>-4.3750112564431642</v>
      </c>
      <c r="S632" s="25"/>
      <c r="T632" s="25"/>
      <c r="U632" s="27"/>
      <c r="X632" s="47">
        <v>43224</v>
      </c>
      <c r="Y632" s="48">
        <f t="shared" si="38"/>
        <v>-6.5256195661110228</v>
      </c>
      <c r="Z632" s="49"/>
      <c r="AA632" s="49"/>
      <c r="AB632" s="51"/>
      <c r="AE632" s="47">
        <v>43224</v>
      </c>
      <c r="AF632" s="48">
        <f t="shared" si="39"/>
        <v>-5.0746822477942795</v>
      </c>
      <c r="AG632" s="49"/>
      <c r="AH632" s="49"/>
      <c r="AI632" s="51"/>
    </row>
    <row r="633" spans="1:35" x14ac:dyDescent="0.3">
      <c r="A633" s="20">
        <v>43221</v>
      </c>
      <c r="C633">
        <f>-(Historical_Simulation!B634-Historical_Simulation!B635)</f>
        <v>-0.96000000000000085</v>
      </c>
      <c r="E633">
        <f>-(Historical_Simulation!C634-Historical_Simulation!C635)</f>
        <v>-16.129999999999882</v>
      </c>
      <c r="G633">
        <f>-(Historical_Simulation!D634-Historical_Simulation!D635)</f>
        <v>-1.8600000000000136</v>
      </c>
      <c r="J633" s="23">
        <v>43223</v>
      </c>
      <c r="K633" s="24">
        <f t="shared" si="36"/>
        <v>-1.3287428783303179</v>
      </c>
      <c r="L633" s="25"/>
      <c r="M633" s="25"/>
      <c r="N633" s="27"/>
      <c r="Q633" s="23">
        <v>43223</v>
      </c>
      <c r="R633" s="24">
        <f t="shared" si="37"/>
        <v>-0.93597003622771169</v>
      </c>
      <c r="S633" s="25"/>
      <c r="T633" s="25"/>
      <c r="U633" s="27"/>
      <c r="X633" s="47">
        <v>43223</v>
      </c>
      <c r="Y633" s="48">
        <f t="shared" si="38"/>
        <v>11.854525936627383</v>
      </c>
      <c r="Z633" s="49"/>
      <c r="AA633" s="49"/>
      <c r="AB633" s="51"/>
      <c r="AE633" s="47">
        <v>43223</v>
      </c>
      <c r="AF633" s="48">
        <f t="shared" si="39"/>
        <v>8.2399101611716556</v>
      </c>
      <c r="AG633" s="49"/>
      <c r="AH633" s="49"/>
      <c r="AI633" s="51"/>
    </row>
    <row r="634" spans="1:35" x14ac:dyDescent="0.3">
      <c r="A634" s="20">
        <v>43220</v>
      </c>
      <c r="C634">
        <f>-(Historical_Simulation!B635-Historical_Simulation!B636)</f>
        <v>-0.73499999999999943</v>
      </c>
      <c r="E634">
        <f>-(Historical_Simulation!C635-Historical_Simulation!C636)</f>
        <v>6.4899999999997817</v>
      </c>
      <c r="G634">
        <f>-(Historical_Simulation!D635-Historical_Simulation!D636)</f>
        <v>1.5900000000000034</v>
      </c>
      <c r="J634" s="23">
        <v>43222</v>
      </c>
      <c r="K634" s="24">
        <f t="shared" si="36"/>
        <v>5.9256804469448516</v>
      </c>
      <c r="L634" s="25"/>
      <c r="M634" s="25"/>
      <c r="N634" s="27"/>
      <c r="Q634" s="23">
        <v>43222</v>
      </c>
      <c r="R634" s="24">
        <f t="shared" si="37"/>
        <v>3.474455550064758</v>
      </c>
      <c r="S634" s="25"/>
      <c r="T634" s="25"/>
      <c r="U634" s="27"/>
      <c r="X634" s="47">
        <v>43222</v>
      </c>
      <c r="Y634" s="48">
        <f t="shared" si="38"/>
        <v>-3.7865493583543071</v>
      </c>
      <c r="Z634" s="49"/>
      <c r="AA634" s="49"/>
      <c r="AB634" s="51"/>
      <c r="AE634" s="47">
        <v>43222</v>
      </c>
      <c r="AF634" s="48">
        <f t="shared" si="39"/>
        <v>-3.2053259296719006</v>
      </c>
      <c r="AG634" s="49"/>
      <c r="AH634" s="49"/>
      <c r="AI634" s="51"/>
    </row>
    <row r="635" spans="1:35" x14ac:dyDescent="0.3">
      <c r="A635" s="20">
        <v>43217</v>
      </c>
      <c r="C635">
        <f>-(Historical_Simulation!B636-Historical_Simulation!B637)</f>
        <v>0.47500000000000142</v>
      </c>
      <c r="E635">
        <f>-(Historical_Simulation!C636-Historical_Simulation!C637)</f>
        <v>-54.659999999999854</v>
      </c>
      <c r="G635">
        <f>-(Historical_Simulation!D636-Historical_Simulation!D637)</f>
        <v>0.56999999999999318</v>
      </c>
      <c r="J635" s="23">
        <v>43221</v>
      </c>
      <c r="K635" s="24">
        <f t="shared" si="36"/>
        <v>-9.142906896013363</v>
      </c>
      <c r="L635" s="25"/>
      <c r="M635" s="25"/>
      <c r="N635" s="27"/>
      <c r="Q635" s="23">
        <v>43221</v>
      </c>
      <c r="R635" s="24">
        <f t="shared" si="37"/>
        <v>-6.5690995462524429</v>
      </c>
      <c r="S635" s="25"/>
      <c r="T635" s="25"/>
      <c r="U635" s="27"/>
      <c r="X635" s="47">
        <v>43221</v>
      </c>
      <c r="Y635" s="48">
        <f t="shared" si="38"/>
        <v>-6.0027574380116873</v>
      </c>
      <c r="Z635" s="49"/>
      <c r="AA635" s="49"/>
      <c r="AB635" s="51"/>
      <c r="AE635" s="47">
        <v>43221</v>
      </c>
      <c r="AF635" s="48">
        <f t="shared" si="39"/>
        <v>-4.475454997678245</v>
      </c>
      <c r="AG635" s="49"/>
      <c r="AH635" s="49"/>
      <c r="AI635" s="51"/>
    </row>
    <row r="636" spans="1:35" x14ac:dyDescent="0.3">
      <c r="A636" s="20">
        <v>43216</v>
      </c>
      <c r="C636">
        <f>-(Historical_Simulation!B637-Historical_Simulation!B638)</f>
        <v>-0.14249999999999829</v>
      </c>
      <c r="E636">
        <f>-(Historical_Simulation!C637-Historical_Simulation!C638)</f>
        <v>-57.789999999999964</v>
      </c>
      <c r="G636">
        <f>-(Historical_Simulation!D637-Historical_Simulation!D638)</f>
        <v>-14.469999999999999</v>
      </c>
      <c r="J636" s="23">
        <v>43220</v>
      </c>
      <c r="K636" s="24">
        <f t="shared" si="36"/>
        <v>3.1622644906852488</v>
      </c>
      <c r="L636" s="25"/>
      <c r="M636" s="25"/>
      <c r="N636" s="27"/>
      <c r="Q636" s="23">
        <v>43220</v>
      </c>
      <c r="R636" s="24">
        <f t="shared" si="37"/>
        <v>1.9364399618769275</v>
      </c>
      <c r="S636" s="25"/>
      <c r="T636" s="25"/>
      <c r="U636" s="27"/>
      <c r="X636" s="47">
        <v>43220</v>
      </c>
      <c r="Y636" s="48">
        <f t="shared" si="38"/>
        <v>12.29212338153002</v>
      </c>
      <c r="Z636" s="49"/>
      <c r="AA636" s="49"/>
      <c r="AB636" s="51"/>
      <c r="AE636" s="47">
        <v>43220</v>
      </c>
      <c r="AF636" s="48">
        <f t="shared" si="39"/>
        <v>8.3465920773353481</v>
      </c>
      <c r="AG636" s="49"/>
      <c r="AH636" s="49"/>
      <c r="AI636" s="51"/>
    </row>
    <row r="637" spans="1:35" x14ac:dyDescent="0.3">
      <c r="A637" s="20">
        <v>43215</v>
      </c>
      <c r="C637">
        <f>-(Historical_Simulation!B638-Historical_Simulation!B639)</f>
        <v>-0.17750000000000199</v>
      </c>
      <c r="E637">
        <f>-(Historical_Simulation!C638-Historical_Simulation!C639)</f>
        <v>-8.0000000000154614E-2</v>
      </c>
      <c r="G637">
        <f>-(Historical_Simulation!D638-Historical_Simulation!D639)</f>
        <v>0</v>
      </c>
      <c r="J637" s="23">
        <v>43217</v>
      </c>
      <c r="K637" s="24">
        <f t="shared" si="36"/>
        <v>-29.265578227534547</v>
      </c>
      <c r="L637" s="25"/>
      <c r="M637" s="25"/>
      <c r="N637" s="27"/>
      <c r="Q637" s="23">
        <v>43217</v>
      </c>
      <c r="R637" s="24">
        <f t="shared" si="37"/>
        <v>-19.911137342295977</v>
      </c>
      <c r="S637" s="25"/>
      <c r="T637" s="25"/>
      <c r="U637" s="27"/>
      <c r="X637" s="47">
        <v>43217</v>
      </c>
      <c r="Y637" s="48">
        <f t="shared" si="38"/>
        <v>1.0072910629011811</v>
      </c>
      <c r="Z637" s="49"/>
      <c r="AA637" s="49"/>
      <c r="AB637" s="51"/>
      <c r="AE637" s="47">
        <v>43217</v>
      </c>
      <c r="AF637" s="48">
        <f t="shared" si="39"/>
        <v>0.84607580531044557</v>
      </c>
      <c r="AG637" s="49"/>
      <c r="AH637" s="49"/>
      <c r="AI637" s="51"/>
    </row>
    <row r="638" spans="1:35" x14ac:dyDescent="0.3">
      <c r="A638" s="20">
        <v>43214</v>
      </c>
      <c r="C638">
        <f>-(Historical_Simulation!B639-Historical_Simulation!B640)</f>
        <v>0.57500000000000284</v>
      </c>
      <c r="E638">
        <f>-(Historical_Simulation!C639-Historical_Simulation!C640)</f>
        <v>57.769999999999982</v>
      </c>
      <c r="G638">
        <f>-(Historical_Simulation!D639-Historical_Simulation!D640)</f>
        <v>6.1500000000000057</v>
      </c>
      <c r="J638" s="23">
        <v>43216</v>
      </c>
      <c r="K638" s="24">
        <f t="shared" si="36"/>
        <v>-31.238355325506507</v>
      </c>
      <c r="L638" s="25"/>
      <c r="M638" s="25"/>
      <c r="N638" s="27"/>
      <c r="Q638" s="23">
        <v>43216</v>
      </c>
      <c r="R638" s="24">
        <f t="shared" si="37"/>
        <v>-21.457632899972971</v>
      </c>
      <c r="S638" s="25"/>
      <c r="T638" s="25"/>
      <c r="U638" s="27"/>
      <c r="X638" s="47">
        <v>43216</v>
      </c>
      <c r="Y638" s="48">
        <f t="shared" si="38"/>
        <v>-80.420396881234893</v>
      </c>
      <c r="Z638" s="49"/>
      <c r="AA638" s="49"/>
      <c r="AB638" s="51"/>
      <c r="AE638" s="47">
        <v>43216</v>
      </c>
      <c r="AF638" s="48">
        <f t="shared" si="39"/>
        <v>-56.106590532482592</v>
      </c>
      <c r="AG638" s="49"/>
      <c r="AH638" s="49"/>
      <c r="AI638" s="51"/>
    </row>
    <row r="639" spans="1:35" x14ac:dyDescent="0.3">
      <c r="A639" s="20">
        <v>43213</v>
      </c>
      <c r="C639">
        <f>-(Historical_Simulation!B640-Historical_Simulation!B641)</f>
        <v>0.11999999999999744</v>
      </c>
      <c r="E639">
        <f>-(Historical_Simulation!C640-Historical_Simulation!C641)</f>
        <v>9.6300000000001091</v>
      </c>
      <c r="G639">
        <f>-(Historical_Simulation!D640-Historical_Simulation!D641)</f>
        <v>0.43999999999999773</v>
      </c>
      <c r="J639" s="23">
        <v>43215</v>
      </c>
      <c r="K639" s="24">
        <f t="shared" si="36"/>
        <v>-0.1249071573922195</v>
      </c>
      <c r="L639" s="25"/>
      <c r="M639" s="25"/>
      <c r="N639" s="27"/>
      <c r="Q639" s="23">
        <v>43215</v>
      </c>
      <c r="R639" s="24">
        <f t="shared" si="37"/>
        <v>-0.14144942612005729</v>
      </c>
      <c r="S639" s="25"/>
      <c r="T639" s="25"/>
      <c r="U639" s="27"/>
      <c r="X639" s="47">
        <v>43215</v>
      </c>
      <c r="Y639" s="48">
        <f t="shared" si="38"/>
        <v>0.81704382805229969</v>
      </c>
      <c r="Z639" s="49"/>
      <c r="AA639" s="49"/>
      <c r="AB639" s="51"/>
      <c r="AE639" s="47">
        <v>43215</v>
      </c>
      <c r="AF639" s="48">
        <f t="shared" si="39"/>
        <v>0.51582584676431642</v>
      </c>
      <c r="AG639" s="49"/>
      <c r="AH639" s="49"/>
      <c r="AI639" s="51"/>
    </row>
    <row r="640" spans="1:35" x14ac:dyDescent="0.3">
      <c r="A640" s="20">
        <v>43210</v>
      </c>
      <c r="C640">
        <f>-(Historical_Simulation!B641-Historical_Simulation!B642)</f>
        <v>1.7700000000000031</v>
      </c>
      <c r="E640">
        <f>-(Historical_Simulation!C641-Historical_Simulation!C642)</f>
        <v>29.420000000000073</v>
      </c>
      <c r="G640">
        <f>-(Historical_Simulation!D641-Historical_Simulation!D642)</f>
        <v>1.8199999999999932</v>
      </c>
      <c r="J640" s="23">
        <v>43214</v>
      </c>
      <c r="K640" s="24">
        <f t="shared" si="36"/>
        <v>31.426770594428991</v>
      </c>
      <c r="L640" s="25"/>
      <c r="M640" s="25"/>
      <c r="N640" s="27"/>
      <c r="Q640" s="23">
        <v>43214</v>
      </c>
      <c r="R640" s="24">
        <f t="shared" si="37"/>
        <v>21.722821262222205</v>
      </c>
      <c r="S640" s="25"/>
      <c r="T640" s="25"/>
      <c r="U640" s="27"/>
      <c r="X640" s="47">
        <v>43214</v>
      </c>
      <c r="Y640" s="48">
        <f t="shared" si="38"/>
        <v>31.812080796571962</v>
      </c>
      <c r="Z640" s="49"/>
      <c r="AA640" s="49"/>
      <c r="AB640" s="51"/>
      <c r="AE640" s="47">
        <v>43214</v>
      </c>
      <c r="AF640" s="48">
        <f t="shared" si="39"/>
        <v>22.351290680062164</v>
      </c>
      <c r="AG640" s="49"/>
      <c r="AH640" s="49"/>
      <c r="AI640" s="51"/>
    </row>
    <row r="641" spans="1:35" x14ac:dyDescent="0.3">
      <c r="A641" s="20">
        <v>43209</v>
      </c>
      <c r="C641">
        <f>-(Historical_Simulation!B642-Historical_Simulation!B643)</f>
        <v>1.259999999999998</v>
      </c>
      <c r="E641">
        <f>-(Historical_Simulation!C642-Historical_Simulation!C643)</f>
        <v>-29.070000000000164</v>
      </c>
      <c r="G641">
        <f>-(Historical_Simulation!D642-Historical_Simulation!D643)</f>
        <v>-1.7399999999999807</v>
      </c>
      <c r="J641" s="23">
        <v>43213</v>
      </c>
      <c r="K641" s="24">
        <f t="shared" si="36"/>
        <v>5.2498249559056411</v>
      </c>
      <c r="L641" s="25"/>
      <c r="M641" s="25"/>
      <c r="N641" s="27"/>
      <c r="Q641" s="23">
        <v>43213</v>
      </c>
      <c r="R641" s="24">
        <f t="shared" si="37"/>
        <v>3.6363175138339963</v>
      </c>
      <c r="S641" s="25"/>
      <c r="T641" s="25"/>
      <c r="U641" s="27"/>
      <c r="X641" s="47">
        <v>43213</v>
      </c>
      <c r="Y641" s="48">
        <f t="shared" si="38"/>
        <v>1.9129804224041287</v>
      </c>
      <c r="Z641" s="49"/>
      <c r="AA641" s="49"/>
      <c r="AB641" s="51"/>
      <c r="AE641" s="47">
        <v>43213</v>
      </c>
      <c r="AF641" s="48">
        <f t="shared" si="39"/>
        <v>1.3699395547300233</v>
      </c>
      <c r="AG641" s="49"/>
      <c r="AH641" s="49"/>
      <c r="AI641" s="51"/>
    </row>
    <row r="642" spans="1:35" x14ac:dyDescent="0.3">
      <c r="A642" s="20">
        <v>43208</v>
      </c>
      <c r="C642">
        <f>-(Historical_Simulation!B643-Historical_Simulation!B644)</f>
        <v>0.10000000000000142</v>
      </c>
      <c r="E642">
        <f>-(Historical_Simulation!C643-Historical_Simulation!C644)</f>
        <v>-24.009999999999991</v>
      </c>
      <c r="G642">
        <f>-(Historical_Simulation!D643-Historical_Simulation!D644)</f>
        <v>2.2999999999999829</v>
      </c>
      <c r="J642" s="23">
        <v>43210</v>
      </c>
      <c r="K642" s="24">
        <f t="shared" si="36"/>
        <v>16.684790749820163</v>
      </c>
      <c r="L642" s="25"/>
      <c r="M642" s="25"/>
      <c r="N642" s="27"/>
      <c r="Q642" s="23">
        <v>43210</v>
      </c>
      <c r="R642" s="24">
        <f t="shared" si="37"/>
        <v>11.99357300289266</v>
      </c>
      <c r="S642" s="25"/>
      <c r="T642" s="25"/>
      <c r="U642" s="27"/>
      <c r="X642" s="47">
        <v>43210</v>
      </c>
      <c r="Y642" s="48">
        <f t="shared" si="38"/>
        <v>2.050153191000593</v>
      </c>
      <c r="Z642" s="49"/>
      <c r="AA642" s="49"/>
      <c r="AB642" s="51"/>
      <c r="AE642" s="47">
        <v>43210</v>
      </c>
      <c r="AF642" s="48">
        <f t="shared" si="39"/>
        <v>1.9653030554265305</v>
      </c>
      <c r="AG642" s="49"/>
      <c r="AH642" s="49"/>
      <c r="AI642" s="51"/>
    </row>
    <row r="643" spans="1:35" x14ac:dyDescent="0.3">
      <c r="A643" s="20">
        <v>43207</v>
      </c>
      <c r="C643">
        <f>-(Historical_Simulation!B644-Historical_Simulation!B645)</f>
        <v>-0.60500000000000398</v>
      </c>
      <c r="E643">
        <f>-(Historical_Simulation!C644-Historical_Simulation!C645)</f>
        <v>-62.329999999999927</v>
      </c>
      <c r="G643">
        <f>-(Historical_Simulation!D644-Historical_Simulation!D645)</f>
        <v>-3.8299999999999841</v>
      </c>
      <c r="J643" s="23">
        <v>43209</v>
      </c>
      <c r="K643" s="24">
        <f t="shared" si="36"/>
        <v>-15.100419654323572</v>
      </c>
      <c r="L643" s="25"/>
      <c r="M643" s="25"/>
      <c r="N643" s="27"/>
      <c r="Q643" s="23">
        <v>43209</v>
      </c>
      <c r="R643" s="24">
        <f t="shared" si="37"/>
        <v>-9.9545015977481093</v>
      </c>
      <c r="S643" s="25"/>
      <c r="T643" s="25"/>
      <c r="U643" s="27"/>
      <c r="X643" s="47">
        <v>43209</v>
      </c>
      <c r="Y643" s="48">
        <f t="shared" si="38"/>
        <v>-15.549191460038596</v>
      </c>
      <c r="Z643" s="49"/>
      <c r="AA643" s="49"/>
      <c r="AB643" s="51"/>
      <c r="AE643" s="47">
        <v>43209</v>
      </c>
      <c r="AF643" s="48">
        <f t="shared" si="39"/>
        <v>-10.4581833255939</v>
      </c>
      <c r="AG643" s="49"/>
      <c r="AH643" s="49"/>
      <c r="AI643" s="51"/>
    </row>
    <row r="644" spans="1:35" x14ac:dyDescent="0.3">
      <c r="A644" s="20">
        <v>43206</v>
      </c>
      <c r="C644">
        <f>-(Historical_Simulation!B645-Historical_Simulation!B646)</f>
        <v>-0.27250000000000085</v>
      </c>
      <c r="E644">
        <f>-(Historical_Simulation!C645-Historical_Simulation!C646)</f>
        <v>-10.710000000000036</v>
      </c>
      <c r="G644">
        <f>-(Historical_Simulation!D645-Historical_Simulation!D646)</f>
        <v>-0.31000000000000227</v>
      </c>
      <c r="J644" s="23">
        <v>43208</v>
      </c>
      <c r="K644" s="24">
        <f t="shared" si="36"/>
        <v>-12.90526600282687</v>
      </c>
      <c r="L644" s="25"/>
      <c r="M644" s="25"/>
      <c r="N644" s="27"/>
      <c r="Q644" s="23">
        <v>43208</v>
      </c>
      <c r="R644" s="24">
        <f t="shared" si="37"/>
        <v>-8.8146598589418179</v>
      </c>
      <c r="S644" s="25"/>
      <c r="T644" s="25"/>
      <c r="U644" s="27"/>
      <c r="X644" s="47">
        <v>43208</v>
      </c>
      <c r="Y644" s="48">
        <f t="shared" si="38"/>
        <v>12.426740404028287</v>
      </c>
      <c r="Z644" s="49"/>
      <c r="AA644" s="49"/>
      <c r="AB644" s="51"/>
      <c r="AE644" s="47">
        <v>43208</v>
      </c>
      <c r="AF644" s="48">
        <f t="shared" si="39"/>
        <v>8.6933344387688489</v>
      </c>
      <c r="AG644" s="49"/>
      <c r="AH644" s="49"/>
      <c r="AI644" s="51"/>
    </row>
    <row r="645" spans="1:35" x14ac:dyDescent="0.3">
      <c r="A645" s="20">
        <v>43203</v>
      </c>
      <c r="C645">
        <f>-(Historical_Simulation!B646-Historical_Simulation!B647)</f>
        <v>-0.14750000000000085</v>
      </c>
      <c r="E645">
        <f>-(Historical_Simulation!C646-Historical_Simulation!C647)</f>
        <v>17.710000000000036</v>
      </c>
      <c r="G645">
        <f>-(Historical_Simulation!D646-Historical_Simulation!D647)</f>
        <v>-0.65000000000000568</v>
      </c>
      <c r="J645" s="23">
        <v>43207</v>
      </c>
      <c r="K645" s="24">
        <f t="shared" si="36"/>
        <v>-33.900314974055917</v>
      </c>
      <c r="L645" s="25"/>
      <c r="M645" s="25"/>
      <c r="N645" s="27"/>
      <c r="Q645" s="23">
        <v>43207</v>
      </c>
      <c r="R645" s="24">
        <f t="shared" si="37"/>
        <v>-23.427786387108391</v>
      </c>
      <c r="S645" s="25"/>
      <c r="T645" s="25"/>
      <c r="U645" s="27"/>
      <c r="X645" s="47">
        <v>43207</v>
      </c>
      <c r="Y645" s="48">
        <f t="shared" si="38"/>
        <v>-18.67488081954151</v>
      </c>
      <c r="Z645" s="49"/>
      <c r="AA645" s="49"/>
      <c r="AB645" s="51"/>
      <c r="AE645" s="47">
        <v>43207</v>
      </c>
      <c r="AF645" s="48">
        <f t="shared" si="39"/>
        <v>-13.202047075013455</v>
      </c>
      <c r="AG645" s="49"/>
      <c r="AH645" s="49"/>
      <c r="AI645" s="51"/>
    </row>
    <row r="646" spans="1:35" x14ac:dyDescent="0.3">
      <c r="A646" s="20">
        <v>43202</v>
      </c>
      <c r="C646">
        <f>-(Historical_Simulation!B647-Historical_Simulation!B648)</f>
        <v>-0.42499999999999716</v>
      </c>
      <c r="E646">
        <f>-(Historical_Simulation!C647-Historical_Simulation!C648)</f>
        <v>-21.450000000000045</v>
      </c>
      <c r="G646">
        <f>-(Historical_Simulation!D647-Historical_Simulation!D648)</f>
        <v>2.4499999999999886</v>
      </c>
      <c r="J646" s="23">
        <v>43206</v>
      </c>
      <c r="K646" s="24">
        <f t="shared" ref="K646:K709" si="40">C644*$K$3+E644*(1-$K$3)</f>
        <v>-5.9026312278932398</v>
      </c>
      <c r="L646" s="25"/>
      <c r="M646" s="25"/>
      <c r="N646" s="27"/>
      <c r="Q646" s="23">
        <v>43206</v>
      </c>
      <c r="R646" s="24">
        <f t="shared" si="37"/>
        <v>-4.1317601525385976</v>
      </c>
      <c r="S646" s="25"/>
      <c r="T646" s="25"/>
      <c r="U646" s="27"/>
      <c r="X646" s="47">
        <v>43206</v>
      </c>
      <c r="Y646" s="48">
        <f t="shared" si="38"/>
        <v>-0.48261489325049278</v>
      </c>
      <c r="Z646" s="49"/>
      <c r="AA646" s="49"/>
      <c r="AB646" s="51"/>
      <c r="AE646" s="47">
        <v>43206</v>
      </c>
      <c r="AF646" s="48">
        <f t="shared" si="39"/>
        <v>-0.41897729156993113</v>
      </c>
      <c r="AG646" s="49"/>
      <c r="AH646" s="49"/>
      <c r="AI646" s="51"/>
    </row>
    <row r="647" spans="1:35" x14ac:dyDescent="0.3">
      <c r="A647" s="20">
        <v>43201</v>
      </c>
      <c r="C647">
        <f>-(Historical_Simulation!B648-Historical_Simulation!B649)</f>
        <v>0.20250000000000057</v>
      </c>
      <c r="E647">
        <f>-(Historical_Simulation!C648-Historical_Simulation!C649)</f>
        <v>9.1700000000000728</v>
      </c>
      <c r="G647">
        <f>-(Historical_Simulation!D648-Historical_Simulation!D649)</f>
        <v>-1.2800000000000011</v>
      </c>
      <c r="J647" s="23">
        <v>43203</v>
      </c>
      <c r="K647" s="24">
        <f t="shared" si="40"/>
        <v>9.4850814037943358</v>
      </c>
      <c r="L647" s="25"/>
      <c r="M647" s="25"/>
      <c r="N647" s="27"/>
      <c r="Q647" s="23">
        <v>43203</v>
      </c>
      <c r="R647" s="24">
        <f t="shared" ref="R647:R710" si="41">C645*$R$3+E645*(1-$R$3)</f>
        <v>6.455301262175607</v>
      </c>
      <c r="S647" s="25"/>
      <c r="T647" s="25"/>
      <c r="U647" s="27"/>
      <c r="X647" s="47">
        <v>43203</v>
      </c>
      <c r="Y647" s="48">
        <f t="shared" ref="Y647:Y710" si="42">C645*$Y$3+G645*(1-$Y$3)</f>
        <v>-2.9630395695565124</v>
      </c>
      <c r="Z647" s="49"/>
      <c r="AA647" s="49"/>
      <c r="AB647" s="51"/>
      <c r="AE647" s="47">
        <v>43203</v>
      </c>
      <c r="AF647" s="48">
        <f t="shared" ref="AF647:AF710" si="43">C645*$AF$3+G645*(1-$AF$3)</f>
        <v>-2.1102957070370114</v>
      </c>
      <c r="AG647" s="49"/>
      <c r="AH647" s="49"/>
      <c r="AI647" s="51"/>
    </row>
    <row r="648" spans="1:35" x14ac:dyDescent="0.3">
      <c r="A648" s="20">
        <v>43200</v>
      </c>
      <c r="C648">
        <f>-(Historical_Simulation!B649-Historical_Simulation!B650)</f>
        <v>-0.79999999999999716</v>
      </c>
      <c r="E648">
        <f>-(Historical_Simulation!C649-Historical_Simulation!C650)</f>
        <v>-30.1400000000001</v>
      </c>
      <c r="G648">
        <f>-(Historical_Simulation!D649-Historical_Simulation!D650)</f>
        <v>-7.1099999999999852</v>
      </c>
      <c r="J648" s="23">
        <v>43202</v>
      </c>
      <c r="K648" s="24">
        <f t="shared" si="40"/>
        <v>-11.766174521337025</v>
      </c>
      <c r="L648" s="25"/>
      <c r="M648" s="25"/>
      <c r="N648" s="27"/>
      <c r="Q648" s="23">
        <v>43202</v>
      </c>
      <c r="R648" s="24">
        <f t="shared" si="41"/>
        <v>-8.1989827264310318</v>
      </c>
      <c r="S648" s="25"/>
      <c r="T648" s="25"/>
      <c r="U648" s="27"/>
      <c r="X648" s="47">
        <v>43202</v>
      </c>
      <c r="Y648" s="48">
        <f t="shared" si="42"/>
        <v>15.683808482537023</v>
      </c>
      <c r="Z648" s="49"/>
      <c r="AA648" s="49"/>
      <c r="AB648" s="51"/>
      <c r="AE648" s="47">
        <v>43202</v>
      </c>
      <c r="AF648" s="48">
        <f t="shared" si="43"/>
        <v>10.804925687027513</v>
      </c>
      <c r="AG648" s="49"/>
      <c r="AH648" s="49"/>
      <c r="AI648" s="51"/>
    </row>
    <row r="649" spans="1:35" x14ac:dyDescent="0.3">
      <c r="A649" s="20">
        <v>43199</v>
      </c>
      <c r="C649">
        <f>-(Historical_Simulation!B650-Historical_Simulation!B651)</f>
        <v>-0.41750000000000398</v>
      </c>
      <c r="E649">
        <f>-(Historical_Simulation!C650-Historical_Simulation!C651)</f>
        <v>-0.84999999999990905</v>
      </c>
      <c r="G649">
        <f>-(Historical_Simulation!D650-Historical_Simulation!D651)</f>
        <v>-0.73000000000001819</v>
      </c>
      <c r="J649" s="23">
        <v>43201</v>
      </c>
      <c r="K649" s="24">
        <f t="shared" si="40"/>
        <v>5.0396929854977586</v>
      </c>
      <c r="L649" s="25"/>
      <c r="M649" s="25"/>
      <c r="N649" s="27"/>
      <c r="Q649" s="23">
        <v>43201</v>
      </c>
      <c r="R649" s="24">
        <f t="shared" si="41"/>
        <v>3.5182284232709016</v>
      </c>
      <c r="S649" s="25"/>
      <c r="T649" s="25"/>
      <c r="U649" s="27"/>
      <c r="X649" s="47">
        <v>43201</v>
      </c>
      <c r="Y649" s="48">
        <f t="shared" si="42"/>
        <v>-8.1040421131691396</v>
      </c>
      <c r="Z649" s="49"/>
      <c r="AA649" s="49"/>
      <c r="AB649" s="51"/>
      <c r="AE649" s="47">
        <v>43201</v>
      </c>
      <c r="AF649" s="48">
        <f t="shared" si="43"/>
        <v>-5.588235593397699</v>
      </c>
      <c r="AG649" s="49"/>
      <c r="AH649" s="49"/>
      <c r="AI649" s="51"/>
    </row>
    <row r="650" spans="1:35" x14ac:dyDescent="0.3">
      <c r="A650" s="20">
        <v>43196</v>
      </c>
      <c r="C650">
        <f>-(Historical_Simulation!B651-Historical_Simulation!B652)</f>
        <v>1.105000000000004</v>
      </c>
      <c r="E650">
        <f>-(Historical_Simulation!C651-Historical_Simulation!C652)</f>
        <v>46.519999999999982</v>
      </c>
      <c r="G650">
        <f>-(Historical_Simulation!D651-Historical_Simulation!D652)</f>
        <v>2.1400000000000148</v>
      </c>
      <c r="J650" s="23">
        <v>43200</v>
      </c>
      <c r="K650" s="24">
        <f t="shared" si="40"/>
        <v>-16.626400021689832</v>
      </c>
      <c r="L650" s="25"/>
      <c r="M650" s="25"/>
      <c r="N650" s="27"/>
      <c r="Q650" s="23">
        <v>43200</v>
      </c>
      <c r="R650" s="24">
        <f t="shared" si="41"/>
        <v>-11.648449616812687</v>
      </c>
      <c r="S650" s="25"/>
      <c r="T650" s="25"/>
      <c r="U650" s="27"/>
      <c r="X650" s="47">
        <v>43200</v>
      </c>
      <c r="Y650" s="48">
        <f t="shared" si="42"/>
        <v>-36.155332704281356</v>
      </c>
      <c r="Z650" s="49"/>
      <c r="AA650" s="49"/>
      <c r="AB650" s="51"/>
      <c r="AE650" s="47">
        <v>43200</v>
      </c>
      <c r="AF650" s="48">
        <f t="shared" si="43"/>
        <v>-25.447245594832623</v>
      </c>
      <c r="AG650" s="49"/>
      <c r="AH650" s="49"/>
      <c r="AI650" s="51"/>
    </row>
    <row r="651" spans="1:35" x14ac:dyDescent="0.3">
      <c r="A651" s="20">
        <v>43195</v>
      </c>
      <c r="C651">
        <f>-(Historical_Simulation!B652-Historical_Simulation!B653)</f>
        <v>-0.29749999999999943</v>
      </c>
      <c r="E651">
        <f>-(Historical_Simulation!C652-Historical_Simulation!C653)</f>
        <v>-41.180000000000064</v>
      </c>
      <c r="G651">
        <f>-(Historical_Simulation!D652-Historical_Simulation!D653)</f>
        <v>-4.2400000000000091</v>
      </c>
      <c r="J651" s="23">
        <v>43199</v>
      </c>
      <c r="K651" s="24">
        <f t="shared" si="40"/>
        <v>-0.65079645567073763</v>
      </c>
      <c r="L651" s="25"/>
      <c r="M651" s="25"/>
      <c r="N651" s="27"/>
      <c r="Q651" s="23">
        <v>43199</v>
      </c>
      <c r="R651" s="24">
        <f t="shared" si="41"/>
        <v>-0.57741664823689698</v>
      </c>
      <c r="S651" s="25"/>
      <c r="T651" s="25"/>
      <c r="U651" s="27"/>
      <c r="X651" s="47">
        <v>43199</v>
      </c>
      <c r="Y651" s="48">
        <f t="shared" si="42"/>
        <v>-2.1684574437541162</v>
      </c>
      <c r="Z651" s="49"/>
      <c r="AA651" s="49"/>
      <c r="AB651" s="51"/>
      <c r="AE651" s="47">
        <v>43199</v>
      </c>
      <c r="AF651" s="48">
        <f t="shared" si="43"/>
        <v>-1.6381440964160991</v>
      </c>
      <c r="AG651" s="49"/>
      <c r="AH651" s="49"/>
      <c r="AI651" s="51"/>
    </row>
    <row r="652" spans="1:35" x14ac:dyDescent="0.3">
      <c r="A652" s="20">
        <v>43194</v>
      </c>
      <c r="C652">
        <f>-(Historical_Simulation!B653-Historical_Simulation!B654)</f>
        <v>-0.80500000000000682</v>
      </c>
      <c r="E652">
        <f>-(Historical_Simulation!C653-Historical_Simulation!C654)</f>
        <v>-18.519999999999982</v>
      </c>
      <c r="G652">
        <f>-(Historical_Simulation!D653-Historical_Simulation!D654)</f>
        <v>1.0100000000000193</v>
      </c>
      <c r="J652" s="23">
        <v>43196</v>
      </c>
      <c r="K652" s="24">
        <f t="shared" si="40"/>
        <v>25.602476379858249</v>
      </c>
      <c r="L652" s="25"/>
      <c r="M652" s="25"/>
      <c r="N652" s="27"/>
      <c r="Q652" s="23">
        <v>43196</v>
      </c>
      <c r="R652" s="24">
        <f t="shared" si="41"/>
        <v>17.897172438566681</v>
      </c>
      <c r="S652" s="25"/>
      <c r="T652" s="25"/>
      <c r="U652" s="27"/>
      <c r="X652" s="47">
        <v>43196</v>
      </c>
      <c r="Y652" s="48">
        <f t="shared" si="42"/>
        <v>6.9041710537134202</v>
      </c>
      <c r="Z652" s="49"/>
      <c r="AA652" s="49"/>
      <c r="AB652" s="51"/>
      <c r="AE652" s="47">
        <v>43196</v>
      </c>
      <c r="AF652" s="48">
        <f t="shared" si="43"/>
        <v>5.1477732473299707</v>
      </c>
      <c r="AG652" s="49"/>
      <c r="AH652" s="49"/>
      <c r="AI652" s="51"/>
    </row>
    <row r="653" spans="1:35" x14ac:dyDescent="0.3">
      <c r="A653" s="20">
        <v>43193</v>
      </c>
      <c r="C653">
        <f>-(Historical_Simulation!B654-Historical_Simulation!B655)</f>
        <v>-0.42749999999999488</v>
      </c>
      <c r="E653">
        <f>-(Historical_Simulation!C654-Historical_Simulation!C655)</f>
        <v>-20.059999999999945</v>
      </c>
      <c r="G653">
        <f>-(Historical_Simulation!D654-Historical_Simulation!D655)</f>
        <v>-0.72000000000002728</v>
      </c>
      <c r="J653" s="23">
        <v>43195</v>
      </c>
      <c r="K653" s="24">
        <f t="shared" si="40"/>
        <v>-22.350083465805501</v>
      </c>
      <c r="L653" s="25"/>
      <c r="M653" s="25"/>
      <c r="N653" s="27"/>
      <c r="Q653" s="23">
        <v>43195</v>
      </c>
      <c r="R653" s="24">
        <f t="shared" si="41"/>
        <v>-15.413782939991272</v>
      </c>
      <c r="S653" s="25"/>
      <c r="T653" s="25"/>
      <c r="U653" s="27"/>
      <c r="X653" s="47">
        <v>43195</v>
      </c>
      <c r="Y653" s="48">
        <f t="shared" si="42"/>
        <v>-22.387579110400932</v>
      </c>
      <c r="Z653" s="49"/>
      <c r="AA653" s="49"/>
      <c r="AB653" s="51"/>
      <c r="AE653" s="47">
        <v>43195</v>
      </c>
      <c r="AF653" s="48">
        <f t="shared" si="43"/>
        <v>-15.697145920384795</v>
      </c>
      <c r="AG653" s="49"/>
      <c r="AH653" s="49"/>
      <c r="AI653" s="51"/>
    </row>
    <row r="654" spans="1:35" x14ac:dyDescent="0.3">
      <c r="A654" s="20">
        <v>43192</v>
      </c>
      <c r="C654">
        <f>-(Historical_Simulation!B655-Historical_Simulation!B656)</f>
        <v>0.27499999999999858</v>
      </c>
      <c r="E654">
        <f>-(Historical_Simulation!C655-Historical_Simulation!C656)</f>
        <v>75.349999999999909</v>
      </c>
      <c r="G654">
        <f>-(Historical_Simulation!D655-Historical_Simulation!D656)</f>
        <v>4.4000000000000057</v>
      </c>
      <c r="J654" s="23">
        <v>43194</v>
      </c>
      <c r="K654" s="24">
        <f t="shared" si="40"/>
        <v>-10.360714941521275</v>
      </c>
      <c r="L654" s="25"/>
      <c r="M654" s="25"/>
      <c r="N654" s="27"/>
      <c r="Q654" s="23">
        <v>43194</v>
      </c>
      <c r="R654" s="24">
        <f t="shared" si="41"/>
        <v>-7.3551119618894365</v>
      </c>
      <c r="S654" s="25"/>
      <c r="T654" s="25"/>
      <c r="U654" s="27"/>
      <c r="X654" s="47">
        <v>43194</v>
      </c>
      <c r="Y654" s="48">
        <f t="shared" si="42"/>
        <v>9.3645608333235622</v>
      </c>
      <c r="Z654" s="49"/>
      <c r="AA654" s="49"/>
      <c r="AB654" s="51"/>
      <c r="AE654" s="47">
        <v>43194</v>
      </c>
      <c r="AF654" s="48">
        <f t="shared" si="43"/>
        <v>6.2845009119844537</v>
      </c>
      <c r="AG654" s="49"/>
      <c r="AH654" s="49"/>
      <c r="AI654" s="51"/>
    </row>
    <row r="655" spans="1:35" x14ac:dyDescent="0.3">
      <c r="A655" s="20">
        <v>43189</v>
      </c>
      <c r="C655">
        <f>-(Historical_Simulation!B656-Historical_Simulation!B657)</f>
        <v>0</v>
      </c>
      <c r="E655">
        <f>-(Historical_Simulation!C656-Historical_Simulation!C657)</f>
        <v>0</v>
      </c>
      <c r="G655">
        <f>-(Historical_Simulation!D656-Historical_Simulation!D657)</f>
        <v>0</v>
      </c>
      <c r="J655" s="23">
        <v>43193</v>
      </c>
      <c r="K655" s="24">
        <f t="shared" si="40"/>
        <v>-11.017540846142591</v>
      </c>
      <c r="L655" s="25"/>
      <c r="M655" s="25"/>
      <c r="N655" s="27"/>
      <c r="Q655" s="23">
        <v>43193</v>
      </c>
      <c r="R655" s="24">
        <f t="shared" si="41"/>
        <v>-7.6866065815294373</v>
      </c>
      <c r="S655" s="25"/>
      <c r="T655" s="25"/>
      <c r="U655" s="27"/>
      <c r="X655" s="47">
        <v>43193</v>
      </c>
      <c r="Y655" s="48">
        <f t="shared" si="42"/>
        <v>-2.0663961673539504</v>
      </c>
      <c r="Z655" s="49"/>
      <c r="AA655" s="49"/>
      <c r="AB655" s="51"/>
      <c r="AE655" s="47">
        <v>43193</v>
      </c>
      <c r="AF655" s="48">
        <f t="shared" si="43"/>
        <v>-1.5700228742455347</v>
      </c>
      <c r="AG655" s="49"/>
      <c r="AH655" s="49"/>
      <c r="AI655" s="51"/>
    </row>
    <row r="656" spans="1:35" x14ac:dyDescent="0.3">
      <c r="A656" s="20">
        <v>43188</v>
      </c>
      <c r="C656">
        <f>-(Historical_Simulation!B657-Historical_Simulation!B658)</f>
        <v>-0.32500000000000284</v>
      </c>
      <c r="E656">
        <f>-(Historical_Simulation!C657-Historical_Simulation!C658)</f>
        <v>-15.919999999999845</v>
      </c>
      <c r="G656">
        <f>-(Historical_Simulation!D657-Historical_Simulation!D658)</f>
        <v>-6.7599999999999909</v>
      </c>
      <c r="J656" s="23">
        <v>43192</v>
      </c>
      <c r="K656" s="24">
        <f t="shared" si="40"/>
        <v>40.77148880805585</v>
      </c>
      <c r="L656" s="25"/>
      <c r="M656" s="25"/>
      <c r="N656" s="27"/>
      <c r="Q656" s="23">
        <v>43192</v>
      </c>
      <c r="R656" s="24">
        <f t="shared" si="41"/>
        <v>28.033941887600847</v>
      </c>
      <c r="S656" s="25"/>
      <c r="T656" s="25"/>
      <c r="U656" s="27"/>
      <c r="X656" s="47">
        <v>43192</v>
      </c>
      <c r="Y656" s="48">
        <f t="shared" si="42"/>
        <v>23.38763825755327</v>
      </c>
      <c r="Z656" s="49"/>
      <c r="AA656" s="49"/>
      <c r="AB656" s="51"/>
      <c r="AE656" s="47">
        <v>43192</v>
      </c>
      <c r="AF656" s="48">
        <f t="shared" si="43"/>
        <v>16.387502072691753</v>
      </c>
      <c r="AG656" s="49"/>
      <c r="AH656" s="49"/>
      <c r="AI656" s="51"/>
    </row>
    <row r="657" spans="1:35" x14ac:dyDescent="0.3">
      <c r="A657" s="20">
        <v>43187</v>
      </c>
      <c r="C657">
        <f>-(Historical_Simulation!B658-Historical_Simulation!B659)</f>
        <v>0.46500000000000341</v>
      </c>
      <c r="E657">
        <f>-(Historical_Simulation!C658-Historical_Simulation!C659)</f>
        <v>65.629999999999882</v>
      </c>
      <c r="G657">
        <f>-(Historical_Simulation!D658-Historical_Simulation!D659)</f>
        <v>-0.81000000000000227</v>
      </c>
      <c r="J657" s="23">
        <v>43189</v>
      </c>
      <c r="K657" s="24">
        <f t="shared" si="40"/>
        <v>0</v>
      </c>
      <c r="L657" s="25"/>
      <c r="M657" s="25"/>
      <c r="N657" s="27"/>
      <c r="Q657" s="23">
        <v>43189</v>
      </c>
      <c r="R657" s="24">
        <f t="shared" si="41"/>
        <v>0</v>
      </c>
      <c r="S657" s="25"/>
      <c r="T657" s="25"/>
      <c r="U657" s="27"/>
      <c r="X657" s="47">
        <v>43189</v>
      </c>
      <c r="Y657" s="48">
        <f t="shared" si="42"/>
        <v>0</v>
      </c>
      <c r="Z657" s="49"/>
      <c r="AA657" s="49"/>
      <c r="AB657" s="51"/>
      <c r="AE657" s="47">
        <v>43189</v>
      </c>
      <c r="AF657" s="48">
        <f t="shared" si="43"/>
        <v>0</v>
      </c>
      <c r="AG657" s="49"/>
      <c r="AH657" s="49"/>
      <c r="AI657" s="51"/>
    </row>
    <row r="658" spans="1:35" x14ac:dyDescent="0.3">
      <c r="A658" s="20">
        <v>43186</v>
      </c>
      <c r="C658">
        <f>-(Historical_Simulation!B659-Historical_Simulation!B660)</f>
        <v>1.1075000000000017</v>
      </c>
      <c r="E658">
        <f>-(Historical_Simulation!C659-Historical_Simulation!C660)</f>
        <v>58.809999999999945</v>
      </c>
      <c r="G658">
        <f>-(Historical_Simulation!D659-Historical_Simulation!D660)</f>
        <v>7.8400000000000034</v>
      </c>
      <c r="J658" s="23">
        <v>43188</v>
      </c>
      <c r="K658" s="24">
        <f t="shared" si="40"/>
        <v>-8.7371577484066005</v>
      </c>
      <c r="L658" s="25"/>
      <c r="M658" s="25"/>
      <c r="N658" s="27"/>
      <c r="Q658" s="23">
        <v>43188</v>
      </c>
      <c r="R658" s="24">
        <f t="shared" si="41"/>
        <v>-6.0912430734216656</v>
      </c>
      <c r="S658" s="25"/>
      <c r="T658" s="25"/>
      <c r="U658" s="27"/>
      <c r="X658" s="47">
        <v>43188</v>
      </c>
      <c r="Y658" s="48">
        <f t="shared" si="42"/>
        <v>-36.380715681782974</v>
      </c>
      <c r="Z658" s="49"/>
      <c r="AA658" s="49"/>
      <c r="AB658" s="51"/>
      <c r="AE658" s="47">
        <v>43188</v>
      </c>
      <c r="AF658" s="48">
        <f t="shared" si="43"/>
        <v>-25.460503233399045</v>
      </c>
      <c r="AG658" s="49"/>
      <c r="AH658" s="49"/>
      <c r="AI658" s="51"/>
    </row>
    <row r="659" spans="1:35" x14ac:dyDescent="0.3">
      <c r="A659" s="20">
        <v>43185</v>
      </c>
      <c r="C659">
        <f>-(Historical_Simulation!B660-Historical_Simulation!B661)</f>
        <v>-1.9575000000000031</v>
      </c>
      <c r="E659">
        <f>-(Historical_Simulation!C660-Historical_Simulation!C661)</f>
        <v>-60.299999999999955</v>
      </c>
      <c r="G659">
        <f>-(Historical_Simulation!D660-Historical_Simulation!D661)</f>
        <v>-0.67000000000001592</v>
      </c>
      <c r="J659" s="23">
        <v>43187</v>
      </c>
      <c r="K659" s="24">
        <f t="shared" si="40"/>
        <v>35.615898344015427</v>
      </c>
      <c r="L659" s="25"/>
      <c r="M659" s="25"/>
      <c r="N659" s="27"/>
      <c r="Q659" s="23">
        <v>43187</v>
      </c>
      <c r="R659" s="24">
        <f t="shared" si="41"/>
        <v>24.559724583489952</v>
      </c>
      <c r="S659" s="25"/>
      <c r="T659" s="25"/>
      <c r="U659" s="27"/>
      <c r="X659" s="47">
        <v>43187</v>
      </c>
      <c r="Y659" s="48">
        <f t="shared" si="42"/>
        <v>-6.6789063705164811</v>
      </c>
      <c r="Z659" s="49"/>
      <c r="AA659" s="49"/>
      <c r="AB659" s="51"/>
      <c r="AE659" s="47">
        <v>43187</v>
      </c>
      <c r="AF659" s="48">
        <f t="shared" si="43"/>
        <v>-4.5152279133774611</v>
      </c>
      <c r="AG659" s="49"/>
      <c r="AH659" s="49"/>
      <c r="AI659" s="51"/>
    </row>
    <row r="660" spans="1:35" x14ac:dyDescent="0.3">
      <c r="A660" s="20">
        <v>43182</v>
      </c>
      <c r="C660">
        <f>-(Historical_Simulation!B661-Historical_Simulation!B662)</f>
        <v>0.97749999999999915</v>
      </c>
      <c r="E660">
        <f>-(Historical_Simulation!C661-Historical_Simulation!C662)</f>
        <v>49.360000000000127</v>
      </c>
      <c r="G660">
        <f>-(Historical_Simulation!D661-Historical_Simulation!D662)</f>
        <v>5.5</v>
      </c>
      <c r="J660" s="23">
        <v>43186</v>
      </c>
      <c r="K660" s="24">
        <f t="shared" si="40"/>
        <v>32.233023082875036</v>
      </c>
      <c r="L660" s="25"/>
      <c r="M660" s="25"/>
      <c r="N660" s="27"/>
      <c r="Q660" s="23">
        <v>43186</v>
      </c>
      <c r="R660" s="24">
        <f t="shared" si="41"/>
        <v>22.442969121136041</v>
      </c>
      <c r="S660" s="25"/>
      <c r="T660" s="25"/>
      <c r="U660" s="27"/>
      <c r="X660" s="47">
        <v>43186</v>
      </c>
      <c r="Y660" s="48">
        <f t="shared" si="42"/>
        <v>38.830127168236892</v>
      </c>
      <c r="Z660" s="49"/>
      <c r="AA660" s="49"/>
      <c r="AB660" s="51"/>
      <c r="AE660" s="47">
        <v>43186</v>
      </c>
      <c r="AF660" s="48">
        <f t="shared" si="43"/>
        <v>27.405056413187168</v>
      </c>
      <c r="AG660" s="49"/>
      <c r="AH660" s="49"/>
      <c r="AI660" s="51"/>
    </row>
    <row r="661" spans="1:35" x14ac:dyDescent="0.3">
      <c r="A661" s="20">
        <v>43181</v>
      </c>
      <c r="C661">
        <f>-(Historical_Simulation!B662-Historical_Simulation!B663)</f>
        <v>0.60500000000000398</v>
      </c>
      <c r="E661">
        <f>-(Historical_Simulation!C662-Historical_Simulation!C663)</f>
        <v>36.939999999999827</v>
      </c>
      <c r="G661">
        <f>-(Historical_Simulation!D662-Historical_Simulation!D663)</f>
        <v>4.5</v>
      </c>
      <c r="J661" s="23">
        <v>43185</v>
      </c>
      <c r="K661" s="24">
        <f t="shared" si="40"/>
        <v>-33.42824789589077</v>
      </c>
      <c r="L661" s="25"/>
      <c r="M661" s="25"/>
      <c r="N661" s="27"/>
      <c r="Q661" s="23">
        <v>43185</v>
      </c>
      <c r="R661" s="24">
        <f t="shared" si="41"/>
        <v>-23.529608785579132</v>
      </c>
      <c r="S661" s="25"/>
      <c r="T661" s="25"/>
      <c r="U661" s="27"/>
      <c r="X661" s="47">
        <v>43185</v>
      </c>
      <c r="Y661" s="48">
        <f t="shared" si="42"/>
        <v>5.2564446682665391</v>
      </c>
      <c r="Z661" s="49"/>
      <c r="AA661" s="49"/>
      <c r="AB661" s="51"/>
      <c r="AE661" s="47">
        <v>43185</v>
      </c>
      <c r="AF661" s="48">
        <f t="shared" si="43"/>
        <v>3.0715536772340304</v>
      </c>
      <c r="AG661" s="49"/>
      <c r="AH661" s="49"/>
      <c r="AI661" s="51"/>
    </row>
    <row r="662" spans="1:35" x14ac:dyDescent="0.3">
      <c r="A662" s="20">
        <v>43180</v>
      </c>
      <c r="C662">
        <f>-(Historical_Simulation!B663-Historical_Simulation!B664)</f>
        <v>0.99249999999999972</v>
      </c>
      <c r="E662">
        <f>-(Historical_Simulation!C663-Historical_Simulation!C664)</f>
        <v>4.6500000000000909</v>
      </c>
      <c r="G662">
        <f>-(Historical_Simulation!D663-Historical_Simulation!D664)</f>
        <v>-1.2399999999999807</v>
      </c>
      <c r="J662" s="23">
        <v>43182</v>
      </c>
      <c r="K662" s="24">
        <f t="shared" si="40"/>
        <v>27.075686743333595</v>
      </c>
      <c r="L662" s="25"/>
      <c r="M662" s="25"/>
      <c r="N662" s="27"/>
      <c r="Q662" s="23">
        <v>43182</v>
      </c>
      <c r="R662" s="24">
        <f t="shared" si="41"/>
        <v>18.86690400768369</v>
      </c>
      <c r="S662" s="25"/>
      <c r="T662" s="25"/>
      <c r="U662" s="27"/>
      <c r="X662" s="47">
        <v>43182</v>
      </c>
      <c r="Y662" s="48">
        <f t="shared" si="42"/>
        <v>26.317356126008363</v>
      </c>
      <c r="Z662" s="49"/>
      <c r="AA662" s="49"/>
      <c r="AB662" s="51"/>
      <c r="AE662" s="47">
        <v>43182</v>
      </c>
      <c r="AF662" s="48">
        <f t="shared" si="43"/>
        <v>18.64266136333293</v>
      </c>
      <c r="AG662" s="49"/>
      <c r="AH662" s="49"/>
      <c r="AI662" s="51"/>
    </row>
    <row r="663" spans="1:35" x14ac:dyDescent="0.3">
      <c r="A663" s="20">
        <v>43179</v>
      </c>
      <c r="C663">
        <f>-(Historical_Simulation!B664-Historical_Simulation!B665)</f>
        <v>1.5000000000000568E-2</v>
      </c>
      <c r="E663">
        <f>-(Historical_Simulation!C664-Historical_Simulation!C665)</f>
        <v>-41.579999999999927</v>
      </c>
      <c r="G663">
        <f>-(Historical_Simulation!D664-Historical_Simulation!D665)</f>
        <v>4.4099999999999966</v>
      </c>
      <c r="J663" s="23">
        <v>43181</v>
      </c>
      <c r="K663" s="24">
        <f t="shared" si="40"/>
        <v>20.204599345197526</v>
      </c>
      <c r="L663" s="25"/>
      <c r="M663" s="25"/>
      <c r="N663" s="27"/>
      <c r="Q663" s="23">
        <v>43181</v>
      </c>
      <c r="R663" s="24">
        <f t="shared" si="41"/>
        <v>14.039847199280365</v>
      </c>
      <c r="S663" s="25"/>
      <c r="T663" s="25"/>
      <c r="U663" s="27"/>
      <c r="X663" s="47">
        <v>43181</v>
      </c>
      <c r="Y663" s="48">
        <f t="shared" si="42"/>
        <v>22.428933578950247</v>
      </c>
      <c r="Z663" s="49"/>
      <c r="AA663" s="49"/>
      <c r="AB663" s="51"/>
      <c r="AE663" s="47">
        <v>43181</v>
      </c>
      <c r="AF663" s="48">
        <f t="shared" si="43"/>
        <v>15.819108017729507</v>
      </c>
      <c r="AG663" s="49"/>
      <c r="AH663" s="49"/>
      <c r="AI663" s="51"/>
    </row>
    <row r="664" spans="1:35" x14ac:dyDescent="0.3">
      <c r="A664" s="20">
        <v>43178</v>
      </c>
      <c r="C664">
        <f>-(Historical_Simulation!B665-Historical_Simulation!B666)</f>
        <v>0.67999999999999972</v>
      </c>
      <c r="E664">
        <f>-(Historical_Simulation!C665-Historical_Simulation!C666)</f>
        <v>26.75</v>
      </c>
      <c r="G664">
        <f>-(Historical_Simulation!D665-Historical_Simulation!D666)</f>
        <v>12.530000000000001</v>
      </c>
      <c r="J664" s="23">
        <v>43180</v>
      </c>
      <c r="K664" s="24">
        <f t="shared" si="40"/>
        <v>2.9654058650079005</v>
      </c>
      <c r="L664" s="25"/>
      <c r="M664" s="25"/>
      <c r="N664" s="27"/>
      <c r="Q664" s="23">
        <v>43180</v>
      </c>
      <c r="R664" s="24">
        <f t="shared" si="41"/>
        <v>2.3448587073446916</v>
      </c>
      <c r="S664" s="25"/>
      <c r="T664" s="25"/>
      <c r="U664" s="27"/>
      <c r="X664" s="47">
        <v>43180</v>
      </c>
      <c r="Y664" s="48">
        <f t="shared" si="42"/>
        <v>-11.516339978178699</v>
      </c>
      <c r="Z664" s="49"/>
      <c r="AA664" s="49"/>
      <c r="AB664" s="51"/>
      <c r="AE664" s="47">
        <v>43180</v>
      </c>
      <c r="AF664" s="48">
        <f t="shared" si="43"/>
        <v>-7.7277814247961114</v>
      </c>
      <c r="AG664" s="49"/>
      <c r="AH664" s="49"/>
      <c r="AI664" s="51"/>
    </row>
    <row r="665" spans="1:35" x14ac:dyDescent="0.3">
      <c r="A665" s="20">
        <v>43175</v>
      </c>
      <c r="C665">
        <f>-(Historical_Simulation!B666-Historical_Simulation!B667)</f>
        <v>0.15749999999999886</v>
      </c>
      <c r="E665">
        <f>-(Historical_Simulation!C666-Historical_Simulation!C667)</f>
        <v>10.639999999999873</v>
      </c>
      <c r="G665">
        <f>-(Historical_Simulation!D666-Historical_Simulation!D667)</f>
        <v>-1.2299999999999898</v>
      </c>
      <c r="J665" s="23">
        <v>43179</v>
      </c>
      <c r="K665" s="24">
        <f t="shared" si="40"/>
        <v>-22.421915777170593</v>
      </c>
      <c r="L665" s="25"/>
      <c r="M665" s="25"/>
      <c r="N665" s="27"/>
      <c r="Q665" s="23">
        <v>43179</v>
      </c>
      <c r="R665" s="24">
        <f t="shared" si="41"/>
        <v>-15.364729441421998</v>
      </c>
      <c r="S665" s="25"/>
      <c r="T665" s="25"/>
      <c r="U665" s="27"/>
      <c r="X665" s="47">
        <v>43179</v>
      </c>
      <c r="Y665" s="48">
        <f t="shared" si="42"/>
        <v>24.640465488956693</v>
      </c>
      <c r="Z665" s="49"/>
      <c r="AA665" s="49"/>
      <c r="AB665" s="51"/>
      <c r="AE665" s="47">
        <v>43179</v>
      </c>
      <c r="AF665" s="48">
        <f t="shared" si="43"/>
        <v>17.182138571995171</v>
      </c>
      <c r="AG665" s="49"/>
      <c r="AH665" s="49"/>
      <c r="AI665" s="51"/>
    </row>
    <row r="666" spans="1:35" x14ac:dyDescent="0.3">
      <c r="A666" s="20">
        <v>43174</v>
      </c>
      <c r="C666">
        <f>-(Historical_Simulation!B667-Historical_Simulation!B668)</f>
        <v>-5.250000000000199E-2</v>
      </c>
      <c r="E666">
        <f>-(Historical_Simulation!C667-Historical_Simulation!C668)</f>
        <v>8.6800000000000637</v>
      </c>
      <c r="G666">
        <f>-(Historical_Simulation!D667-Historical_Simulation!D668)</f>
        <v>0.32999999999998408</v>
      </c>
      <c r="J666" s="23">
        <v>43178</v>
      </c>
      <c r="K666" s="24">
        <f t="shared" si="40"/>
        <v>14.742516992687543</v>
      </c>
      <c r="L666" s="25"/>
      <c r="M666" s="25"/>
      <c r="N666" s="27"/>
      <c r="Q666" s="23">
        <v>43178</v>
      </c>
      <c r="R666" s="24">
        <f t="shared" si="41"/>
        <v>10.319368831298767</v>
      </c>
      <c r="S666" s="25"/>
      <c r="T666" s="25"/>
      <c r="U666" s="27"/>
      <c r="X666" s="47">
        <v>43178</v>
      </c>
      <c r="Y666" s="48">
        <f t="shared" si="42"/>
        <v>67.07630626715293</v>
      </c>
      <c r="Z666" s="49"/>
      <c r="AA666" s="49"/>
      <c r="AB666" s="51"/>
      <c r="AE666" s="47">
        <v>43178</v>
      </c>
      <c r="AF666" s="48">
        <f t="shared" si="43"/>
        <v>46.966824136096236</v>
      </c>
      <c r="AG666" s="49"/>
      <c r="AH666" s="49"/>
      <c r="AI666" s="51"/>
    </row>
    <row r="667" spans="1:35" x14ac:dyDescent="0.3">
      <c r="A667" s="20">
        <v>43173</v>
      </c>
      <c r="C667">
        <f>-(Historical_Simulation!B668-Historical_Simulation!B669)</f>
        <v>0.38250000000000028</v>
      </c>
      <c r="E667">
        <f>-(Historical_Simulation!C668-Historical_Simulation!C669)</f>
        <v>-2.8199999999999363</v>
      </c>
      <c r="G667">
        <f>-(Historical_Simulation!D668-Historical_Simulation!D669)</f>
        <v>-2.3100000000000023</v>
      </c>
      <c r="J667" s="23">
        <v>43175</v>
      </c>
      <c r="K667" s="24">
        <f t="shared" si="40"/>
        <v>5.8119048475583188</v>
      </c>
      <c r="L667" s="25"/>
      <c r="M667" s="25"/>
      <c r="N667" s="27"/>
      <c r="Q667" s="23">
        <v>43175</v>
      </c>
      <c r="R667" s="24">
        <f t="shared" si="41"/>
        <v>4.0333988789446904</v>
      </c>
      <c r="S667" s="25"/>
      <c r="T667" s="25"/>
      <c r="U667" s="27"/>
      <c r="X667" s="47">
        <v>43175</v>
      </c>
      <c r="Y667" s="48">
        <f t="shared" si="42"/>
        <v>-7.6167510502678422</v>
      </c>
      <c r="Z667" s="49"/>
      <c r="AA667" s="49"/>
      <c r="AB667" s="51"/>
      <c r="AE667" s="47">
        <v>43175</v>
      </c>
      <c r="AF667" s="48">
        <f t="shared" si="43"/>
        <v>-5.2621597880871729</v>
      </c>
      <c r="AG667" s="49"/>
      <c r="AH667" s="49"/>
      <c r="AI667" s="51"/>
    </row>
    <row r="668" spans="1:35" x14ac:dyDescent="0.3">
      <c r="A668" s="20">
        <v>43172</v>
      </c>
      <c r="C668">
        <f>-(Historical_Simulation!B669-Historical_Simulation!B670)</f>
        <v>0.4375</v>
      </c>
      <c r="E668">
        <f>-(Historical_Simulation!C669-Historical_Simulation!C670)</f>
        <v>10.210000000000036</v>
      </c>
      <c r="G668">
        <f>-(Historical_Simulation!D669-Historical_Simulation!D670)</f>
        <v>2.8799999999999955</v>
      </c>
      <c r="J668" s="23">
        <v>43174</v>
      </c>
      <c r="K668" s="24">
        <f t="shared" si="40"/>
        <v>4.6579307494685409</v>
      </c>
      <c r="L668" s="25"/>
      <c r="M668" s="25"/>
      <c r="N668" s="27"/>
      <c r="Q668" s="23">
        <v>43174</v>
      </c>
      <c r="R668" s="24">
        <f t="shared" si="41"/>
        <v>3.1763372964832013</v>
      </c>
      <c r="S668" s="25"/>
      <c r="T668" s="25"/>
      <c r="U668" s="27"/>
      <c r="X668" s="47">
        <v>43174</v>
      </c>
      <c r="Y668" s="48">
        <f t="shared" si="42"/>
        <v>2.090671911154856</v>
      </c>
      <c r="Z668" s="49"/>
      <c r="AA668" s="49"/>
      <c r="AB668" s="51"/>
      <c r="AE668" s="47">
        <v>43174</v>
      </c>
      <c r="AF668" s="48">
        <f t="shared" si="43"/>
        <v>1.4415683740131764</v>
      </c>
      <c r="AG668" s="49"/>
      <c r="AH668" s="49"/>
      <c r="AI668" s="51"/>
    </row>
    <row r="669" spans="1:35" x14ac:dyDescent="0.3">
      <c r="A669" s="20">
        <v>43171</v>
      </c>
      <c r="C669">
        <f>-(Historical_Simulation!B670-Historical_Simulation!B671)</f>
        <v>-0.43500000000000227</v>
      </c>
      <c r="E669">
        <f>-(Historical_Simulation!C670-Historical_Simulation!C671)</f>
        <v>-19.5</v>
      </c>
      <c r="G669">
        <f>-(Historical_Simulation!D670-Historical_Simulation!D671)</f>
        <v>0.46999999999999886</v>
      </c>
      <c r="J669" s="23">
        <v>43173</v>
      </c>
      <c r="K669" s="24">
        <f t="shared" si="40"/>
        <v>-1.3449725995044481</v>
      </c>
      <c r="L669" s="25"/>
      <c r="M669" s="25"/>
      <c r="N669" s="27"/>
      <c r="Q669" s="23">
        <v>43173</v>
      </c>
      <c r="R669" s="24">
        <f t="shared" si="41"/>
        <v>-0.8016226959046292</v>
      </c>
      <c r="S669" s="25"/>
      <c r="T669" s="25"/>
      <c r="U669" s="27"/>
      <c r="X669" s="47">
        <v>43173</v>
      </c>
      <c r="Y669" s="48">
        <f t="shared" si="42"/>
        <v>-14.703749335384758</v>
      </c>
      <c r="Z669" s="49"/>
      <c r="AA669" s="49"/>
      <c r="AB669" s="51"/>
      <c r="AE669" s="47">
        <v>43173</v>
      </c>
      <c r="AF669" s="48">
        <f t="shared" si="43"/>
        <v>-10.134569534720608</v>
      </c>
      <c r="AG669" s="49"/>
      <c r="AH669" s="49"/>
      <c r="AI669" s="51"/>
    </row>
    <row r="670" spans="1:35" x14ac:dyDescent="0.3">
      <c r="A670" s="20">
        <v>43168</v>
      </c>
      <c r="C670">
        <f>-(Historical_Simulation!B671-Historical_Simulation!B672)</f>
        <v>-0.75999999999999801</v>
      </c>
      <c r="E670">
        <f>-(Historical_Simulation!C671-Historical_Simulation!C672)</f>
        <v>-27.0300000000002</v>
      </c>
      <c r="G670">
        <f>-(Historical_Simulation!D671-Historical_Simulation!D672)</f>
        <v>-2.8899999999999864</v>
      </c>
      <c r="J670" s="23">
        <v>43172</v>
      </c>
      <c r="K670" s="24">
        <f t="shared" si="40"/>
        <v>5.708921070619084</v>
      </c>
      <c r="L670" s="25"/>
      <c r="M670" s="25"/>
      <c r="N670" s="27"/>
      <c r="Q670" s="23">
        <v>43172</v>
      </c>
      <c r="R670" s="24">
        <f t="shared" si="41"/>
        <v>4.0508767512032051</v>
      </c>
      <c r="S670" s="25"/>
      <c r="T670" s="25"/>
      <c r="U670" s="27"/>
      <c r="X670" s="47">
        <v>43172</v>
      </c>
      <c r="Y670" s="48">
        <f t="shared" si="42"/>
        <v>14.122983380381493</v>
      </c>
      <c r="Z670" s="49"/>
      <c r="AA670" s="49"/>
      <c r="AB670" s="51"/>
      <c r="AE670" s="47">
        <v>43172</v>
      </c>
      <c r="AF670" s="48">
        <f t="shared" si="43"/>
        <v>9.9780542575877487</v>
      </c>
      <c r="AG670" s="49"/>
      <c r="AH670" s="49"/>
      <c r="AI670" s="51"/>
    </row>
    <row r="671" spans="1:35" x14ac:dyDescent="0.3">
      <c r="A671" s="20">
        <v>43167</v>
      </c>
      <c r="C671">
        <f>-(Historical_Simulation!B672-Historical_Simulation!B673)</f>
        <v>-0.47749999999999915</v>
      </c>
      <c r="E671">
        <f>-(Historical_Simulation!C672-Historical_Simulation!C673)</f>
        <v>-6.8599999999999</v>
      </c>
      <c r="G671">
        <f>-(Historical_Simulation!D672-Historical_Simulation!D673)</f>
        <v>1.3700000000000045</v>
      </c>
      <c r="J671" s="23">
        <v>43171</v>
      </c>
      <c r="K671" s="24">
        <f t="shared" si="40"/>
        <v>-10.718923531476335</v>
      </c>
      <c r="L671" s="25"/>
      <c r="M671" s="25"/>
      <c r="N671" s="27"/>
      <c r="Q671" s="23">
        <v>43171</v>
      </c>
      <c r="R671" s="24">
        <f t="shared" si="41"/>
        <v>-7.4842737540740707</v>
      </c>
      <c r="S671" s="25"/>
      <c r="T671" s="25"/>
      <c r="U671" s="27"/>
      <c r="X671" s="47">
        <v>43171</v>
      </c>
      <c r="Y671" s="48">
        <f t="shared" si="42"/>
        <v>4.6357727571116829</v>
      </c>
      <c r="Z671" s="49"/>
      <c r="AA671" s="49"/>
      <c r="AB671" s="51"/>
      <c r="AE671" s="47">
        <v>43171</v>
      </c>
      <c r="AF671" s="48">
        <f t="shared" si="43"/>
        <v>3.0999853032208531</v>
      </c>
      <c r="AG671" s="49"/>
      <c r="AH671" s="49"/>
      <c r="AI671" s="51"/>
    </row>
    <row r="672" spans="1:35" x14ac:dyDescent="0.3">
      <c r="A672" s="20">
        <v>43166</v>
      </c>
      <c r="C672">
        <f>-(Historical_Simulation!B673-Historical_Simulation!B674)</f>
        <v>0.40999999999999659</v>
      </c>
      <c r="E672">
        <f>-(Historical_Simulation!C673-Historical_Simulation!C674)</f>
        <v>-7.3599999999999</v>
      </c>
      <c r="G672">
        <f>-(Historical_Simulation!D673-Historical_Simulation!D674)</f>
        <v>-3.9300000000000068</v>
      </c>
      <c r="J672" s="23">
        <v>43168</v>
      </c>
      <c r="K672" s="24">
        <f t="shared" si="40"/>
        <v>-14.930399746755066</v>
      </c>
      <c r="L672" s="25"/>
      <c r="M672" s="25"/>
      <c r="N672" s="27"/>
      <c r="Q672" s="23">
        <v>43168</v>
      </c>
      <c r="R672" s="24">
        <f t="shared" si="41"/>
        <v>-10.473318726437304</v>
      </c>
      <c r="S672" s="25"/>
      <c r="T672" s="25"/>
      <c r="U672" s="27"/>
      <c r="X672" s="47">
        <v>43168</v>
      </c>
      <c r="Y672" s="48">
        <f t="shared" si="42"/>
        <v>-12.694525936627418</v>
      </c>
      <c r="Z672" s="49"/>
      <c r="AA672" s="49"/>
      <c r="AB672" s="51"/>
      <c r="AE672" s="47">
        <v>43168</v>
      </c>
      <c r="AF672" s="48">
        <f t="shared" si="43"/>
        <v>-9.0799101611716786</v>
      </c>
      <c r="AG672" s="49"/>
      <c r="AH672" s="49"/>
      <c r="AI672" s="51"/>
    </row>
    <row r="673" spans="1:35" x14ac:dyDescent="0.3">
      <c r="A673" s="20">
        <v>43165</v>
      </c>
      <c r="C673">
        <f>-(Historical_Simulation!B674-Historical_Simulation!B675)</f>
        <v>3.7500000000001421E-2</v>
      </c>
      <c r="E673">
        <f>-(Historical_Simulation!C674-Historical_Simulation!C675)</f>
        <v>-14.0300000000002</v>
      </c>
      <c r="G673">
        <f>-(Historical_Simulation!D674-Historical_Simulation!D675)</f>
        <v>0.62000000000000455</v>
      </c>
      <c r="J673" s="23">
        <v>43167</v>
      </c>
      <c r="K673" s="24">
        <f t="shared" si="40"/>
        <v>-3.9203083891763262</v>
      </c>
      <c r="L673" s="25"/>
      <c r="M673" s="25"/>
      <c r="N673" s="27"/>
      <c r="Q673" s="23">
        <v>43167</v>
      </c>
      <c r="R673" s="24">
        <f t="shared" si="41"/>
        <v>-2.837426028606191</v>
      </c>
      <c r="S673" s="25"/>
      <c r="T673" s="25"/>
      <c r="U673" s="27"/>
      <c r="X673" s="47">
        <v>43167</v>
      </c>
      <c r="Y673" s="48">
        <f t="shared" si="42"/>
        <v>9.8741604074738625</v>
      </c>
      <c r="Z673" s="49"/>
      <c r="AA673" s="49"/>
      <c r="AB673" s="51"/>
      <c r="AE673" s="47">
        <v>43167</v>
      </c>
      <c r="AF673" s="48">
        <f t="shared" si="43"/>
        <v>6.7389478980116424</v>
      </c>
      <c r="AG673" s="49"/>
      <c r="AH673" s="49"/>
      <c r="AI673" s="51"/>
    </row>
    <row r="674" spans="1:35" x14ac:dyDescent="0.3">
      <c r="A674" s="20">
        <v>43164</v>
      </c>
      <c r="C674">
        <f>-(Historical_Simulation!B675-Historical_Simulation!B676)</f>
        <v>-0.15249999999999631</v>
      </c>
      <c r="E674">
        <f>-(Historical_Simulation!C675-Historical_Simulation!C676)</f>
        <v>-23.3599999999999</v>
      </c>
      <c r="G674">
        <f>-(Historical_Simulation!D675-Historical_Simulation!D676)</f>
        <v>-3.7800000000000011</v>
      </c>
      <c r="J674" s="23">
        <v>43166</v>
      </c>
      <c r="K674" s="24">
        <f t="shared" si="40"/>
        <v>-3.7812449955190202</v>
      </c>
      <c r="L674" s="25"/>
      <c r="M674" s="25"/>
      <c r="N674" s="27"/>
      <c r="Q674" s="23">
        <v>43166</v>
      </c>
      <c r="R674" s="24">
        <f t="shared" si="41"/>
        <v>-2.4629534261292871</v>
      </c>
      <c r="S674" s="25"/>
      <c r="T674" s="25"/>
      <c r="U674" s="27"/>
      <c r="X674" s="47">
        <v>43166</v>
      </c>
      <c r="Y674" s="48">
        <f t="shared" si="42"/>
        <v>-23.907296978856028</v>
      </c>
      <c r="Z674" s="49"/>
      <c r="AA674" s="49"/>
      <c r="AB674" s="51"/>
      <c r="AE674" s="47">
        <v>43166</v>
      </c>
      <c r="AF674" s="48">
        <f t="shared" si="43"/>
        <v>-16.542305211025976</v>
      </c>
      <c r="AG674" s="49"/>
      <c r="AH674" s="49"/>
      <c r="AI674" s="51"/>
    </row>
    <row r="675" spans="1:35" x14ac:dyDescent="0.3">
      <c r="A675" s="20">
        <v>43161</v>
      </c>
      <c r="C675">
        <f>-(Historical_Simulation!B676-Historical_Simulation!B677)</f>
        <v>-0.30250000000000199</v>
      </c>
      <c r="E675">
        <f>-(Historical_Simulation!C676-Historical_Simulation!C677)</f>
        <v>-6.7999999999999545</v>
      </c>
      <c r="G675">
        <f>-(Historical_Simulation!D676-Historical_Simulation!D677)</f>
        <v>-0.68000000000000682</v>
      </c>
      <c r="J675" s="23">
        <v>43165</v>
      </c>
      <c r="K675" s="24">
        <f t="shared" si="40"/>
        <v>-7.5507032142169086</v>
      </c>
      <c r="L675" s="25"/>
      <c r="M675" s="25"/>
      <c r="N675" s="27"/>
      <c r="Q675" s="23">
        <v>43165</v>
      </c>
      <c r="R675" s="24">
        <f t="shared" si="41"/>
        <v>-5.1639507493017769</v>
      </c>
      <c r="S675" s="25"/>
      <c r="T675" s="25"/>
      <c r="U675" s="27"/>
      <c r="X675" s="47">
        <v>43165</v>
      </c>
      <c r="Y675" s="48">
        <f t="shared" si="42"/>
        <v>3.301284675157536</v>
      </c>
      <c r="Z675" s="49"/>
      <c r="AA675" s="49"/>
      <c r="AB675" s="51"/>
      <c r="AE675" s="47">
        <v>43165</v>
      </c>
      <c r="AF675" s="48">
        <f t="shared" si="43"/>
        <v>2.3127805957195116</v>
      </c>
      <c r="AG675" s="49"/>
      <c r="AH675" s="49"/>
      <c r="AI675" s="51"/>
    </row>
    <row r="676" spans="1:35" x14ac:dyDescent="0.3">
      <c r="A676" s="20">
        <v>43160</v>
      </c>
      <c r="C676">
        <f>-(Historical_Simulation!B677-Historical_Simulation!B678)</f>
        <v>0.78000000000000114</v>
      </c>
      <c r="E676">
        <f>-(Historical_Simulation!C677-Historical_Simulation!C678)</f>
        <v>19</v>
      </c>
      <c r="G676">
        <f>-(Historical_Simulation!D677-Historical_Simulation!D678)</f>
        <v>2.3799999999999955</v>
      </c>
      <c r="J676" s="23">
        <v>43164</v>
      </c>
      <c r="K676" s="24">
        <f t="shared" si="40"/>
        <v>-12.67094507509761</v>
      </c>
      <c r="L676" s="25"/>
      <c r="M676" s="25"/>
      <c r="N676" s="27"/>
      <c r="Q676" s="23">
        <v>43164</v>
      </c>
      <c r="R676" s="24">
        <f t="shared" si="41"/>
        <v>-8.7334609571294646</v>
      </c>
      <c r="S676" s="25"/>
      <c r="T676" s="25"/>
      <c r="U676" s="27"/>
      <c r="X676" s="47">
        <v>43164</v>
      </c>
      <c r="Y676" s="48">
        <f t="shared" si="42"/>
        <v>-20.477614007096832</v>
      </c>
      <c r="Z676" s="49"/>
      <c r="AA676" s="49"/>
      <c r="AB676" s="51"/>
      <c r="AE676" s="47">
        <v>43164</v>
      </c>
      <c r="AF676" s="48">
        <f t="shared" si="43"/>
        <v>-14.321736671197407</v>
      </c>
      <c r="AG676" s="49"/>
      <c r="AH676" s="49"/>
      <c r="AI676" s="51"/>
    </row>
    <row r="677" spans="1:35" x14ac:dyDescent="0.3">
      <c r="A677" s="20">
        <v>43159</v>
      </c>
      <c r="C677">
        <f>-(Historical_Simulation!B678-Historical_Simulation!B679)</f>
        <v>6.7499999999995453E-2</v>
      </c>
      <c r="E677">
        <f>-(Historical_Simulation!C678-Historical_Simulation!C679)</f>
        <v>-0.47000000000002728</v>
      </c>
      <c r="G677">
        <f>-(Historical_Simulation!D678-Historical_Simulation!D679)</f>
        <v>3.1400000000000148</v>
      </c>
      <c r="J677" s="23">
        <v>43161</v>
      </c>
      <c r="K677" s="24">
        <f t="shared" si="40"/>
        <v>-3.8073409727651208</v>
      </c>
      <c r="L677" s="25"/>
      <c r="M677" s="25"/>
      <c r="N677" s="27"/>
      <c r="Q677" s="23">
        <v>43161</v>
      </c>
      <c r="R677" s="24">
        <f t="shared" si="41"/>
        <v>-2.7049472183108301</v>
      </c>
      <c r="S677" s="25"/>
      <c r="T677" s="25"/>
      <c r="U677" s="27"/>
      <c r="X677" s="47">
        <v>43161</v>
      </c>
      <c r="Y677" s="48">
        <f t="shared" si="42"/>
        <v>-2.4176565920549002</v>
      </c>
      <c r="Z677" s="49"/>
      <c r="AA677" s="49"/>
      <c r="AB677" s="51"/>
      <c r="AE677" s="47">
        <v>43161</v>
      </c>
      <c r="AF677" s="48">
        <f t="shared" si="43"/>
        <v>-1.7770380684705966</v>
      </c>
      <c r="AG677" s="49"/>
      <c r="AH677" s="49"/>
      <c r="AI677" s="51"/>
    </row>
    <row r="678" spans="1:35" x14ac:dyDescent="0.3">
      <c r="A678" s="20">
        <v>43158</v>
      </c>
      <c r="C678">
        <f>-(Historical_Simulation!B679-Historical_Simulation!B680)</f>
        <v>0.14500000000000313</v>
      </c>
      <c r="E678">
        <f>-(Historical_Simulation!C679-Historical_Simulation!C680)</f>
        <v>9.9700000000000273</v>
      </c>
      <c r="G678">
        <f>-(Historical_Simulation!D679-Historical_Simulation!D680)</f>
        <v>3.4699999999999989</v>
      </c>
      <c r="J678" s="23">
        <v>43160</v>
      </c>
      <c r="K678" s="24">
        <f t="shared" si="40"/>
        <v>10.608118895541507</v>
      </c>
      <c r="L678" s="25"/>
      <c r="M678" s="25"/>
      <c r="N678" s="27"/>
      <c r="Q678" s="23">
        <v>43160</v>
      </c>
      <c r="R678" s="24">
        <f t="shared" si="41"/>
        <v>7.5168354471140599</v>
      </c>
      <c r="S678" s="25"/>
      <c r="T678" s="25"/>
      <c r="U678" s="27"/>
      <c r="X678" s="47">
        <v>43160</v>
      </c>
      <c r="Y678" s="48">
        <f t="shared" si="42"/>
        <v>9.7449021120206165</v>
      </c>
      <c r="Z678" s="49"/>
      <c r="AA678" s="49"/>
      <c r="AB678" s="51"/>
      <c r="AE678" s="47">
        <v>43160</v>
      </c>
      <c r="AF678" s="48">
        <f t="shared" si="43"/>
        <v>7.0296977736501018</v>
      </c>
      <c r="AG678" s="49"/>
      <c r="AH678" s="49"/>
      <c r="AI678" s="51"/>
    </row>
    <row r="679" spans="1:35" x14ac:dyDescent="0.3">
      <c r="A679" s="20">
        <v>43157</v>
      </c>
      <c r="C679">
        <f>-(Historical_Simulation!B680-Historical_Simulation!B681)</f>
        <v>-0.86749999999999972</v>
      </c>
      <c r="E679">
        <f>-(Historical_Simulation!C680-Historical_Simulation!C681)</f>
        <v>-21.950000000000045</v>
      </c>
      <c r="G679">
        <f>-(Historical_Simulation!D680-Historical_Simulation!D681)</f>
        <v>-1.6400000000000148</v>
      </c>
      <c r="J679" s="23">
        <v>43159</v>
      </c>
      <c r="K679" s="24">
        <f t="shared" si="40"/>
        <v>-0.22243490155619458</v>
      </c>
      <c r="L679" s="25"/>
      <c r="M679" s="25"/>
      <c r="N679" s="27"/>
      <c r="Q679" s="23">
        <v>43159</v>
      </c>
      <c r="R679" s="24">
        <f t="shared" si="41"/>
        <v>-0.13124034318463465</v>
      </c>
      <c r="S679" s="25"/>
      <c r="T679" s="25"/>
      <c r="U679" s="27"/>
      <c r="X679" s="47">
        <v>43159</v>
      </c>
      <c r="Y679" s="48">
        <f t="shared" si="42"/>
        <v>17.282913586989753</v>
      </c>
      <c r="Z679" s="49"/>
      <c r="AA679" s="49"/>
      <c r="AB679" s="51"/>
      <c r="AE679" s="47">
        <v>43159</v>
      </c>
      <c r="AF679" s="48">
        <f t="shared" si="43"/>
        <v>12.068872755962575</v>
      </c>
      <c r="AG679" s="49"/>
      <c r="AH679" s="49"/>
      <c r="AI679" s="51"/>
    </row>
    <row r="680" spans="1:35" x14ac:dyDescent="0.3">
      <c r="A680" s="20">
        <v>43154</v>
      </c>
      <c r="C680">
        <f>-(Historical_Simulation!B681-Historical_Simulation!B682)</f>
        <v>-0.75</v>
      </c>
      <c r="E680">
        <f>-(Historical_Simulation!C681-Historical_Simulation!C682)</f>
        <v>-14.660000000000082</v>
      </c>
      <c r="G680">
        <f>-(Historical_Simulation!D681-Historical_Simulation!D682)</f>
        <v>-4.2999999999999829</v>
      </c>
      <c r="J680" s="23">
        <v>43158</v>
      </c>
      <c r="K680" s="24">
        <f t="shared" si="40"/>
        <v>5.4447402935617779</v>
      </c>
      <c r="L680" s="25"/>
      <c r="M680" s="25"/>
      <c r="N680" s="27"/>
      <c r="Q680" s="23">
        <v>43158</v>
      </c>
      <c r="R680" s="24">
        <f t="shared" si="41"/>
        <v>3.7777885986770503</v>
      </c>
      <c r="S680" s="25"/>
      <c r="T680" s="25"/>
      <c r="U680" s="27"/>
      <c r="X680" s="47">
        <v>43158</v>
      </c>
      <c r="Y680" s="48">
        <f t="shared" si="42"/>
        <v>18.775187201542888</v>
      </c>
      <c r="Z680" s="49"/>
      <c r="AA680" s="49"/>
      <c r="AB680" s="51"/>
      <c r="AE680" s="47">
        <v>43158</v>
      </c>
      <c r="AF680" s="48">
        <f t="shared" si="43"/>
        <v>13.13265318586665</v>
      </c>
      <c r="AG680" s="49"/>
      <c r="AH680" s="49"/>
      <c r="AI680" s="51"/>
    </row>
    <row r="681" spans="1:35" x14ac:dyDescent="0.3">
      <c r="A681" s="20">
        <v>43153</v>
      </c>
      <c r="C681">
        <f>-(Historical_Simulation!B682-Historical_Simulation!B683)</f>
        <v>-0.35750000000000171</v>
      </c>
      <c r="E681">
        <f>-(Historical_Simulation!C682-Historical_Simulation!C683)</f>
        <v>-2.4199999999998454</v>
      </c>
      <c r="G681">
        <f>-(Historical_Simulation!D682-Historical_Simulation!D683)</f>
        <v>-1.0800000000000125</v>
      </c>
      <c r="J681" s="23">
        <v>43157</v>
      </c>
      <c r="K681" s="24">
        <f t="shared" si="40"/>
        <v>-12.239690813131407</v>
      </c>
      <c r="L681" s="25"/>
      <c r="M681" s="25"/>
      <c r="N681" s="27"/>
      <c r="Q681" s="23">
        <v>43157</v>
      </c>
      <c r="R681" s="24">
        <f t="shared" si="41"/>
        <v>-8.662743321283342</v>
      </c>
      <c r="S681" s="25"/>
      <c r="T681" s="25"/>
      <c r="U681" s="27"/>
      <c r="X681" s="47">
        <v>43157</v>
      </c>
      <c r="Y681" s="48">
        <f t="shared" si="42"/>
        <v>-5.1958668009600535</v>
      </c>
      <c r="Z681" s="49"/>
      <c r="AA681" s="49"/>
      <c r="AB681" s="51"/>
      <c r="AE681" s="47">
        <v>43157</v>
      </c>
      <c r="AF681" s="48">
        <f t="shared" si="43"/>
        <v>-3.8849322063405092</v>
      </c>
      <c r="AG681" s="49"/>
      <c r="AH681" s="49"/>
      <c r="AI681" s="51"/>
    </row>
    <row r="682" spans="1:35" x14ac:dyDescent="0.3">
      <c r="A682" s="20">
        <v>43152</v>
      </c>
      <c r="C682">
        <f>-(Historical_Simulation!B683-Historical_Simulation!B684)</f>
        <v>0.19500000000000028</v>
      </c>
      <c r="E682">
        <f>-(Historical_Simulation!C683-Historical_Simulation!C684)</f>
        <v>-14.570000000000164</v>
      </c>
      <c r="G682">
        <f>-(Historical_Simulation!D683-Historical_Simulation!D684)</f>
        <v>-1.9000000000000057</v>
      </c>
      <c r="J682" s="23">
        <v>43154</v>
      </c>
      <c r="K682" s="24">
        <f t="shared" si="40"/>
        <v>-8.2532455453887561</v>
      </c>
      <c r="L682" s="25"/>
      <c r="M682" s="25"/>
      <c r="N682" s="27"/>
      <c r="Q682" s="23">
        <v>43154</v>
      </c>
      <c r="R682" s="24">
        <f t="shared" si="41"/>
        <v>-5.8932152068801926</v>
      </c>
      <c r="S682" s="25"/>
      <c r="T682" s="25"/>
      <c r="U682" s="27"/>
      <c r="X682" s="47">
        <v>43154</v>
      </c>
      <c r="Y682" s="48">
        <f t="shared" si="42"/>
        <v>-20.640876561045715</v>
      </c>
      <c r="Z682" s="49"/>
      <c r="AA682" s="49"/>
      <c r="AB682" s="51"/>
      <c r="AE682" s="47">
        <v>43154</v>
      </c>
      <c r="AF682" s="48">
        <f t="shared" si="43"/>
        <v>-14.616516935286146</v>
      </c>
      <c r="AG682" s="49"/>
      <c r="AH682" s="49"/>
      <c r="AI682" s="51"/>
    </row>
    <row r="683" spans="1:35" x14ac:dyDescent="0.3">
      <c r="A683" s="20">
        <v>43151</v>
      </c>
      <c r="C683">
        <f>-(Historical_Simulation!B684-Historical_Simulation!B685)</f>
        <v>0.14500000000000313</v>
      </c>
      <c r="E683">
        <f>-(Historical_Simulation!C684-Historical_Simulation!C685)</f>
        <v>-19.659999999999854</v>
      </c>
      <c r="G683">
        <f>-(Historical_Simulation!D684-Historical_Simulation!D685)</f>
        <v>1.3500000000000227</v>
      </c>
      <c r="J683" s="23">
        <v>43153</v>
      </c>
      <c r="K683" s="24">
        <f t="shared" si="40"/>
        <v>-1.4700409013201345</v>
      </c>
      <c r="L683" s="25"/>
      <c r="M683" s="25"/>
      <c r="N683" s="27"/>
      <c r="Q683" s="23">
        <v>43153</v>
      </c>
      <c r="R683" s="24">
        <f t="shared" si="41"/>
        <v>-1.1201082936153528</v>
      </c>
      <c r="S683" s="25"/>
      <c r="T683" s="25"/>
      <c r="U683" s="27"/>
      <c r="X683" s="47">
        <v>43153</v>
      </c>
      <c r="Y683" s="48">
        <f t="shared" si="42"/>
        <v>-4.4057136099593848</v>
      </c>
      <c r="Z683" s="49"/>
      <c r="AA683" s="49"/>
      <c r="AB683" s="51"/>
      <c r="AE683" s="47">
        <v>43153</v>
      </c>
      <c r="AF683" s="48">
        <f t="shared" si="43"/>
        <v>-3.1796291509139274</v>
      </c>
      <c r="AG683" s="49"/>
      <c r="AH683" s="49"/>
      <c r="AI683" s="51"/>
    </row>
    <row r="684" spans="1:35" x14ac:dyDescent="0.3">
      <c r="A684" s="20">
        <v>43150</v>
      </c>
      <c r="C684">
        <f>-(Historical_Simulation!B685-Historical_Simulation!B686)</f>
        <v>0</v>
      </c>
      <c r="E684">
        <f>-(Historical_Simulation!C685-Historical_Simulation!C686)</f>
        <v>0</v>
      </c>
      <c r="G684">
        <f>-(Historical_Simulation!D685-Historical_Simulation!D686)</f>
        <v>0</v>
      </c>
      <c r="J684" s="23">
        <v>43152</v>
      </c>
      <c r="K684" s="24">
        <f t="shared" si="40"/>
        <v>-7.7694443190269995</v>
      </c>
      <c r="L684" s="25"/>
      <c r="M684" s="25"/>
      <c r="N684" s="27"/>
      <c r="Q684" s="23">
        <v>43152</v>
      </c>
      <c r="R684" s="24">
        <f t="shared" si="41"/>
        <v>-5.2643510085971563</v>
      </c>
      <c r="S684" s="25"/>
      <c r="T684" s="25"/>
      <c r="U684" s="27"/>
      <c r="X684" s="47">
        <v>43152</v>
      </c>
      <c r="Y684" s="48">
        <f t="shared" si="42"/>
        <v>-11.543418702927069</v>
      </c>
      <c r="Z684" s="49"/>
      <c r="AA684" s="49"/>
      <c r="AB684" s="51"/>
      <c r="AE684" s="47">
        <v>43152</v>
      </c>
      <c r="AF684" s="48">
        <f t="shared" si="43"/>
        <v>-7.9881980223731537</v>
      </c>
      <c r="AG684" s="49"/>
      <c r="AH684" s="49"/>
      <c r="AI684" s="51"/>
    </row>
    <row r="685" spans="1:35" x14ac:dyDescent="0.3">
      <c r="A685" s="20">
        <v>43147</v>
      </c>
      <c r="C685">
        <f>-(Historical_Simulation!B686-Historical_Simulation!B687)</f>
        <v>0.14000000000000057</v>
      </c>
      <c r="E685">
        <f>-(Historical_Simulation!C686-Historical_Simulation!C687)</f>
        <v>13.069999999999936</v>
      </c>
      <c r="G685">
        <f>-(Historical_Simulation!D686-Historical_Simulation!D687)</f>
        <v>2.5999999999999943</v>
      </c>
      <c r="J685" s="23">
        <v>43151</v>
      </c>
      <c r="K685" s="24">
        <f t="shared" si="40"/>
        <v>-10.538089721525688</v>
      </c>
      <c r="L685" s="25"/>
      <c r="M685" s="25"/>
      <c r="N685" s="27"/>
      <c r="Q685" s="23">
        <v>43151</v>
      </c>
      <c r="R685" s="24">
        <f t="shared" si="41"/>
        <v>-7.1778883660863304</v>
      </c>
      <c r="S685" s="25"/>
      <c r="T685" s="25"/>
      <c r="U685" s="27"/>
      <c r="X685" s="47">
        <v>43151</v>
      </c>
      <c r="Y685" s="48">
        <f t="shared" si="42"/>
        <v>6.8966919031156628</v>
      </c>
      <c r="Z685" s="49"/>
      <c r="AA685" s="49"/>
      <c r="AB685" s="51"/>
      <c r="AE685" s="47">
        <v>43151</v>
      </c>
      <c r="AF685" s="48">
        <f t="shared" si="43"/>
        <v>4.8518036357803291</v>
      </c>
      <c r="AG685" s="49"/>
      <c r="AH685" s="49"/>
      <c r="AI685" s="51"/>
    </row>
    <row r="686" spans="1:35" x14ac:dyDescent="0.3">
      <c r="A686" s="20">
        <v>43146</v>
      </c>
      <c r="C686">
        <f>-(Historical_Simulation!B687-Historical_Simulation!B688)</f>
        <v>-1.4050000000000011</v>
      </c>
      <c r="E686">
        <f>-(Historical_Simulation!C687-Historical_Simulation!C688)</f>
        <v>-10.710000000000036</v>
      </c>
      <c r="G686">
        <f>-(Historical_Simulation!D687-Historical_Simulation!D688)</f>
        <v>-0.43999999999999773</v>
      </c>
      <c r="J686" s="23">
        <v>43150</v>
      </c>
      <c r="K686" s="24">
        <f t="shared" si="40"/>
        <v>0</v>
      </c>
      <c r="L686" s="25"/>
      <c r="M686" s="25"/>
      <c r="N686" s="27"/>
      <c r="Q686" s="23">
        <v>43150</v>
      </c>
      <c r="R686" s="24">
        <f t="shared" si="41"/>
        <v>0</v>
      </c>
      <c r="S686" s="25"/>
      <c r="T686" s="25"/>
      <c r="U686" s="27"/>
      <c r="X686" s="47">
        <v>43150</v>
      </c>
      <c r="Y686" s="48">
        <f t="shared" si="42"/>
        <v>0</v>
      </c>
      <c r="Z686" s="49"/>
      <c r="AA686" s="49"/>
      <c r="AB686" s="51"/>
      <c r="AE686" s="47">
        <v>43150</v>
      </c>
      <c r="AF686" s="48">
        <f t="shared" si="43"/>
        <v>0</v>
      </c>
      <c r="AG686" s="49"/>
      <c r="AH686" s="49"/>
      <c r="AI686" s="51"/>
    </row>
    <row r="687" spans="1:35" x14ac:dyDescent="0.3">
      <c r="A687" s="20">
        <v>43145</v>
      </c>
      <c r="C687">
        <f>-(Historical_Simulation!B688-Historical_Simulation!B689)</f>
        <v>-0.75750000000000028</v>
      </c>
      <c r="E687">
        <f>-(Historical_Simulation!C688-Historical_Simulation!C689)</f>
        <v>-36.539999999999964</v>
      </c>
      <c r="G687">
        <f>-(Historical_Simulation!D688-Historical_Simulation!D689)</f>
        <v>-6.3700000000000045</v>
      </c>
      <c r="J687" s="23">
        <v>43147</v>
      </c>
      <c r="K687" s="24">
        <f t="shared" si="40"/>
        <v>7.1146200504583446</v>
      </c>
      <c r="L687" s="25"/>
      <c r="M687" s="25"/>
      <c r="N687" s="27"/>
      <c r="Q687" s="23">
        <v>43147</v>
      </c>
      <c r="R687" s="24">
        <f t="shared" si="41"/>
        <v>4.9208607207016666</v>
      </c>
      <c r="S687" s="25"/>
      <c r="T687" s="25"/>
      <c r="U687" s="27"/>
      <c r="X687" s="47">
        <v>43147</v>
      </c>
      <c r="Y687" s="48">
        <f t="shared" si="42"/>
        <v>13.923536997231711</v>
      </c>
      <c r="Z687" s="49"/>
      <c r="AA687" s="49"/>
      <c r="AB687" s="51"/>
      <c r="AE687" s="47">
        <v>43147</v>
      </c>
      <c r="AF687" s="48">
        <f t="shared" si="43"/>
        <v>9.7489103269870405</v>
      </c>
      <c r="AG687" s="49"/>
      <c r="AH687" s="49"/>
      <c r="AI687" s="51"/>
    </row>
    <row r="688" spans="1:35" x14ac:dyDescent="0.3">
      <c r="A688" s="20">
        <v>43144</v>
      </c>
      <c r="C688">
        <f>-(Historical_Simulation!B689-Historical_Simulation!B690)</f>
        <v>-0.40749999999999886</v>
      </c>
      <c r="E688">
        <f>-(Historical_Simulation!C689-Historical_Simulation!C690)</f>
        <v>-28.279999999999973</v>
      </c>
      <c r="G688">
        <f>-(Historical_Simulation!D689-Historical_Simulation!D690)</f>
        <v>3.2599999999999909</v>
      </c>
      <c r="J688" s="23">
        <v>43146</v>
      </c>
      <c r="K688" s="24">
        <f t="shared" si="40"/>
        <v>-6.4242451329865027</v>
      </c>
      <c r="L688" s="25"/>
      <c r="M688" s="25"/>
      <c r="N688" s="27"/>
      <c r="Q688" s="23">
        <v>43146</v>
      </c>
      <c r="R688" s="24">
        <f t="shared" si="41"/>
        <v>-4.8455188713170463</v>
      </c>
      <c r="S688" s="25"/>
      <c r="T688" s="25"/>
      <c r="U688" s="27"/>
      <c r="X688" s="47">
        <v>43146</v>
      </c>
      <c r="Y688" s="48">
        <f t="shared" si="42"/>
        <v>4.0019565863124704</v>
      </c>
      <c r="Z688" s="49"/>
      <c r="AA688" s="49"/>
      <c r="AB688" s="51"/>
      <c r="AE688" s="47">
        <v>43146</v>
      </c>
      <c r="AF688" s="48">
        <f t="shared" si="43"/>
        <v>2.3643489697327427</v>
      </c>
      <c r="AG688" s="49"/>
      <c r="AH688" s="49"/>
      <c r="AI688" s="51"/>
    </row>
    <row r="689" spans="1:35" x14ac:dyDescent="0.3">
      <c r="A689" s="20">
        <v>43143</v>
      </c>
      <c r="C689">
        <f>-(Historical_Simulation!B690-Historical_Simulation!B691)</f>
        <v>-1.5750000000000028</v>
      </c>
      <c r="E689">
        <f>-(Historical_Simulation!C690-Historical_Simulation!C691)</f>
        <v>-46.630000000000109</v>
      </c>
      <c r="G689">
        <f>-(Historical_Simulation!D690-Historical_Simulation!D691)</f>
        <v>-0.29999999999998295</v>
      </c>
      <c r="J689" s="23">
        <v>43145</v>
      </c>
      <c r="K689" s="24">
        <f t="shared" si="40"/>
        <v>-20.059073237086366</v>
      </c>
      <c r="L689" s="25"/>
      <c r="M689" s="25"/>
      <c r="N689" s="27"/>
      <c r="Q689" s="23">
        <v>43145</v>
      </c>
      <c r="R689" s="24">
        <f t="shared" si="41"/>
        <v>-13.988060613960407</v>
      </c>
      <c r="S689" s="25"/>
      <c r="T689" s="25"/>
      <c r="U689" s="27"/>
      <c r="X689" s="47">
        <v>43145</v>
      </c>
      <c r="Y689" s="48">
        <f t="shared" si="42"/>
        <v>-32.204695689822451</v>
      </c>
      <c r="Z689" s="49"/>
      <c r="AA689" s="49"/>
      <c r="AB689" s="51"/>
      <c r="AE689" s="47">
        <v>43145</v>
      </c>
      <c r="AF689" s="48">
        <f t="shared" si="43"/>
        <v>-22.680267971632091</v>
      </c>
      <c r="AG689" s="49"/>
      <c r="AH689" s="49"/>
      <c r="AI689" s="51"/>
    </row>
    <row r="690" spans="1:35" x14ac:dyDescent="0.3">
      <c r="A690" s="20">
        <v>43140</v>
      </c>
      <c r="C690">
        <f>-(Historical_Simulation!B691-Historical_Simulation!B692)</f>
        <v>-0.31499999999999773</v>
      </c>
      <c r="E690">
        <f>-(Historical_Simulation!C691-Historical_Simulation!C692)</f>
        <v>10.900000000000091</v>
      </c>
      <c r="G690">
        <f>-(Historical_Simulation!D691-Historical_Simulation!D692)</f>
        <v>-4.5300000000000011</v>
      </c>
      <c r="J690" s="23">
        <v>43144</v>
      </c>
      <c r="K690" s="24">
        <f t="shared" si="40"/>
        <v>-15.442310313720107</v>
      </c>
      <c r="L690" s="25"/>
      <c r="M690" s="25"/>
      <c r="N690" s="27"/>
      <c r="Q690" s="23">
        <v>43144</v>
      </c>
      <c r="R690" s="24">
        <f t="shared" si="41"/>
        <v>-10.713342261234162</v>
      </c>
      <c r="S690" s="25"/>
      <c r="T690" s="25"/>
      <c r="U690" s="27"/>
      <c r="X690" s="47">
        <v>43144</v>
      </c>
      <c r="Y690" s="48">
        <f t="shared" si="42"/>
        <v>20.141736559897272</v>
      </c>
      <c r="Z690" s="49"/>
      <c r="AA690" s="49"/>
      <c r="AB690" s="51"/>
      <c r="AE690" s="47">
        <v>43144</v>
      </c>
      <c r="AF690" s="48">
        <f t="shared" si="43"/>
        <v>13.917979115538603</v>
      </c>
      <c r="AG690" s="49"/>
      <c r="AH690" s="49"/>
      <c r="AI690" s="51"/>
    </row>
    <row r="691" spans="1:35" x14ac:dyDescent="0.3">
      <c r="A691" s="20">
        <v>43139</v>
      </c>
      <c r="C691">
        <f>-(Historical_Simulation!B692-Historical_Simulation!B693)</f>
        <v>1.0974999999999966</v>
      </c>
      <c r="E691">
        <f>-(Historical_Simulation!C692-Historical_Simulation!C693)</f>
        <v>66.279999999999973</v>
      </c>
      <c r="G691">
        <f>-(Historical_Simulation!D692-Historical_Simulation!D693)</f>
        <v>8.5999999999999943</v>
      </c>
      <c r="J691" s="23">
        <v>43143</v>
      </c>
      <c r="K691" s="24">
        <f t="shared" si="40"/>
        <v>-25.878287422536971</v>
      </c>
      <c r="L691" s="25"/>
      <c r="M691" s="25"/>
      <c r="N691" s="27"/>
      <c r="Q691" s="23">
        <v>43143</v>
      </c>
      <c r="R691" s="24">
        <f t="shared" si="41"/>
        <v>-18.234062627317495</v>
      </c>
      <c r="S691" s="25"/>
      <c r="T691" s="25"/>
      <c r="U691" s="27"/>
      <c r="X691" s="47">
        <v>43143</v>
      </c>
      <c r="Y691" s="48">
        <f t="shared" si="42"/>
        <v>5.5689063705165616</v>
      </c>
      <c r="Z691" s="49"/>
      <c r="AA691" s="49"/>
      <c r="AB691" s="51"/>
      <c r="AE691" s="47">
        <v>43143</v>
      </c>
      <c r="AF691" s="48">
        <f t="shared" si="43"/>
        <v>3.4052279133775172</v>
      </c>
      <c r="AG691" s="49"/>
      <c r="AH691" s="49"/>
      <c r="AI691" s="51"/>
    </row>
    <row r="692" spans="1:35" x14ac:dyDescent="0.3">
      <c r="A692" s="20">
        <v>43138</v>
      </c>
      <c r="C692">
        <f>-(Historical_Simulation!B693-Historical_Simulation!B694)</f>
        <v>0.87250000000000227</v>
      </c>
      <c r="E692">
        <f>-(Historical_Simulation!C693-Historical_Simulation!C694)</f>
        <v>26.059999999999945</v>
      </c>
      <c r="G692">
        <f>-(Historical_Simulation!D693-Historical_Simulation!D694)</f>
        <v>5.1299999999999955</v>
      </c>
      <c r="J692" s="23">
        <v>43140</v>
      </c>
      <c r="K692" s="24">
        <f t="shared" si="40"/>
        <v>5.7345254343303456</v>
      </c>
      <c r="L692" s="25"/>
      <c r="M692" s="25"/>
      <c r="N692" s="27"/>
      <c r="Q692" s="23">
        <v>43140</v>
      </c>
      <c r="R692" s="24">
        <f t="shared" si="41"/>
        <v>3.8317403698893973</v>
      </c>
      <c r="S692" s="25"/>
      <c r="T692" s="25"/>
      <c r="U692" s="27"/>
      <c r="X692" s="47">
        <v>43140</v>
      </c>
      <c r="Y692" s="48">
        <f t="shared" si="42"/>
        <v>-23.931914001354407</v>
      </c>
      <c r="Z692" s="49"/>
      <c r="AA692" s="49"/>
      <c r="AB692" s="51"/>
      <c r="AE692" s="47">
        <v>43140</v>
      </c>
      <c r="AF692" s="48">
        <f t="shared" si="43"/>
        <v>-16.779047572459554</v>
      </c>
      <c r="AG692" s="49"/>
      <c r="AH692" s="49"/>
      <c r="AI692" s="51"/>
    </row>
    <row r="693" spans="1:35" x14ac:dyDescent="0.3">
      <c r="A693" s="20">
        <v>43137</v>
      </c>
      <c r="C693">
        <f>-(Historical_Simulation!B694-Historical_Simulation!B695)</f>
        <v>-1.634999999999998</v>
      </c>
      <c r="E693">
        <f>-(Historical_Simulation!C694-Historical_Simulation!C695)</f>
        <v>-52.839999999999918</v>
      </c>
      <c r="G693">
        <f>-(Historical_Simulation!D694-Historical_Simulation!D695)</f>
        <v>-4.0500000000000114</v>
      </c>
      <c r="J693" s="23">
        <v>43139</v>
      </c>
      <c r="K693" s="24">
        <f t="shared" si="40"/>
        <v>36.257838084996372</v>
      </c>
      <c r="L693" s="25"/>
      <c r="M693" s="25"/>
      <c r="N693" s="27"/>
      <c r="Q693" s="23">
        <v>43139</v>
      </c>
      <c r="R693" s="24">
        <f t="shared" si="41"/>
        <v>25.198695199314596</v>
      </c>
      <c r="S693" s="25"/>
      <c r="T693" s="25"/>
      <c r="U693" s="27"/>
      <c r="X693" s="47">
        <v>43139</v>
      </c>
      <c r="Y693" s="48">
        <f t="shared" si="42"/>
        <v>43.134486309646796</v>
      </c>
      <c r="Z693" s="49"/>
      <c r="AA693" s="49"/>
      <c r="AB693" s="51"/>
      <c r="AE693" s="47">
        <v>43139</v>
      </c>
      <c r="AF693" s="48">
        <f t="shared" si="43"/>
        <v>30.402723466756267</v>
      </c>
      <c r="AG693" s="49"/>
      <c r="AH693" s="49"/>
      <c r="AI693" s="51"/>
    </row>
    <row r="694" spans="1:35" x14ac:dyDescent="0.3">
      <c r="A694" s="20">
        <v>43136</v>
      </c>
      <c r="C694">
        <f>-(Historical_Simulation!B695-Historical_Simulation!B696)</f>
        <v>1.0024999999999977</v>
      </c>
      <c r="E694">
        <f>-(Historical_Simulation!C695-Historical_Simulation!C696)</f>
        <v>39.950000000000045</v>
      </c>
      <c r="G694">
        <f>-(Historical_Simulation!D695-Historical_Simulation!D696)</f>
        <v>9.0200000000000102</v>
      </c>
      <c r="J694" s="23">
        <v>43138</v>
      </c>
      <c r="K694" s="24">
        <f t="shared" si="40"/>
        <v>14.458984340365047</v>
      </c>
      <c r="L694" s="25"/>
      <c r="M694" s="25"/>
      <c r="N694" s="27"/>
      <c r="Q694" s="23">
        <v>43138</v>
      </c>
      <c r="R694" s="24">
        <f t="shared" si="41"/>
        <v>10.185564919000276</v>
      </c>
      <c r="S694" s="25"/>
      <c r="T694" s="25"/>
      <c r="U694" s="27"/>
      <c r="X694" s="47">
        <v>43138</v>
      </c>
      <c r="Y694" s="48">
        <f t="shared" si="42"/>
        <v>24.727544213704903</v>
      </c>
      <c r="Z694" s="49"/>
      <c r="AA694" s="49"/>
      <c r="AB694" s="51"/>
      <c r="AE694" s="47">
        <v>43138</v>
      </c>
      <c r="AF694" s="48">
        <f t="shared" si="43"/>
        <v>17.502555169572105</v>
      </c>
      <c r="AG694" s="49"/>
      <c r="AH694" s="49"/>
      <c r="AI694" s="51"/>
    </row>
    <row r="695" spans="1:35" x14ac:dyDescent="0.3">
      <c r="A695" s="20">
        <v>43133</v>
      </c>
      <c r="C695">
        <f>-(Historical_Simulation!B696-Historical_Simulation!B697)</f>
        <v>1.8200000000000003</v>
      </c>
      <c r="E695">
        <f>-(Historical_Simulation!C696-Historical_Simulation!C697)</f>
        <v>-39.950000000000045</v>
      </c>
      <c r="G695">
        <f>-(Historical_Simulation!D696-Historical_Simulation!D697)</f>
        <v>2.8100000000000023</v>
      </c>
      <c r="J695" s="23">
        <v>43137</v>
      </c>
      <c r="K695" s="24">
        <f t="shared" si="40"/>
        <v>-29.255682110109877</v>
      </c>
      <c r="L695" s="25"/>
      <c r="M695" s="25"/>
      <c r="N695" s="27"/>
      <c r="Q695" s="23">
        <v>43137</v>
      </c>
      <c r="R695" s="24">
        <f t="shared" si="41"/>
        <v>-20.568021902825183</v>
      </c>
      <c r="S695" s="25"/>
      <c r="T695" s="25"/>
      <c r="U695" s="27"/>
      <c r="X695" s="47">
        <v>43137</v>
      </c>
      <c r="Y695" s="48">
        <f t="shared" si="42"/>
        <v>-15.166399125331239</v>
      </c>
      <c r="Z695" s="49"/>
      <c r="AA695" s="49"/>
      <c r="AB695" s="51"/>
      <c r="AE695" s="47">
        <v>43137</v>
      </c>
      <c r="AF695" s="48">
        <f t="shared" si="43"/>
        <v>-11.068137577103204</v>
      </c>
      <c r="AG695" s="49"/>
      <c r="AH695" s="49"/>
      <c r="AI695" s="51"/>
    </row>
    <row r="696" spans="1:35" x14ac:dyDescent="0.3">
      <c r="A696" s="20">
        <v>43132</v>
      </c>
      <c r="C696">
        <f>-(Historical_Simulation!B697-Historical_Simulation!B698)</f>
        <v>-8.7499999999998579E-2</v>
      </c>
      <c r="E696">
        <f>-(Historical_Simulation!C697-Historical_Simulation!C698)</f>
        <v>60.8900000000001</v>
      </c>
      <c r="G696">
        <f>-(Historical_Simulation!D697-Historical_Simulation!D698)</f>
        <v>-6.2000000000000171</v>
      </c>
      <c r="J696" s="23">
        <v>43136</v>
      </c>
      <c r="K696" s="24">
        <f t="shared" si="40"/>
        <v>22.011317820203249</v>
      </c>
      <c r="L696" s="25"/>
      <c r="M696" s="25"/>
      <c r="N696" s="27"/>
      <c r="Q696" s="23">
        <v>43136</v>
      </c>
      <c r="R696" s="24">
        <f t="shared" si="41"/>
        <v>15.403317704526625</v>
      </c>
      <c r="S696" s="25"/>
      <c r="T696" s="25"/>
      <c r="U696" s="27"/>
      <c r="X696" s="47">
        <v>43136</v>
      </c>
      <c r="Y696" s="48">
        <f t="shared" si="42"/>
        <v>45.925064176953526</v>
      </c>
      <c r="Z696" s="49"/>
      <c r="AA696" s="49"/>
      <c r="AB696" s="51"/>
      <c r="AE696" s="47">
        <v>43136</v>
      </c>
      <c r="AF696" s="48">
        <f t="shared" si="43"/>
        <v>32.319344937649959</v>
      </c>
      <c r="AG696" s="49"/>
      <c r="AH696" s="49"/>
      <c r="AI696" s="51"/>
    </row>
    <row r="697" spans="1:35" x14ac:dyDescent="0.3">
      <c r="A697" s="20">
        <v>43131</v>
      </c>
      <c r="C697">
        <f>-(Historical_Simulation!B698-Historical_Simulation!B699)</f>
        <v>-0.11500000000000199</v>
      </c>
      <c r="E697">
        <f>-(Historical_Simulation!C698-Historical_Simulation!C699)</f>
        <v>-13.070000000000164</v>
      </c>
      <c r="G697">
        <f>-(Historical_Simulation!D698-Historical_Simulation!D699)</f>
        <v>0.23000000000001819</v>
      </c>
      <c r="J697" s="23">
        <v>43133</v>
      </c>
      <c r="K697" s="24">
        <f t="shared" si="40"/>
        <v>-20.711313186979645</v>
      </c>
      <c r="L697" s="25"/>
      <c r="M697" s="25"/>
      <c r="N697" s="27"/>
      <c r="Q697" s="23">
        <v>43133</v>
      </c>
      <c r="R697" s="24">
        <f t="shared" si="41"/>
        <v>-13.624435599668198</v>
      </c>
      <c r="S697" s="25"/>
      <c r="T697" s="25"/>
      <c r="U697" s="27"/>
      <c r="X697" s="47">
        <v>43133</v>
      </c>
      <c r="Y697" s="48">
        <f t="shared" si="42"/>
        <v>7.3670331818127881</v>
      </c>
      <c r="Z697" s="49"/>
      <c r="AA697" s="49"/>
      <c r="AB697" s="51"/>
      <c r="AE697" s="47">
        <v>43133</v>
      </c>
      <c r="AF697" s="48">
        <f t="shared" si="43"/>
        <v>5.6870004974460215</v>
      </c>
      <c r="AG697" s="49"/>
      <c r="AH697" s="49"/>
      <c r="AI697" s="51"/>
    </row>
    <row r="698" spans="1:35" x14ac:dyDescent="0.3">
      <c r="A698" s="20">
        <v>43130</v>
      </c>
      <c r="C698">
        <f>-(Historical_Simulation!B699-Historical_Simulation!B700)</f>
        <v>0.24750000000000227</v>
      </c>
      <c r="E698">
        <f>-(Historical_Simulation!C699-Historical_Simulation!C700)</f>
        <v>-20.139999999999873</v>
      </c>
      <c r="G698">
        <f>-(Historical_Simulation!D699-Historical_Simulation!D700)</f>
        <v>-1.1400000000000148</v>
      </c>
      <c r="J698" s="23">
        <v>43132</v>
      </c>
      <c r="K698" s="24">
        <f t="shared" si="40"/>
        <v>32.804603180729046</v>
      </c>
      <c r="L698" s="25"/>
      <c r="M698" s="25"/>
      <c r="N698" s="27"/>
      <c r="Q698" s="23">
        <v>43132</v>
      </c>
      <c r="R698" s="24">
        <f t="shared" si="41"/>
        <v>22.458898654028445</v>
      </c>
      <c r="S698" s="25"/>
      <c r="T698" s="25"/>
      <c r="U698" s="27"/>
      <c r="X698" s="47">
        <v>43132</v>
      </c>
      <c r="Y698" s="48">
        <f t="shared" si="42"/>
        <v>-34.33622759982898</v>
      </c>
      <c r="Z698" s="49"/>
      <c r="AA698" s="49"/>
      <c r="AB698" s="51"/>
      <c r="AE698" s="47">
        <v>43132</v>
      </c>
      <c r="AF698" s="48">
        <f t="shared" si="43"/>
        <v>-23.963298525897809</v>
      </c>
      <c r="AG698" s="49"/>
      <c r="AH698" s="49"/>
      <c r="AI698" s="51"/>
    </row>
    <row r="699" spans="1:35" x14ac:dyDescent="0.3">
      <c r="A699" s="20">
        <v>43129</v>
      </c>
      <c r="C699">
        <f>-(Historical_Simulation!B700-Historical_Simulation!B701)</f>
        <v>0.88749999999999574</v>
      </c>
      <c r="E699">
        <f>-(Historical_Simulation!C700-Historical_Simulation!C701)</f>
        <v>-15.630000000000109</v>
      </c>
      <c r="G699">
        <f>-(Historical_Simulation!D700-Historical_Simulation!D701)</f>
        <v>4.0200000000000102</v>
      </c>
      <c r="J699" s="23">
        <v>43131</v>
      </c>
      <c r="K699" s="24">
        <f t="shared" si="40"/>
        <v>-7.1031053947168958</v>
      </c>
      <c r="L699" s="25"/>
      <c r="M699" s="25"/>
      <c r="N699" s="27"/>
      <c r="Q699" s="23">
        <v>43131</v>
      </c>
      <c r="R699" s="24">
        <f t="shared" si="41"/>
        <v>-4.9051044575940601</v>
      </c>
      <c r="S699" s="25"/>
      <c r="T699" s="25"/>
      <c r="U699" s="27"/>
      <c r="X699" s="47">
        <v>43131</v>
      </c>
      <c r="Y699" s="48">
        <f t="shared" si="42"/>
        <v>1.8180570179045632</v>
      </c>
      <c r="Z699" s="49"/>
      <c r="AA699" s="49"/>
      <c r="AB699" s="51"/>
      <c r="AE699" s="47">
        <v>43131</v>
      </c>
      <c r="AF699" s="48">
        <f t="shared" si="43"/>
        <v>1.2325910824433848</v>
      </c>
      <c r="AG699" s="49"/>
      <c r="AH699" s="49"/>
      <c r="AI699" s="51"/>
    </row>
    <row r="700" spans="1:35" x14ac:dyDescent="0.3">
      <c r="A700" s="20">
        <v>43126</v>
      </c>
      <c r="C700">
        <f>-(Historical_Simulation!B701-Historical_Simulation!B702)</f>
        <v>-9.9999999999994316E-2</v>
      </c>
      <c r="E700">
        <f>-(Historical_Simulation!C701-Historical_Simulation!C702)</f>
        <v>-24.099999999999909</v>
      </c>
      <c r="G700">
        <f>-(Historical_Simulation!D701-Historical_Simulation!D702)</f>
        <v>-2.5200000000000102</v>
      </c>
      <c r="J700" s="23">
        <v>43130</v>
      </c>
      <c r="K700" s="24">
        <f t="shared" si="40"/>
        <v>-10.749798242747046</v>
      </c>
      <c r="L700" s="25"/>
      <c r="M700" s="25"/>
      <c r="N700" s="27"/>
      <c r="Q700" s="23">
        <v>43130</v>
      </c>
      <c r="R700" s="24">
        <f t="shared" si="41"/>
        <v>-7.2907674356771137</v>
      </c>
      <c r="S700" s="25"/>
      <c r="T700" s="25"/>
      <c r="U700" s="27"/>
      <c r="X700" s="47">
        <v>43130</v>
      </c>
      <c r="Y700" s="48">
        <f t="shared" si="42"/>
        <v>-7.5267510502679977</v>
      </c>
      <c r="Z700" s="49"/>
      <c r="AA700" s="49"/>
      <c r="AB700" s="51"/>
      <c r="AE700" s="47">
        <v>43130</v>
      </c>
      <c r="AF700" s="48">
        <f t="shared" si="43"/>
        <v>-5.1721597880872814</v>
      </c>
      <c r="AG700" s="49"/>
      <c r="AH700" s="49"/>
      <c r="AI700" s="51"/>
    </row>
    <row r="701" spans="1:35" x14ac:dyDescent="0.3">
      <c r="A701" s="20">
        <v>43125</v>
      </c>
      <c r="C701">
        <f>-(Historical_Simulation!B702-Historical_Simulation!B703)</f>
        <v>0.77749999999999631</v>
      </c>
      <c r="E701">
        <f>-(Historical_Simulation!C702-Historical_Simulation!C703)</f>
        <v>-20.440000000000055</v>
      </c>
      <c r="G701">
        <f>-(Historical_Simulation!D702-Historical_Simulation!D703)</f>
        <v>-0.9299999999999784</v>
      </c>
      <c r="J701" s="23">
        <v>43129</v>
      </c>
      <c r="K701" s="24">
        <f t="shared" si="40"/>
        <v>-8.0222669515426954</v>
      </c>
      <c r="L701" s="25"/>
      <c r="M701" s="25"/>
      <c r="N701" s="27"/>
      <c r="Q701" s="23">
        <v>43129</v>
      </c>
      <c r="R701" s="24">
        <f t="shared" si="41"/>
        <v>-5.2198369647479295</v>
      </c>
      <c r="S701" s="25"/>
      <c r="T701" s="25"/>
      <c r="U701" s="27"/>
      <c r="X701" s="47">
        <v>43129</v>
      </c>
      <c r="Y701" s="48">
        <f t="shared" si="42"/>
        <v>18.439097416190499</v>
      </c>
      <c r="Z701" s="49"/>
      <c r="AA701" s="49"/>
      <c r="AB701" s="51"/>
      <c r="AE701" s="47">
        <v>43129</v>
      </c>
      <c r="AF701" s="48">
        <f t="shared" si="43"/>
        <v>13.123236422474436</v>
      </c>
      <c r="AG701" s="49"/>
      <c r="AH701" s="49"/>
      <c r="AI701" s="51"/>
    </row>
    <row r="702" spans="1:35" x14ac:dyDescent="0.3">
      <c r="A702" s="20">
        <v>43124</v>
      </c>
      <c r="C702">
        <f>-(Historical_Simulation!B703-Historical_Simulation!B704)</f>
        <v>0.70499999999999829</v>
      </c>
      <c r="E702">
        <f>-(Historical_Simulation!C703-Historical_Simulation!C704)</f>
        <v>5.0299999999999727</v>
      </c>
      <c r="G702">
        <f>-(Historical_Simulation!D703-Historical_Simulation!D704)</f>
        <v>2.7999999999999829</v>
      </c>
      <c r="J702" s="23">
        <v>43126</v>
      </c>
      <c r="K702" s="24">
        <f t="shared" si="40"/>
        <v>-13.045930488089747</v>
      </c>
      <c r="L702" s="25"/>
      <c r="M702" s="25"/>
      <c r="N702" s="27"/>
      <c r="Q702" s="23">
        <v>43126</v>
      </c>
      <c r="R702" s="24">
        <f t="shared" si="41"/>
        <v>-8.9739874166156302</v>
      </c>
      <c r="S702" s="25"/>
      <c r="T702" s="25"/>
      <c r="U702" s="27"/>
      <c r="X702" s="47">
        <v>43126</v>
      </c>
      <c r="Y702" s="48">
        <f t="shared" si="42"/>
        <v>-13.659414444431313</v>
      </c>
      <c r="Z702" s="49"/>
      <c r="AA702" s="49"/>
      <c r="AB702" s="51"/>
      <c r="AE702" s="47">
        <v>43126</v>
      </c>
      <c r="AF702" s="48">
        <f t="shared" si="43"/>
        <v>-9.5526678826458689</v>
      </c>
      <c r="AG702" s="49"/>
      <c r="AH702" s="49"/>
      <c r="AI702" s="51"/>
    </row>
    <row r="703" spans="1:35" x14ac:dyDescent="0.3">
      <c r="A703" s="20">
        <v>43123</v>
      </c>
      <c r="C703">
        <f>-(Historical_Simulation!B704-Historical_Simulation!B705)</f>
        <v>-9.9999999999980105E-3</v>
      </c>
      <c r="E703">
        <f>-(Historical_Simulation!C704-Historical_Simulation!C705)</f>
        <v>-35.230000000000018</v>
      </c>
      <c r="G703">
        <f>-(Historical_Simulation!D704-Historical_Simulation!D705)</f>
        <v>-3.9799999999999898</v>
      </c>
      <c r="J703" s="23">
        <v>43125</v>
      </c>
      <c r="K703" s="24">
        <f t="shared" si="40"/>
        <v>-10.667511672126919</v>
      </c>
      <c r="L703" s="25"/>
      <c r="M703" s="25"/>
      <c r="N703" s="27"/>
      <c r="Q703" s="23">
        <v>43125</v>
      </c>
      <c r="R703" s="24">
        <f t="shared" si="41"/>
        <v>-7.0676595005018097</v>
      </c>
      <c r="S703" s="25"/>
      <c r="T703" s="25"/>
      <c r="U703" s="27"/>
      <c r="X703" s="47">
        <v>43125</v>
      </c>
      <c r="Y703" s="48">
        <f t="shared" si="42"/>
        <v>-8.789731472671896</v>
      </c>
      <c r="Z703" s="49"/>
      <c r="AA703" s="49"/>
      <c r="AB703" s="51"/>
      <c r="AE703" s="47">
        <v>43125</v>
      </c>
      <c r="AF703" s="48">
        <f t="shared" si="43"/>
        <v>-5.8920993428171453</v>
      </c>
      <c r="AG703" s="49"/>
      <c r="AH703" s="49"/>
      <c r="AI703" s="51"/>
    </row>
    <row r="704" spans="1:35" x14ac:dyDescent="0.3">
      <c r="A704" s="20">
        <v>43122</v>
      </c>
      <c r="C704">
        <f>-(Historical_Simulation!B705-Historical_Simulation!B706)</f>
        <v>0.36500000000000199</v>
      </c>
      <c r="E704">
        <f>-(Historical_Simulation!C705-Historical_Simulation!C706)</f>
        <v>-32.730000000000018</v>
      </c>
      <c r="G704">
        <f>-(Historical_Simulation!D705-Historical_Simulation!D706)</f>
        <v>-4.0800000000000125</v>
      </c>
      <c r="J704" s="23">
        <v>43124</v>
      </c>
      <c r="K704" s="24">
        <f t="shared" si="40"/>
        <v>3.0379645567078337</v>
      </c>
      <c r="L704" s="25"/>
      <c r="M704" s="25"/>
      <c r="N704" s="27"/>
      <c r="Q704" s="23">
        <v>43124</v>
      </c>
      <c r="R704" s="24">
        <f t="shared" si="41"/>
        <v>2.3041664823692702</v>
      </c>
      <c r="S704" s="25"/>
      <c r="T704" s="25"/>
      <c r="U704" s="27"/>
      <c r="X704" s="47">
        <v>43124</v>
      </c>
      <c r="Y704" s="48">
        <f t="shared" si="42"/>
        <v>12.443418702926948</v>
      </c>
      <c r="Z704" s="49"/>
      <c r="AA704" s="49"/>
      <c r="AB704" s="51"/>
      <c r="AE704" s="47">
        <v>43124</v>
      </c>
      <c r="AF704" s="48">
        <f t="shared" si="43"/>
        <v>8.8881980223730697</v>
      </c>
      <c r="AG704" s="49"/>
      <c r="AH704" s="49"/>
      <c r="AI704" s="51"/>
    </row>
    <row r="705" spans="1:35" x14ac:dyDescent="0.3">
      <c r="A705" s="20">
        <v>43119</v>
      </c>
      <c r="C705">
        <f>-(Historical_Simulation!B706-Historical_Simulation!B707)</f>
        <v>0.19999999999999574</v>
      </c>
      <c r="E705">
        <f>-(Historical_Simulation!C706-Historical_Simulation!C707)</f>
        <v>-1.2599999999999909</v>
      </c>
      <c r="G705">
        <f>-(Historical_Simulation!D706-Historical_Simulation!D707)</f>
        <v>-1.4899999999999807</v>
      </c>
      <c r="J705" s="23">
        <v>43123</v>
      </c>
      <c r="K705" s="24">
        <f t="shared" si="40"/>
        <v>-19.008152991271789</v>
      </c>
      <c r="L705" s="25"/>
      <c r="M705" s="25"/>
      <c r="N705" s="27"/>
      <c r="Q705" s="23">
        <v>43123</v>
      </c>
      <c r="R705" s="24">
        <f t="shared" si="41"/>
        <v>-13.032576533883496</v>
      </c>
      <c r="S705" s="25"/>
      <c r="T705" s="25"/>
      <c r="U705" s="27"/>
      <c r="X705" s="47">
        <v>43123</v>
      </c>
      <c r="Y705" s="48">
        <f t="shared" si="42"/>
        <v>-22.254163365451184</v>
      </c>
      <c r="Z705" s="49"/>
      <c r="AA705" s="49"/>
      <c r="AB705" s="51"/>
      <c r="AE705" s="47">
        <v>43123</v>
      </c>
      <c r="AF705" s="48">
        <f t="shared" si="43"/>
        <v>-15.517062600869334</v>
      </c>
      <c r="AG705" s="49"/>
      <c r="AH705" s="49"/>
      <c r="AI705" s="51"/>
    </row>
    <row r="706" spans="1:35" x14ac:dyDescent="0.3">
      <c r="A706" s="20">
        <v>43118</v>
      </c>
      <c r="C706">
        <f>-(Historical_Simulation!B707-Historical_Simulation!B708)</f>
        <v>-3.9999999999999147E-2</v>
      </c>
      <c r="E706">
        <f>-(Historical_Simulation!C707-Historical_Simulation!C708)</f>
        <v>1.6800000000000637</v>
      </c>
      <c r="G706">
        <f>-(Historical_Simulation!D707-Historical_Simulation!D708)</f>
        <v>-2.2000000000000171</v>
      </c>
      <c r="J706" s="23">
        <v>43122</v>
      </c>
      <c r="K706" s="24">
        <f t="shared" si="40"/>
        <v>-17.486898729305505</v>
      </c>
      <c r="L706" s="25"/>
      <c r="M706" s="25"/>
      <c r="N706" s="27"/>
      <c r="Q706" s="23">
        <v>43122</v>
      </c>
      <c r="R706" s="24">
        <f t="shared" si="41"/>
        <v>-11.871858898037317</v>
      </c>
      <c r="S706" s="25"/>
      <c r="T706" s="25"/>
      <c r="U706" s="27"/>
      <c r="X706" s="47">
        <v>43122</v>
      </c>
      <c r="Y706" s="48">
        <f t="shared" si="42"/>
        <v>-24.54061867995744</v>
      </c>
      <c r="Z706" s="49"/>
      <c r="AA706" s="49"/>
      <c r="AB706" s="51"/>
      <c r="AE706" s="47">
        <v>43122</v>
      </c>
      <c r="AF706" s="48">
        <f t="shared" si="43"/>
        <v>-16.997441627421804</v>
      </c>
      <c r="AG706" s="49"/>
      <c r="AH706" s="49"/>
      <c r="AI706" s="51"/>
    </row>
    <row r="707" spans="1:35" x14ac:dyDescent="0.3">
      <c r="A707" s="20">
        <v>43117</v>
      </c>
      <c r="C707">
        <f>-(Historical_Simulation!B708-Historical_Simulation!B709)</f>
        <v>-0.72749999999999915</v>
      </c>
      <c r="E707">
        <f>-(Historical_Simulation!C708-Historical_Simulation!C709)</f>
        <v>9.8599999999999</v>
      </c>
      <c r="G707">
        <f>-(Historical_Simulation!D708-Historical_Simulation!D709)</f>
        <v>0.78999999999999204</v>
      </c>
      <c r="J707" s="23">
        <v>43119</v>
      </c>
      <c r="K707" s="24">
        <f t="shared" si="40"/>
        <v>-0.58754410469212648</v>
      </c>
      <c r="L707" s="25"/>
      <c r="M707" s="25"/>
      <c r="N707" s="27"/>
      <c r="Q707" s="23">
        <v>43119</v>
      </c>
      <c r="R707" s="24">
        <f t="shared" si="41"/>
        <v>-0.33983423451078565</v>
      </c>
      <c r="S707" s="25"/>
      <c r="T707" s="25"/>
      <c r="U707" s="27"/>
      <c r="X707" s="47">
        <v>43119</v>
      </c>
      <c r="Y707" s="48">
        <f t="shared" si="42"/>
        <v>-9.2691778558216811</v>
      </c>
      <c r="Z707" s="49"/>
      <c r="AA707" s="49"/>
      <c r="AB707" s="51"/>
      <c r="AE707" s="47">
        <v>43119</v>
      </c>
      <c r="AF707" s="48">
        <f t="shared" si="43"/>
        <v>-6.4012432734178555</v>
      </c>
      <c r="AG707" s="49"/>
      <c r="AH707" s="49"/>
      <c r="AI707" s="51"/>
    </row>
    <row r="708" spans="1:35" x14ac:dyDescent="0.3">
      <c r="A708" s="20">
        <v>43116</v>
      </c>
      <c r="C708">
        <f>-(Historical_Simulation!B709-Historical_Simulation!B710)</f>
        <v>0.22500000000000142</v>
      </c>
      <c r="E708">
        <f>-(Historical_Simulation!C709-Historical_Simulation!C710)</f>
        <v>0.34000000000014552</v>
      </c>
      <c r="G708">
        <f>-(Historical_Simulation!D709-Historical_Simulation!D710)</f>
        <v>0.98000000000001819</v>
      </c>
      <c r="J708" s="23">
        <v>43118</v>
      </c>
      <c r="K708" s="24">
        <f t="shared" si="40"/>
        <v>0.88779168497980365</v>
      </c>
      <c r="L708" s="25"/>
      <c r="M708" s="25"/>
      <c r="N708" s="27"/>
      <c r="Q708" s="23">
        <v>43118</v>
      </c>
      <c r="R708" s="24">
        <f t="shared" si="41"/>
        <v>0.59596909819081345</v>
      </c>
      <c r="S708" s="25"/>
      <c r="T708" s="25"/>
      <c r="U708" s="27"/>
      <c r="X708" s="47">
        <v>43118</v>
      </c>
      <c r="Y708" s="48">
        <f t="shared" si="42"/>
        <v>-12.142617851227973</v>
      </c>
      <c r="Z708" s="49"/>
      <c r="AA708" s="49"/>
      <c r="AB708" s="51"/>
      <c r="AE708" s="47">
        <v>43118</v>
      </c>
      <c r="AF708" s="48">
        <f t="shared" si="43"/>
        <v>-8.4770919944277363</v>
      </c>
      <c r="AG708" s="49"/>
      <c r="AH708" s="49"/>
      <c r="AI708" s="51"/>
    </row>
    <row r="709" spans="1:35" x14ac:dyDescent="0.3">
      <c r="A709" s="20">
        <v>43115</v>
      </c>
      <c r="C709">
        <f>-(Historical_Simulation!B710-Historical_Simulation!B711)</f>
        <v>0</v>
      </c>
      <c r="E709">
        <f>-(Historical_Simulation!C710-Historical_Simulation!C711)</f>
        <v>0</v>
      </c>
      <c r="G709">
        <f>-(Historical_Simulation!D710-Historical_Simulation!D711)</f>
        <v>0</v>
      </c>
      <c r="J709" s="23">
        <v>43117</v>
      </c>
      <c r="K709" s="24">
        <f t="shared" si="40"/>
        <v>4.9835432934437272</v>
      </c>
      <c r="L709" s="25"/>
      <c r="M709" s="25"/>
      <c r="N709" s="27"/>
      <c r="Q709" s="23">
        <v>43117</v>
      </c>
      <c r="R709" s="24">
        <f t="shared" si="41"/>
        <v>3.1872225738923952</v>
      </c>
      <c r="S709" s="25"/>
      <c r="T709" s="25"/>
      <c r="U709" s="27"/>
      <c r="X709" s="47">
        <v>43117</v>
      </c>
      <c r="Y709" s="48">
        <f t="shared" si="42"/>
        <v>7.7751493468695347</v>
      </c>
      <c r="Z709" s="49"/>
      <c r="AA709" s="49"/>
      <c r="AB709" s="51"/>
      <c r="AE709" s="47">
        <v>43117</v>
      </c>
      <c r="AF709" s="48">
        <f t="shared" si="43"/>
        <v>5.1999477321962555</v>
      </c>
      <c r="AG709" s="49"/>
      <c r="AH709" s="49"/>
      <c r="AI709" s="51"/>
    </row>
    <row r="710" spans="1:35" x14ac:dyDescent="0.3">
      <c r="A710" s="20">
        <v>43112</v>
      </c>
      <c r="C710">
        <f>-(Historical_Simulation!B711-Historical_Simulation!B712)</f>
        <v>-0.45250000000000057</v>
      </c>
      <c r="E710">
        <f>-(Historical_Simulation!C711-Historical_Simulation!C712)</f>
        <v>-28.519999999999982</v>
      </c>
      <c r="G710">
        <f>-(Historical_Simulation!D711-Historical_Simulation!D712)</f>
        <v>8.4000000000000057</v>
      </c>
      <c r="J710" s="23">
        <v>43116</v>
      </c>
      <c r="K710" s="24">
        <f t="shared" ref="K710:K773" si="44">C708*$K$3+E708*(1-$K$3)</f>
        <v>0.28703258358884276</v>
      </c>
      <c r="L710" s="25"/>
      <c r="M710" s="25"/>
      <c r="N710" s="27"/>
      <c r="Q710" s="23">
        <v>43116</v>
      </c>
      <c r="R710" s="24">
        <f t="shared" si="41"/>
        <v>0.26752118970467142</v>
      </c>
      <c r="S710" s="25"/>
      <c r="T710" s="25"/>
      <c r="U710" s="27"/>
      <c r="X710" s="47">
        <v>43116</v>
      </c>
      <c r="Y710" s="48">
        <f t="shared" si="42"/>
        <v>4.4553131841098388</v>
      </c>
      <c r="Z710" s="49"/>
      <c r="AA710" s="49"/>
      <c r="AB710" s="51"/>
      <c r="AE710" s="47">
        <v>43116</v>
      </c>
      <c r="AF710" s="48">
        <f t="shared" si="43"/>
        <v>3.1740761369412187</v>
      </c>
      <c r="AG710" s="49"/>
      <c r="AH710" s="49"/>
      <c r="AI710" s="51"/>
    </row>
    <row r="711" spans="1:35" x14ac:dyDescent="0.3">
      <c r="A711" s="20">
        <v>43111</v>
      </c>
      <c r="C711">
        <f>-(Historical_Simulation!B712-Historical_Simulation!B713)</f>
        <v>-0.24750000000000227</v>
      </c>
      <c r="E711">
        <f>-(Historical_Simulation!C712-Historical_Simulation!C713)</f>
        <v>-22.350000000000136</v>
      </c>
      <c r="G711">
        <f>-(Historical_Simulation!D712-Historical_Simulation!D713)</f>
        <v>6.9999999999993179E-2</v>
      </c>
      <c r="J711" s="23">
        <v>43115</v>
      </c>
      <c r="K711" s="24">
        <f t="shared" si="44"/>
        <v>0</v>
      </c>
      <c r="L711" s="25"/>
      <c r="M711" s="25"/>
      <c r="N711" s="27"/>
      <c r="Q711" s="23">
        <v>43115</v>
      </c>
      <c r="R711" s="24">
        <f t="shared" ref="R711:R774" si="45">C709*$R$3+E709*(1-$R$3)</f>
        <v>0</v>
      </c>
      <c r="S711" s="25"/>
      <c r="T711" s="25"/>
      <c r="U711" s="27"/>
      <c r="X711" s="47">
        <v>43115</v>
      </c>
      <c r="Y711" s="48">
        <f t="shared" ref="Y711:Y774" si="46">C709*$Y$3+G709*(1-$Y$3)</f>
        <v>0</v>
      </c>
      <c r="Z711" s="49"/>
      <c r="AA711" s="49"/>
      <c r="AB711" s="51"/>
      <c r="AE711" s="47">
        <v>43115</v>
      </c>
      <c r="AF711" s="48">
        <f t="shared" ref="AF711:AF774" si="47">C709*$AF$3+G709*(1-$AF$3)</f>
        <v>0</v>
      </c>
      <c r="AG711" s="49"/>
      <c r="AH711" s="49"/>
      <c r="AI711" s="51"/>
    </row>
    <row r="712" spans="1:35" x14ac:dyDescent="0.3">
      <c r="A712" s="20">
        <v>43110</v>
      </c>
      <c r="C712">
        <f>-(Historical_Simulation!B713-Historical_Simulation!B714)</f>
        <v>1.0000000000005116E-2</v>
      </c>
      <c r="E712">
        <f>-(Historical_Simulation!C713-Historical_Simulation!C714)</f>
        <v>-1.6299999999998818</v>
      </c>
      <c r="G712">
        <f>-(Historical_Simulation!D713-Historical_Simulation!D714)</f>
        <v>3.0000000000001137E-2</v>
      </c>
      <c r="J712" s="23">
        <v>43112</v>
      </c>
      <c r="K712" s="24">
        <f t="shared" si="44"/>
        <v>-15.592495998935842</v>
      </c>
      <c r="L712" s="25"/>
      <c r="M712" s="25"/>
      <c r="N712" s="27"/>
      <c r="Q712" s="23">
        <v>43112</v>
      </c>
      <c r="R712" s="24">
        <f t="shared" si="45"/>
        <v>-10.830443408994169</v>
      </c>
      <c r="S712" s="25"/>
      <c r="T712" s="25"/>
      <c r="U712" s="27"/>
      <c r="X712" s="47">
        <v>43112</v>
      </c>
      <c r="Y712" s="48">
        <f t="shared" si="46"/>
        <v>49.148622466664271</v>
      </c>
      <c r="Z712" s="49"/>
      <c r="AA712" s="49"/>
      <c r="AB712" s="51"/>
      <c r="AE712" s="47">
        <v>43112</v>
      </c>
      <c r="AF712" s="48">
        <f t="shared" si="47"/>
        <v>34.125905963273595</v>
      </c>
      <c r="AG712" s="49"/>
      <c r="AH712" s="49"/>
      <c r="AI712" s="51"/>
    </row>
    <row r="713" spans="1:35" x14ac:dyDescent="0.3">
      <c r="A713" s="20">
        <v>43109</v>
      </c>
      <c r="C713">
        <f>-(Historical_Simulation!B714-Historical_Simulation!B715)</f>
        <v>4.9999999999954525E-3</v>
      </c>
      <c r="E713">
        <f>-(Historical_Simulation!C714-Historical_Simulation!C715)</f>
        <v>-5.8300000000001546</v>
      </c>
      <c r="G713">
        <f>-(Historical_Simulation!D714-Historical_Simulation!D715)</f>
        <v>0.40999999999999659</v>
      </c>
      <c r="J713" s="23">
        <v>43111</v>
      </c>
      <c r="K713" s="24">
        <f t="shared" si="44"/>
        <v>-12.169892858875274</v>
      </c>
      <c r="L713" s="25"/>
      <c r="M713" s="25"/>
      <c r="N713" s="27"/>
      <c r="Q713" s="23">
        <v>43111</v>
      </c>
      <c r="R713" s="24">
        <f t="shared" si="45"/>
        <v>-8.4198877864895412</v>
      </c>
      <c r="S713" s="25"/>
      <c r="T713" s="25"/>
      <c r="U713" s="27"/>
      <c r="X713" s="47">
        <v>43111</v>
      </c>
      <c r="Y713" s="48">
        <f t="shared" si="46"/>
        <v>1.5314727628540692</v>
      </c>
      <c r="Z713" s="49"/>
      <c r="AA713" s="49"/>
      <c r="AB713" s="51"/>
      <c r="AE713" s="47">
        <v>43111</v>
      </c>
      <c r="AF713" s="48">
        <f t="shared" si="47"/>
        <v>0.9926744019586764</v>
      </c>
      <c r="AG713" s="49"/>
      <c r="AH713" s="49"/>
      <c r="AI713" s="51"/>
    </row>
    <row r="714" spans="1:35" x14ac:dyDescent="0.3">
      <c r="A714" s="20">
        <v>43108</v>
      </c>
      <c r="C714">
        <f>-(Historical_Simulation!B715-Historical_Simulation!B716)</f>
        <v>0.16250000000000142</v>
      </c>
      <c r="E714">
        <f>-(Historical_Simulation!C715-Historical_Simulation!C716)</f>
        <v>-17.729999999999791</v>
      </c>
      <c r="G714">
        <f>-(Historical_Simulation!D715-Historical_Simulation!D716)</f>
        <v>-1.4300000000000068</v>
      </c>
      <c r="J714" s="23">
        <v>43110</v>
      </c>
      <c r="K714" s="24">
        <f t="shared" si="44"/>
        <v>-0.8746385833527367</v>
      </c>
      <c r="L714" s="25"/>
      <c r="M714" s="25"/>
      <c r="N714" s="27"/>
      <c r="Q714" s="23">
        <v>43110</v>
      </c>
      <c r="R714" s="24">
        <f t="shared" si="45"/>
        <v>-0.59638914013535682</v>
      </c>
      <c r="S714" s="25"/>
      <c r="T714" s="25"/>
      <c r="U714" s="27"/>
      <c r="X714" s="47">
        <v>43110</v>
      </c>
      <c r="Y714" s="48">
        <f t="shared" si="46"/>
        <v>0.12206127640024089</v>
      </c>
      <c r="Z714" s="49"/>
      <c r="AA714" s="49"/>
      <c r="AB714" s="51"/>
      <c r="AE714" s="47">
        <v>43110</v>
      </c>
      <c r="AF714" s="48">
        <f t="shared" si="47"/>
        <v>8.8121222170616131E-2</v>
      </c>
      <c r="AG714" s="49"/>
      <c r="AH714" s="49"/>
      <c r="AI714" s="51"/>
    </row>
    <row r="715" spans="1:35" x14ac:dyDescent="0.3">
      <c r="A715" s="20">
        <v>43105</v>
      </c>
      <c r="C715">
        <f>-(Historical_Simulation!B716-Historical_Simulation!B717)</f>
        <v>-0.49249999999999972</v>
      </c>
      <c r="E715">
        <f>-(Historical_Simulation!C716-Historical_Simulation!C717)</f>
        <v>-19.550000000000182</v>
      </c>
      <c r="G715">
        <f>-(Historical_Simulation!D716-Historical_Simulation!D717)</f>
        <v>-2.5199999999999818</v>
      </c>
      <c r="J715" s="23">
        <v>43109</v>
      </c>
      <c r="K715" s="24">
        <f t="shared" si="44"/>
        <v>-3.1424793499169179</v>
      </c>
      <c r="L715" s="25"/>
      <c r="M715" s="25"/>
      <c r="N715" s="27"/>
      <c r="Q715" s="23">
        <v>43109</v>
      </c>
      <c r="R715" s="24">
        <f t="shared" si="45"/>
        <v>-2.152488190664744</v>
      </c>
      <c r="S715" s="25"/>
      <c r="T715" s="25"/>
      <c r="U715" s="27"/>
      <c r="X715" s="47">
        <v>43109</v>
      </c>
      <c r="Y715" s="48">
        <f t="shared" si="46"/>
        <v>2.274240847105228</v>
      </c>
      <c r="Z715" s="49"/>
      <c r="AA715" s="49"/>
      <c r="AB715" s="51"/>
      <c r="AE715" s="47">
        <v>43109</v>
      </c>
      <c r="AF715" s="48">
        <f t="shared" si="47"/>
        <v>1.5869547489551876</v>
      </c>
      <c r="AG715" s="49"/>
      <c r="AH715" s="49"/>
      <c r="AI715" s="51"/>
    </row>
    <row r="716" spans="1:35" x14ac:dyDescent="0.3">
      <c r="A716" s="20">
        <v>43104</v>
      </c>
      <c r="C716">
        <f>-(Historical_Simulation!B717-Historical_Simulation!B718)</f>
        <v>-0.20000000000000284</v>
      </c>
      <c r="E716">
        <f>-(Historical_Simulation!C717-Historical_Simulation!C718)</f>
        <v>-5.3899999999998727</v>
      </c>
      <c r="G716">
        <f>-(Historical_Simulation!D717-Historical_Simulation!D718)</f>
        <v>0.33999999999997499</v>
      </c>
      <c r="J716" s="23">
        <v>43108</v>
      </c>
      <c r="K716" s="24">
        <f t="shared" si="44"/>
        <v>-9.4889608857560006</v>
      </c>
      <c r="L716" s="25"/>
      <c r="M716" s="25"/>
      <c r="N716" s="27"/>
      <c r="Q716" s="23">
        <v>43108</v>
      </c>
      <c r="R716" s="24">
        <f t="shared" si="45"/>
        <v>-6.4532424938247468</v>
      </c>
      <c r="S716" s="25"/>
      <c r="T716" s="25"/>
      <c r="U716" s="27"/>
      <c r="X716" s="47">
        <v>43108</v>
      </c>
      <c r="Y716" s="48">
        <f t="shared" si="46"/>
        <v>-8.7603791333705949</v>
      </c>
      <c r="Z716" s="49"/>
      <c r="AA716" s="49"/>
      <c r="AB716" s="51"/>
      <c r="AE716" s="47">
        <v>43108</v>
      </c>
      <c r="AF716" s="48">
        <f t="shared" si="47"/>
        <v>-6.05790231533617</v>
      </c>
      <c r="AG716" s="49"/>
      <c r="AH716" s="49"/>
      <c r="AI716" s="51"/>
    </row>
    <row r="717" spans="1:35" x14ac:dyDescent="0.3">
      <c r="A717" s="20">
        <v>43103</v>
      </c>
      <c r="C717">
        <f>-(Historical_Simulation!B718-Historical_Simulation!B719)</f>
        <v>7.5000000000002842E-3</v>
      </c>
      <c r="E717">
        <f>-(Historical_Simulation!C718-Historical_Simulation!C719)</f>
        <v>-15.190000000000055</v>
      </c>
      <c r="G717">
        <f>-(Historical_Simulation!D718-Historical_Simulation!D719)</f>
        <v>-3.25</v>
      </c>
      <c r="J717" s="23">
        <v>43105</v>
      </c>
      <c r="K717" s="24">
        <f t="shared" si="44"/>
        <v>-10.772377928198903</v>
      </c>
      <c r="L717" s="25"/>
      <c r="M717" s="25"/>
      <c r="N717" s="27"/>
      <c r="Q717" s="23">
        <v>43105</v>
      </c>
      <c r="R717" s="24">
        <f t="shared" si="45"/>
        <v>-7.5390006330064452</v>
      </c>
      <c r="S717" s="25"/>
      <c r="T717" s="25"/>
      <c r="U717" s="27"/>
      <c r="X717" s="47">
        <v>43105</v>
      </c>
      <c r="Y717" s="48">
        <f t="shared" si="46"/>
        <v>-11.852711895076062</v>
      </c>
      <c r="Z717" s="49"/>
      <c r="AA717" s="49"/>
      <c r="AB717" s="51"/>
      <c r="AE717" s="47">
        <v>43105</v>
      </c>
      <c r="AF717" s="48">
        <f t="shared" si="47"/>
        <v>-8.4120388975471965</v>
      </c>
      <c r="AG717" s="49"/>
      <c r="AH717" s="49"/>
      <c r="AI717" s="51"/>
    </row>
    <row r="718" spans="1:35" x14ac:dyDescent="0.3">
      <c r="A718" s="20">
        <v>43102</v>
      </c>
      <c r="C718">
        <f>-(Historical_Simulation!B719-Historical_Simulation!B720)</f>
        <v>-0.75750000000000028</v>
      </c>
      <c r="E718">
        <f>-(Historical_Simulation!C719-Historical_Simulation!C720)</f>
        <v>-19.539999999999964</v>
      </c>
      <c r="G718">
        <f>-(Historical_Simulation!D719-Historical_Simulation!D720)</f>
        <v>-4.9599999999999795</v>
      </c>
      <c r="J718" s="23">
        <v>43104</v>
      </c>
      <c r="K718" s="24">
        <f t="shared" si="44"/>
        <v>-2.9995574680493515</v>
      </c>
      <c r="L718" s="25"/>
      <c r="M718" s="25"/>
      <c r="N718" s="27"/>
      <c r="Q718" s="23">
        <v>43104</v>
      </c>
      <c r="R718" s="24">
        <f t="shared" si="45"/>
        <v>-2.1189997788430928</v>
      </c>
      <c r="S718" s="25"/>
      <c r="T718" s="25"/>
      <c r="U718" s="27"/>
      <c r="X718" s="47">
        <v>43104</v>
      </c>
      <c r="Y718" s="48">
        <f t="shared" si="46"/>
        <v>2.8256544628068414</v>
      </c>
      <c r="Z718" s="49"/>
      <c r="AA718" s="49"/>
      <c r="AB718" s="51"/>
      <c r="AE718" s="47">
        <v>43104</v>
      </c>
      <c r="AF718" s="48">
        <f t="shared" si="47"/>
        <v>1.9092729986068275</v>
      </c>
      <c r="AG718" s="49"/>
      <c r="AH718" s="49"/>
      <c r="AI718" s="51"/>
    </row>
    <row r="719" spans="1:35" x14ac:dyDescent="0.3">
      <c r="A719" s="20">
        <v>43101</v>
      </c>
      <c r="C719">
        <f>-(Historical_Simulation!B720-Historical_Simulation!B721)</f>
        <v>0</v>
      </c>
      <c r="E719">
        <f>-(Historical_Simulation!C720-Historical_Simulation!C721)</f>
        <v>0</v>
      </c>
      <c r="G719">
        <f>-(Historical_Simulation!D720-Historical_Simulation!D721)</f>
        <v>0</v>
      </c>
      <c r="J719" s="23">
        <v>43103</v>
      </c>
      <c r="K719" s="24">
        <f t="shared" si="44"/>
        <v>-8.1902407746977257</v>
      </c>
      <c r="L719" s="25"/>
      <c r="M719" s="25"/>
      <c r="N719" s="27"/>
      <c r="Q719" s="23">
        <v>43103</v>
      </c>
      <c r="R719" s="24">
        <f t="shared" si="45"/>
        <v>-5.6117676568340444</v>
      </c>
      <c r="S719" s="25"/>
      <c r="T719" s="25"/>
      <c r="U719" s="27"/>
      <c r="X719" s="47">
        <v>43103</v>
      </c>
      <c r="Y719" s="48">
        <f t="shared" si="46"/>
        <v>-18.244480393692037</v>
      </c>
      <c r="Z719" s="49"/>
      <c r="AA719" s="49"/>
      <c r="AB719" s="51"/>
      <c r="AE719" s="47">
        <v>43103</v>
      </c>
      <c r="AF719" s="48">
        <f t="shared" si="47"/>
        <v>-12.716494061040798</v>
      </c>
      <c r="AG719" s="49"/>
      <c r="AH719" s="49"/>
      <c r="AI719" s="51"/>
    </row>
    <row r="720" spans="1:35" x14ac:dyDescent="0.3">
      <c r="A720" s="20">
        <v>43098</v>
      </c>
      <c r="C720">
        <f>-(Historical_Simulation!B721-Historical_Simulation!B722)</f>
        <v>0.46250000000000568</v>
      </c>
      <c r="E720">
        <f>-(Historical_Simulation!C721-Historical_Simulation!C722)</f>
        <v>16.629999999999882</v>
      </c>
      <c r="G720">
        <f>-(Historical_Simulation!D721-Historical_Simulation!D722)</f>
        <v>1.4599999999999795</v>
      </c>
      <c r="J720" s="23">
        <v>43102</v>
      </c>
      <c r="K720" s="24">
        <f t="shared" si="44"/>
        <v>-10.88903914135609</v>
      </c>
      <c r="L720" s="25"/>
      <c r="M720" s="25"/>
      <c r="N720" s="27"/>
      <c r="Q720" s="23">
        <v>43102</v>
      </c>
      <c r="R720" s="24">
        <f t="shared" si="45"/>
        <v>-7.7023195271909763</v>
      </c>
      <c r="S720" s="25"/>
      <c r="T720" s="25"/>
      <c r="U720" s="27"/>
      <c r="X720" s="47">
        <v>43102</v>
      </c>
      <c r="Y720" s="48">
        <f t="shared" si="46"/>
        <v>-24.304375703604116</v>
      </c>
      <c r="Z720" s="49"/>
      <c r="AA720" s="49"/>
      <c r="AB720" s="51"/>
      <c r="AE720" s="47">
        <v>43102</v>
      </c>
      <c r="AF720" s="48">
        <f t="shared" si="47"/>
        <v>-17.172721808602823</v>
      </c>
      <c r="AG720" s="49"/>
      <c r="AH720" s="49"/>
      <c r="AI720" s="51"/>
    </row>
    <row r="721" spans="1:35" x14ac:dyDescent="0.3">
      <c r="A721" s="20">
        <v>43097</v>
      </c>
      <c r="C721">
        <f>-(Historical_Simulation!B722-Historical_Simulation!B723)</f>
        <v>-0.12000000000000455</v>
      </c>
      <c r="E721">
        <f>-(Historical_Simulation!C722-Historical_Simulation!C723)</f>
        <v>-3.8399999999999181</v>
      </c>
      <c r="G721">
        <f>-(Historical_Simulation!D722-Historical_Simulation!D723)</f>
        <v>-0.29999999999998295</v>
      </c>
      <c r="J721" s="23">
        <v>43101</v>
      </c>
      <c r="K721" s="24">
        <f t="shared" si="44"/>
        <v>0</v>
      </c>
      <c r="L721" s="25"/>
      <c r="M721" s="25"/>
      <c r="N721" s="27"/>
      <c r="Q721" s="23">
        <v>43101</v>
      </c>
      <c r="R721" s="24">
        <f t="shared" si="45"/>
        <v>0</v>
      </c>
      <c r="S721" s="25"/>
      <c r="T721" s="25"/>
      <c r="U721" s="27"/>
      <c r="X721" s="47">
        <v>43101</v>
      </c>
      <c r="Y721" s="48">
        <f t="shared" si="46"/>
        <v>0</v>
      </c>
      <c r="Z721" s="49"/>
      <c r="AA721" s="49"/>
      <c r="AB721" s="51"/>
      <c r="AE721" s="47">
        <v>43101</v>
      </c>
      <c r="AF721" s="48">
        <f t="shared" si="47"/>
        <v>0</v>
      </c>
      <c r="AG721" s="49"/>
      <c r="AH721" s="49"/>
      <c r="AI721" s="51"/>
    </row>
    <row r="722" spans="1:35" x14ac:dyDescent="0.3">
      <c r="A722" s="20">
        <v>43096</v>
      </c>
      <c r="C722">
        <f>-(Historical_Simulation!B723-Historical_Simulation!B724)</f>
        <v>-7.5000000000002842E-3</v>
      </c>
      <c r="E722">
        <f>-(Historical_Simulation!C723-Historical_Simulation!C724)</f>
        <v>-5.5</v>
      </c>
      <c r="G722">
        <f>-(Historical_Simulation!D723-Historical_Simulation!D724)</f>
        <v>-1.6299999999999955</v>
      </c>
      <c r="J722" s="23">
        <v>43098</v>
      </c>
      <c r="K722" s="24">
        <f t="shared" si="44"/>
        <v>9.1834721319245993</v>
      </c>
      <c r="L722" s="25"/>
      <c r="M722" s="25"/>
      <c r="N722" s="27"/>
      <c r="Q722" s="23">
        <v>43098</v>
      </c>
      <c r="R722" s="24">
        <f t="shared" si="45"/>
        <v>6.4404246482555338</v>
      </c>
      <c r="S722" s="25"/>
      <c r="T722" s="25"/>
      <c r="U722" s="27"/>
      <c r="X722" s="47">
        <v>43098</v>
      </c>
      <c r="Y722" s="48">
        <f t="shared" si="46"/>
        <v>6.0515561604627317</v>
      </c>
      <c r="Z722" s="49"/>
      <c r="AA722" s="49"/>
      <c r="AB722" s="51"/>
      <c r="AE722" s="47">
        <v>43098</v>
      </c>
      <c r="AF722" s="48">
        <f t="shared" si="47"/>
        <v>4.3587959557599021</v>
      </c>
      <c r="AG722" s="49"/>
      <c r="AH722" s="49"/>
      <c r="AI722" s="51"/>
    </row>
    <row r="723" spans="1:35" x14ac:dyDescent="0.3">
      <c r="A723" s="20">
        <v>43095</v>
      </c>
      <c r="C723">
        <f>-(Historical_Simulation!B724-Historical_Simulation!B725)</f>
        <v>1.1099999999999994</v>
      </c>
      <c r="E723">
        <f>-(Historical_Simulation!C724-Historical_Simulation!C725)</f>
        <v>-8.4000000000000909</v>
      </c>
      <c r="G723">
        <f>-(Historical_Simulation!D724-Historical_Simulation!D725)</f>
        <v>1.2099999999999795</v>
      </c>
      <c r="J723" s="23">
        <v>43097</v>
      </c>
      <c r="K723" s="24">
        <f t="shared" si="44"/>
        <v>-2.1266192256538767</v>
      </c>
      <c r="L723" s="25"/>
      <c r="M723" s="25"/>
      <c r="N723" s="27"/>
      <c r="Q723" s="23">
        <v>43097</v>
      </c>
      <c r="R723" s="24">
        <f t="shared" si="45"/>
        <v>-1.4954680495754009</v>
      </c>
      <c r="S723" s="25"/>
      <c r="T723" s="25"/>
      <c r="U723" s="27"/>
      <c r="X723" s="47">
        <v>43097</v>
      </c>
      <c r="Y723" s="48">
        <f t="shared" si="46"/>
        <v>-1.1285514876022065</v>
      </c>
      <c r="Z723" s="49"/>
      <c r="AA723" s="49"/>
      <c r="AB723" s="51"/>
      <c r="AE723" s="47">
        <v>43097</v>
      </c>
      <c r="AF723" s="48">
        <f t="shared" si="47"/>
        <v>-0.82309099953555909</v>
      </c>
      <c r="AG723" s="49"/>
      <c r="AH723" s="49"/>
      <c r="AI723" s="51"/>
    </row>
    <row r="724" spans="1:35" x14ac:dyDescent="0.3">
      <c r="A724" s="20">
        <v>43094</v>
      </c>
      <c r="C724">
        <f>-(Historical_Simulation!B725-Historical_Simulation!B726)</f>
        <v>0</v>
      </c>
      <c r="E724">
        <f>-(Historical_Simulation!C725-Historical_Simulation!C726)</f>
        <v>0</v>
      </c>
      <c r="G724">
        <f>-(Historical_Simulation!D725-Historical_Simulation!D726)</f>
        <v>0</v>
      </c>
      <c r="J724" s="23">
        <v>43096</v>
      </c>
      <c r="K724" s="24">
        <f t="shared" si="44"/>
        <v>-2.9702301335763845</v>
      </c>
      <c r="L724" s="25"/>
      <c r="M724" s="25"/>
      <c r="N724" s="27"/>
      <c r="Q724" s="23">
        <v>43096</v>
      </c>
      <c r="R724" s="24">
        <f t="shared" si="45"/>
        <v>-2.0383489952400642</v>
      </c>
      <c r="S724" s="25"/>
      <c r="T724" s="25"/>
      <c r="U724" s="27"/>
      <c r="X724" s="47">
        <v>43096</v>
      </c>
      <c r="Y724" s="48">
        <f t="shared" si="46"/>
        <v>-9.0984710479709108</v>
      </c>
      <c r="Z724" s="49"/>
      <c r="AA724" s="49"/>
      <c r="AB724" s="51"/>
      <c r="AE724" s="47">
        <v>43096</v>
      </c>
      <c r="AF724" s="48">
        <f t="shared" si="47"/>
        <v>-6.3450841485920595</v>
      </c>
      <c r="AG724" s="49"/>
      <c r="AH724" s="49"/>
      <c r="AI724" s="51"/>
    </row>
    <row r="725" spans="1:35" x14ac:dyDescent="0.3">
      <c r="A725" s="20">
        <v>43091</v>
      </c>
      <c r="C725">
        <f>-(Historical_Simulation!B726-Historical_Simulation!B727)</f>
        <v>0</v>
      </c>
      <c r="E725">
        <f>-(Historical_Simulation!C726-Historical_Simulation!C727)</f>
        <v>6.4000000000000909</v>
      </c>
      <c r="G725">
        <f>-(Historical_Simulation!D726-Historical_Simulation!D727)</f>
        <v>0.25</v>
      </c>
      <c r="J725" s="23">
        <v>43095</v>
      </c>
      <c r="K725" s="24">
        <f t="shared" si="44"/>
        <v>-4.0198249559056318</v>
      </c>
      <c r="L725" s="25"/>
      <c r="M725" s="25"/>
      <c r="N725" s="27"/>
      <c r="Q725" s="23">
        <v>43095</v>
      </c>
      <c r="R725" s="24">
        <f t="shared" si="45"/>
        <v>-2.4063175138339918</v>
      </c>
      <c r="S725" s="25"/>
      <c r="T725" s="25"/>
      <c r="U725" s="27"/>
      <c r="X725" s="47">
        <v>43095</v>
      </c>
      <c r="Y725" s="48">
        <f t="shared" si="46"/>
        <v>1.6703063820011783</v>
      </c>
      <c r="Z725" s="49"/>
      <c r="AA725" s="49"/>
      <c r="AB725" s="51"/>
      <c r="AE725" s="47">
        <v>43095</v>
      </c>
      <c r="AF725" s="48">
        <f t="shared" si="47"/>
        <v>1.5006061108530546</v>
      </c>
      <c r="AG725" s="49"/>
      <c r="AH725" s="49"/>
      <c r="AI725" s="51"/>
    </row>
    <row r="726" spans="1:35" x14ac:dyDescent="0.3">
      <c r="A726" s="20">
        <v>43090</v>
      </c>
      <c r="C726">
        <f>-(Historical_Simulation!B727-Historical_Simulation!B728)</f>
        <v>-0.16499999999999915</v>
      </c>
      <c r="E726">
        <f>-(Historical_Simulation!C727-Historical_Simulation!C728)</f>
        <v>2.8599999999999</v>
      </c>
      <c r="G726">
        <f>-(Historical_Simulation!D727-Historical_Simulation!D728)</f>
        <v>0.43999999999999773</v>
      </c>
      <c r="J726" s="23">
        <v>43094</v>
      </c>
      <c r="K726" s="24">
        <f t="shared" si="44"/>
        <v>0</v>
      </c>
      <c r="L726" s="25"/>
      <c r="M726" s="25"/>
      <c r="N726" s="27"/>
      <c r="Q726" s="23">
        <v>43094</v>
      </c>
      <c r="R726" s="24">
        <f t="shared" si="45"/>
        <v>0</v>
      </c>
      <c r="S726" s="25"/>
      <c r="T726" s="25"/>
      <c r="U726" s="27"/>
      <c r="X726" s="47">
        <v>43094</v>
      </c>
      <c r="Y726" s="48">
        <f t="shared" si="46"/>
        <v>0</v>
      </c>
      <c r="Z726" s="49"/>
      <c r="AA726" s="49"/>
      <c r="AB726" s="51"/>
      <c r="AE726" s="47">
        <v>43094</v>
      </c>
      <c r="AF726" s="48">
        <f t="shared" si="47"/>
        <v>0</v>
      </c>
      <c r="AG726" s="49"/>
      <c r="AH726" s="49"/>
      <c r="AI726" s="51"/>
    </row>
    <row r="727" spans="1:35" x14ac:dyDescent="0.3">
      <c r="A727" s="20">
        <v>43089</v>
      </c>
      <c r="C727">
        <f>-(Historical_Simulation!B728-Historical_Simulation!B729)</f>
        <v>4.7499999999999432E-2</v>
      </c>
      <c r="E727">
        <f>-(Historical_Simulation!C728-Historical_Simulation!C729)</f>
        <v>9.7600000000002183</v>
      </c>
      <c r="G727">
        <f>-(Historical_Simulation!D728-Historical_Simulation!D729)</f>
        <v>1.6200000000000045</v>
      </c>
      <c r="J727" s="23">
        <v>43091</v>
      </c>
      <c r="K727" s="24">
        <f t="shared" si="44"/>
        <v>3.4522481301573285</v>
      </c>
      <c r="L727" s="25"/>
      <c r="M727" s="25"/>
      <c r="N727" s="27"/>
      <c r="Q727" s="23">
        <v>43091</v>
      </c>
      <c r="R727" s="24">
        <f t="shared" si="45"/>
        <v>2.3663966444308779</v>
      </c>
      <c r="S727" s="25"/>
      <c r="T727" s="25"/>
      <c r="U727" s="27"/>
      <c r="X727" s="47">
        <v>43091</v>
      </c>
      <c r="Y727" s="48">
        <f t="shared" si="46"/>
        <v>1.4007659550032261</v>
      </c>
      <c r="Z727" s="49"/>
      <c r="AA727" s="49"/>
      <c r="AB727" s="51"/>
      <c r="AE727" s="47">
        <v>43091</v>
      </c>
      <c r="AF727" s="48">
        <f t="shared" si="47"/>
        <v>0.97651527713283182</v>
      </c>
      <c r="AG727" s="49"/>
      <c r="AH727" s="49"/>
      <c r="AI727" s="51"/>
    </row>
    <row r="728" spans="1:35" x14ac:dyDescent="0.3">
      <c r="A728" s="20">
        <v>43088</v>
      </c>
      <c r="C728">
        <f>-(Historical_Simulation!B729-Historical_Simulation!B730)</f>
        <v>0.46999999999999886</v>
      </c>
      <c r="E728">
        <f>-(Historical_Simulation!C729-Historical_Simulation!C730)</f>
        <v>3.1999999999998181</v>
      </c>
      <c r="G728">
        <f>-(Historical_Simulation!D729-Historical_Simulation!D730)</f>
        <v>1.3100000000000023</v>
      </c>
      <c r="J728" s="23">
        <v>43090</v>
      </c>
      <c r="K728" s="24">
        <f t="shared" si="44"/>
        <v>1.4667266552695981</v>
      </c>
      <c r="L728" s="25"/>
      <c r="M728" s="25"/>
      <c r="N728" s="27"/>
      <c r="Q728" s="23">
        <v>43090</v>
      </c>
      <c r="R728" s="24">
        <f t="shared" si="45"/>
        <v>0.95349216396922976</v>
      </c>
      <c r="S728" s="25"/>
      <c r="T728" s="25"/>
      <c r="U728" s="27"/>
      <c r="X728" s="47">
        <v>43090</v>
      </c>
      <c r="Y728" s="48">
        <f t="shared" si="46"/>
        <v>3.2248536111077906</v>
      </c>
      <c r="Z728" s="49"/>
      <c r="AA728" s="49"/>
      <c r="AB728" s="51"/>
      <c r="AE728" s="47">
        <v>43090</v>
      </c>
      <c r="AF728" s="48">
        <f t="shared" si="47"/>
        <v>2.1981669706614415</v>
      </c>
      <c r="AG728" s="49"/>
      <c r="AH728" s="49"/>
      <c r="AI728" s="51"/>
    </row>
    <row r="729" spans="1:35" x14ac:dyDescent="0.3">
      <c r="A729" s="20">
        <v>43087</v>
      </c>
      <c r="C729">
        <f>-(Historical_Simulation!B730-Historical_Simulation!B731)</f>
        <v>-0.61249999999999716</v>
      </c>
      <c r="E729">
        <f>-(Historical_Simulation!C730-Historical_Simulation!C731)</f>
        <v>-11.439999999999827</v>
      </c>
      <c r="G729">
        <f>-(Historical_Simulation!D730-Historical_Simulation!D731)</f>
        <v>-0.63999999999998636</v>
      </c>
      <c r="J729" s="23">
        <v>43089</v>
      </c>
      <c r="K729" s="24">
        <f t="shared" si="44"/>
        <v>5.286556244398958</v>
      </c>
      <c r="L729" s="25"/>
      <c r="M729" s="25"/>
      <c r="N729" s="27"/>
      <c r="Q729" s="23">
        <v>43089</v>
      </c>
      <c r="R729" s="24">
        <f t="shared" si="45"/>
        <v>3.6386917826617329</v>
      </c>
      <c r="S729" s="25"/>
      <c r="T729" s="25"/>
      <c r="U729" s="27"/>
      <c r="X729" s="47">
        <v>43089</v>
      </c>
      <c r="Y729" s="48">
        <f t="shared" si="46"/>
        <v>8.85831785697032</v>
      </c>
      <c r="Z729" s="49"/>
      <c r="AA729" s="49"/>
      <c r="AB729" s="51"/>
      <c r="AE729" s="47">
        <v>43089</v>
      </c>
      <c r="AF729" s="48">
        <f t="shared" si="47"/>
        <v>6.1897810931655313</v>
      </c>
      <c r="AG729" s="49"/>
      <c r="AH729" s="49"/>
      <c r="AI729" s="51"/>
    </row>
    <row r="730" spans="1:35" x14ac:dyDescent="0.3">
      <c r="A730" s="20">
        <v>43084</v>
      </c>
      <c r="C730">
        <f>-(Historical_Simulation!B731-Historical_Simulation!B732)</f>
        <v>-0.4375</v>
      </c>
      <c r="E730">
        <f>-(Historical_Simulation!C731-Historical_Simulation!C732)</f>
        <v>-4.8800000000001091</v>
      </c>
      <c r="G730">
        <f>-(Historical_Simulation!D731-Historical_Simulation!D732)</f>
        <v>-1.7900000000000205</v>
      </c>
      <c r="J730" s="23">
        <v>43088</v>
      </c>
      <c r="K730" s="24">
        <f t="shared" si="44"/>
        <v>1.9425995930201159</v>
      </c>
      <c r="L730" s="25"/>
      <c r="M730" s="25"/>
      <c r="N730" s="27"/>
      <c r="Q730" s="23">
        <v>43088</v>
      </c>
      <c r="R730" s="24">
        <f t="shared" si="45"/>
        <v>1.479416068639964</v>
      </c>
      <c r="S730" s="25"/>
      <c r="T730" s="25"/>
      <c r="U730" s="27"/>
      <c r="X730" s="47">
        <v>43088</v>
      </c>
      <c r="Y730" s="48">
        <f t="shared" si="46"/>
        <v>5.1765736088108572</v>
      </c>
      <c r="Z730" s="49"/>
      <c r="AA730" s="49"/>
      <c r="AB730" s="51"/>
      <c r="AE730" s="47">
        <v>43088</v>
      </c>
      <c r="AF730" s="48">
        <f t="shared" si="47"/>
        <v>3.7510913311663274</v>
      </c>
      <c r="AG730" s="49"/>
      <c r="AH730" s="49"/>
      <c r="AI730" s="51"/>
    </row>
    <row r="731" spans="1:35" x14ac:dyDescent="0.3">
      <c r="A731" s="20">
        <v>43083</v>
      </c>
      <c r="C731">
        <f>-(Historical_Simulation!B732-Historical_Simulation!B733)</f>
        <v>1.2500000000002842E-2</v>
      </c>
      <c r="E731">
        <f>-(Historical_Simulation!C732-Historical_Simulation!C733)</f>
        <v>-10.129999999999882</v>
      </c>
      <c r="G731">
        <f>-(Historical_Simulation!D732-Historical_Simulation!D733)</f>
        <v>-8.9999999999974989E-2</v>
      </c>
      <c r="J731" s="23">
        <v>43087</v>
      </c>
      <c r="K731" s="24">
        <f t="shared" si="44"/>
        <v>-6.4530025983245842</v>
      </c>
      <c r="L731" s="25"/>
      <c r="M731" s="25"/>
      <c r="N731" s="27"/>
      <c r="Q731" s="23">
        <v>43087</v>
      </c>
      <c r="R731" s="24">
        <f t="shared" si="45"/>
        <v>-4.6159624480585233</v>
      </c>
      <c r="S731" s="25"/>
      <c r="T731" s="25"/>
      <c r="U731" s="27"/>
      <c r="X731" s="47">
        <v>43087</v>
      </c>
      <c r="Y731" s="48">
        <f t="shared" si="46"/>
        <v>-0.76658425505029193</v>
      </c>
      <c r="Z731" s="49"/>
      <c r="AA731" s="49"/>
      <c r="AB731" s="51"/>
      <c r="AE731" s="47">
        <v>43087</v>
      </c>
      <c r="AF731" s="48">
        <f t="shared" si="47"/>
        <v>-0.71991668048456647</v>
      </c>
      <c r="AG731" s="49"/>
      <c r="AH731" s="49"/>
      <c r="AI731" s="51"/>
    </row>
    <row r="732" spans="1:35" x14ac:dyDescent="0.3">
      <c r="A732" s="20">
        <v>43082</v>
      </c>
      <c r="C732">
        <f>-(Historical_Simulation!B733-Historical_Simulation!B734)</f>
        <v>-0.1425000000000054</v>
      </c>
      <c r="E732">
        <f>-(Historical_Simulation!C733-Historical_Simulation!C734)</f>
        <v>0.9499999999998181</v>
      </c>
      <c r="G732">
        <f>-(Historical_Simulation!D733-Historical_Simulation!D734)</f>
        <v>-1.3400000000000034</v>
      </c>
      <c r="J732" s="23">
        <v>43084</v>
      </c>
      <c r="K732" s="24">
        <f t="shared" si="44"/>
        <v>-2.833845674722514</v>
      </c>
      <c r="L732" s="25"/>
      <c r="M732" s="25"/>
      <c r="N732" s="27"/>
      <c r="Q732" s="23">
        <v>43084</v>
      </c>
      <c r="R732" s="24">
        <f t="shared" si="45"/>
        <v>-2.0801120457631694</v>
      </c>
      <c r="S732" s="25"/>
      <c r="T732" s="25"/>
      <c r="U732" s="27"/>
      <c r="X732" s="47">
        <v>43084</v>
      </c>
      <c r="Y732" s="48">
        <f t="shared" si="46"/>
        <v>-8.0156438165675681</v>
      </c>
      <c r="Z732" s="49"/>
      <c r="AA732" s="49"/>
      <c r="AB732" s="51"/>
      <c r="AE732" s="47">
        <v>43084</v>
      </c>
      <c r="AF732" s="48">
        <f t="shared" si="47"/>
        <v>-5.7204476492886993</v>
      </c>
      <c r="AG732" s="49"/>
      <c r="AH732" s="49"/>
      <c r="AI732" s="51"/>
    </row>
    <row r="733" spans="1:35" x14ac:dyDescent="0.3">
      <c r="A733" s="20">
        <v>43081</v>
      </c>
      <c r="C733">
        <f>-(Historical_Simulation!B734-Historical_Simulation!B735)</f>
        <v>0.24249999999999972</v>
      </c>
      <c r="E733">
        <f>-(Historical_Simulation!C734-Historical_Simulation!C735)</f>
        <v>3.8400000000001455</v>
      </c>
      <c r="G733">
        <f>-(Historical_Simulation!D734-Historical_Simulation!D735)</f>
        <v>2.0799999999999841</v>
      </c>
      <c r="J733" s="23">
        <v>43083</v>
      </c>
      <c r="K733" s="24">
        <f t="shared" si="44"/>
        <v>-5.458504165643717</v>
      </c>
      <c r="L733" s="25"/>
      <c r="M733" s="25"/>
      <c r="N733" s="27"/>
      <c r="Q733" s="23">
        <v>43083</v>
      </c>
      <c r="R733" s="24">
        <f t="shared" si="45"/>
        <v>-3.7376840572093042</v>
      </c>
      <c r="S733" s="25"/>
      <c r="T733" s="25"/>
      <c r="U733" s="27"/>
      <c r="X733" s="47">
        <v>43083</v>
      </c>
      <c r="Y733" s="48">
        <f t="shared" si="46"/>
        <v>-0.56181404155119563</v>
      </c>
      <c r="Z733" s="49"/>
      <c r="AA733" s="49"/>
      <c r="AB733" s="51"/>
      <c r="AE733" s="47">
        <v>43083</v>
      </c>
      <c r="AF733" s="48">
        <f t="shared" si="47"/>
        <v>-0.38787126362437163</v>
      </c>
      <c r="AG733" s="49"/>
      <c r="AH733" s="49"/>
      <c r="AI733" s="51"/>
    </row>
    <row r="734" spans="1:35" x14ac:dyDescent="0.3">
      <c r="A734" s="20">
        <v>43080</v>
      </c>
      <c r="C734">
        <f>-(Historical_Simulation!B735-Historical_Simulation!B736)</f>
        <v>-0.82499999999999574</v>
      </c>
      <c r="E734">
        <f>-(Historical_Simulation!C735-Historical_Simulation!C736)</f>
        <v>-6.9200000000000728</v>
      </c>
      <c r="G734">
        <f>-(Historical_Simulation!D735-Historical_Simulation!D736)</f>
        <v>-3.9999999999992042E-2</v>
      </c>
      <c r="J734" s="23">
        <v>43082</v>
      </c>
      <c r="K734" s="24">
        <f t="shared" si="44"/>
        <v>0.44680954409315382</v>
      </c>
      <c r="L734" s="25"/>
      <c r="M734" s="25"/>
      <c r="N734" s="27"/>
      <c r="Q734" s="23">
        <v>43082</v>
      </c>
      <c r="R734" s="24">
        <f t="shared" si="45"/>
        <v>0.26145130219378832</v>
      </c>
      <c r="S734" s="25"/>
      <c r="T734" s="25"/>
      <c r="U734" s="27"/>
      <c r="X734" s="47">
        <v>43082</v>
      </c>
      <c r="Y734" s="48">
        <f t="shared" si="46"/>
        <v>-6.852168924465448</v>
      </c>
      <c r="Z734" s="49"/>
      <c r="AA734" s="49"/>
      <c r="AB734" s="51"/>
      <c r="AE734" s="47">
        <v>43082</v>
      </c>
      <c r="AF734" s="48">
        <f t="shared" si="47"/>
        <v>-4.8200081774662618</v>
      </c>
      <c r="AG734" s="49"/>
      <c r="AH734" s="49"/>
      <c r="AI734" s="51"/>
    </row>
    <row r="735" spans="1:35" x14ac:dyDescent="0.3">
      <c r="A735" s="20">
        <v>43077</v>
      </c>
      <c r="C735">
        <f>-(Historical_Simulation!B736-Historical_Simulation!B737)</f>
        <v>-1.2500000000002842E-2</v>
      </c>
      <c r="E735">
        <f>-(Historical_Simulation!C736-Historical_Simulation!C737)</f>
        <v>-2.2100000000000364</v>
      </c>
      <c r="G735">
        <f>-(Historical_Simulation!D736-Historical_Simulation!D737)</f>
        <v>1.1399999999999864</v>
      </c>
      <c r="J735" s="23">
        <v>43081</v>
      </c>
      <c r="K735" s="24">
        <f t="shared" si="44"/>
        <v>2.1830410387877057</v>
      </c>
      <c r="L735" s="25"/>
      <c r="M735" s="25"/>
      <c r="N735" s="27"/>
      <c r="Q735" s="23">
        <v>43081</v>
      </c>
      <c r="R735" s="24">
        <f t="shared" si="45"/>
        <v>1.5726737388031728</v>
      </c>
      <c r="S735" s="25"/>
      <c r="T735" s="25"/>
      <c r="U735" s="27"/>
      <c r="X735" s="47">
        <v>43081</v>
      </c>
      <c r="Y735" s="48">
        <f t="shared" si="46"/>
        <v>10.538129769273624</v>
      </c>
      <c r="Z735" s="49"/>
      <c r="AA735" s="49"/>
      <c r="AB735" s="51"/>
      <c r="AE735" s="47">
        <v>43081</v>
      </c>
      <c r="AF735" s="48">
        <f t="shared" si="47"/>
        <v>7.4198872869262527</v>
      </c>
      <c r="AG735" s="49"/>
      <c r="AH735" s="49"/>
      <c r="AI735" s="51"/>
    </row>
    <row r="736" spans="1:35" x14ac:dyDescent="0.3">
      <c r="A736" s="20">
        <v>43076</v>
      </c>
      <c r="C736">
        <f>-(Historical_Simulation!B737-Historical_Simulation!B738)</f>
        <v>-7.7500000000000568E-2</v>
      </c>
      <c r="E736">
        <f>-(Historical_Simulation!C737-Historical_Simulation!C738)</f>
        <v>-7.4400000000000546</v>
      </c>
      <c r="G736">
        <f>-(Historical_Simulation!D737-Historical_Simulation!D738)</f>
        <v>-4.0799999999999841</v>
      </c>
      <c r="J736" s="23">
        <v>43080</v>
      </c>
      <c r="K736" s="24">
        <f t="shared" si="44"/>
        <v>-4.1127269302045093</v>
      </c>
      <c r="L736" s="25"/>
      <c r="M736" s="25"/>
      <c r="N736" s="27"/>
      <c r="Q736" s="23">
        <v>43080</v>
      </c>
      <c r="R736" s="24">
        <f t="shared" si="45"/>
        <v>-3.0786230543447113</v>
      </c>
      <c r="S736" s="25"/>
      <c r="T736" s="25"/>
      <c r="U736" s="27"/>
      <c r="X736" s="47">
        <v>43080</v>
      </c>
      <c r="Y736" s="48">
        <f t="shared" si="46"/>
        <v>3.5734050987101549</v>
      </c>
      <c r="Z736" s="49"/>
      <c r="AA736" s="49"/>
      <c r="AB736" s="51"/>
      <c r="AE736" s="47">
        <v>43080</v>
      </c>
      <c r="AF736" s="48">
        <f t="shared" si="47"/>
        <v>2.2412579701971107</v>
      </c>
      <c r="AG736" s="49"/>
      <c r="AH736" s="49"/>
      <c r="AI736" s="51"/>
    </row>
    <row r="737" spans="1:35" x14ac:dyDescent="0.3">
      <c r="A737" s="20">
        <v>43075</v>
      </c>
      <c r="C737">
        <f>-(Historical_Simulation!B738-Historical_Simulation!B739)</f>
        <v>0.15749999999999886</v>
      </c>
      <c r="E737">
        <f>-(Historical_Simulation!C738-Historical_Simulation!C739)</f>
        <v>-10.779999999999973</v>
      </c>
      <c r="G737">
        <f>-(Historical_Simulation!D738-Historical_Simulation!D739)</f>
        <v>-3.2299999999999898</v>
      </c>
      <c r="J737" s="23">
        <v>43077</v>
      </c>
      <c r="K737" s="24">
        <f t="shared" si="44"/>
        <v>-1.1978617603157431</v>
      </c>
      <c r="L737" s="25"/>
      <c r="M737" s="25"/>
      <c r="N737" s="27"/>
      <c r="Q737" s="23">
        <v>43077</v>
      </c>
      <c r="R737" s="24">
        <f t="shared" si="45"/>
        <v>-0.82502447283388713</v>
      </c>
      <c r="S737" s="25"/>
      <c r="T737" s="25"/>
      <c r="U737" s="27"/>
      <c r="X737" s="47">
        <v>43077</v>
      </c>
      <c r="Y737" s="48">
        <f t="shared" si="46"/>
        <v>6.4450310525648096</v>
      </c>
      <c r="Z737" s="49"/>
      <c r="AA737" s="49"/>
      <c r="AB737" s="51"/>
      <c r="AE737" s="47">
        <v>43077</v>
      </c>
      <c r="AF737" s="48">
        <f t="shared" si="47"/>
        <v>4.4892354275823099</v>
      </c>
      <c r="AG737" s="49"/>
      <c r="AH737" s="49"/>
      <c r="AI737" s="51"/>
    </row>
    <row r="738" spans="1:35" x14ac:dyDescent="0.3">
      <c r="A738" s="20">
        <v>43074</v>
      </c>
      <c r="C738">
        <f>-(Historical_Simulation!B739-Historical_Simulation!B740)</f>
        <v>4.0000000000006253E-2</v>
      </c>
      <c r="E738">
        <f>-(Historical_Simulation!C739-Historical_Simulation!C740)</f>
        <v>-7.6199999999998909</v>
      </c>
      <c r="G738">
        <f>-(Historical_Simulation!D739-Historical_Simulation!D740)</f>
        <v>-1.3600000000000136</v>
      </c>
      <c r="J738" s="23">
        <v>43076</v>
      </c>
      <c r="K738" s="24">
        <f t="shared" si="44"/>
        <v>-4.0489338841067442</v>
      </c>
      <c r="L738" s="25"/>
      <c r="M738" s="25"/>
      <c r="N738" s="27"/>
      <c r="Q738" s="23">
        <v>43076</v>
      </c>
      <c r="R738" s="24">
        <f t="shared" si="45"/>
        <v>-2.7997805147847221</v>
      </c>
      <c r="S738" s="25"/>
      <c r="T738" s="25"/>
      <c r="U738" s="27"/>
      <c r="X738" s="47">
        <v>43076</v>
      </c>
      <c r="Y738" s="48">
        <f t="shared" si="46"/>
        <v>-22.503762939601557</v>
      </c>
      <c r="Z738" s="49"/>
      <c r="AA738" s="49"/>
      <c r="AB738" s="51"/>
      <c r="AE738" s="47">
        <v>43076</v>
      </c>
      <c r="AF738" s="48">
        <f t="shared" si="47"/>
        <v>-15.711509586896574</v>
      </c>
      <c r="AG738" s="49"/>
      <c r="AH738" s="49"/>
      <c r="AI738" s="51"/>
    </row>
    <row r="739" spans="1:35" x14ac:dyDescent="0.3">
      <c r="A739" s="20">
        <v>43073</v>
      </c>
      <c r="C739">
        <f>-(Historical_Simulation!B740-Historical_Simulation!B741)</f>
        <v>0.3125</v>
      </c>
      <c r="E739">
        <f>-(Historical_Simulation!C740-Historical_Simulation!C741)</f>
        <v>28.399999999999864</v>
      </c>
      <c r="G739">
        <f>-(Historical_Simulation!D740-Historical_Simulation!D741)</f>
        <v>3.6299999999999955</v>
      </c>
      <c r="J739" s="23">
        <v>43075</v>
      </c>
      <c r="K739" s="24">
        <f t="shared" si="44"/>
        <v>-5.7423381130617432</v>
      </c>
      <c r="L739" s="25"/>
      <c r="M739" s="25"/>
      <c r="N739" s="27"/>
      <c r="Q739" s="23">
        <v>43075</v>
      </c>
      <c r="R739" s="24">
        <f t="shared" si="45"/>
        <v>-3.8866348903847343</v>
      </c>
      <c r="S739" s="25"/>
      <c r="T739" s="25"/>
      <c r="U739" s="27"/>
      <c r="X739" s="47">
        <v>43075</v>
      </c>
      <c r="Y739" s="48">
        <f t="shared" si="46"/>
        <v>-18.822878690293649</v>
      </c>
      <c r="Z739" s="49"/>
      <c r="AA739" s="49"/>
      <c r="AB739" s="51"/>
      <c r="AE739" s="47">
        <v>43075</v>
      </c>
      <c r="AF739" s="48">
        <f t="shared" si="47"/>
        <v>-13.074282005149829</v>
      </c>
      <c r="AG739" s="49"/>
      <c r="AH739" s="49"/>
      <c r="AI739" s="51"/>
    </row>
    <row r="740" spans="1:35" x14ac:dyDescent="0.3">
      <c r="A740" s="20">
        <v>43070</v>
      </c>
      <c r="C740">
        <f>-(Historical_Simulation!B741-Historical_Simulation!B742)</f>
        <v>0.19999999999999574</v>
      </c>
      <c r="E740">
        <f>-(Historical_Simulation!C741-Historical_Simulation!C742)</f>
        <v>14.400000000000091</v>
      </c>
      <c r="G740">
        <f>-(Historical_Simulation!D741-Historical_Simulation!D742)</f>
        <v>2.0800000000000125</v>
      </c>
      <c r="J740" s="23">
        <v>43074</v>
      </c>
      <c r="K740" s="24">
        <f t="shared" si="44"/>
        <v>-4.0919094807819318</v>
      </c>
      <c r="L740" s="25"/>
      <c r="M740" s="25"/>
      <c r="N740" s="27"/>
      <c r="Q740" s="23">
        <v>43074</v>
      </c>
      <c r="R740" s="24">
        <f t="shared" si="45"/>
        <v>-2.7922809838031228</v>
      </c>
      <c r="S740" s="25"/>
      <c r="T740" s="25"/>
      <c r="U740" s="27"/>
      <c r="X740" s="47">
        <v>43074</v>
      </c>
      <c r="Y740" s="48">
        <f t="shared" si="46"/>
        <v>-7.8042893480181714</v>
      </c>
      <c r="Z740" s="49"/>
      <c r="AA740" s="49"/>
      <c r="AB740" s="51"/>
      <c r="AE740" s="47">
        <v>43074</v>
      </c>
      <c r="AF740" s="48">
        <f t="shared" si="47"/>
        <v>-5.428485551943929</v>
      </c>
      <c r="AG740" s="49"/>
      <c r="AH740" s="49"/>
      <c r="AI740" s="51"/>
    </row>
    <row r="741" spans="1:35" x14ac:dyDescent="0.3">
      <c r="A741" s="20">
        <v>43069</v>
      </c>
      <c r="C741">
        <f>-(Historical_Simulation!B742-Historical_Simulation!B743)</f>
        <v>-0.59250000000000114</v>
      </c>
      <c r="E741">
        <f>-(Historical_Simulation!C742-Historical_Simulation!C743)</f>
        <v>-15.480000000000018</v>
      </c>
      <c r="G741">
        <f>-(Historical_Simulation!D742-Historical_Simulation!D743)</f>
        <v>-2.0500000000000114</v>
      </c>
      <c r="J741" s="23">
        <v>43073</v>
      </c>
      <c r="K741" s="24">
        <f t="shared" si="44"/>
        <v>15.463284274342518</v>
      </c>
      <c r="L741" s="25"/>
      <c r="M741" s="25"/>
      <c r="N741" s="27"/>
      <c r="Q741" s="23">
        <v>43073</v>
      </c>
      <c r="R741" s="24">
        <f t="shared" si="45"/>
        <v>10.697838398507971</v>
      </c>
      <c r="S741" s="25"/>
      <c r="T741" s="25"/>
      <c r="U741" s="27"/>
      <c r="X741" s="47">
        <v>43073</v>
      </c>
      <c r="Y741" s="48">
        <f t="shared" si="46"/>
        <v>18.900664222892786</v>
      </c>
      <c r="Z741" s="49"/>
      <c r="AA741" s="49"/>
      <c r="AB741" s="51"/>
      <c r="AE741" s="47">
        <v>43073</v>
      </c>
      <c r="AF741" s="48">
        <f t="shared" si="47"/>
        <v>13.270857727552661</v>
      </c>
      <c r="AG741" s="49"/>
      <c r="AH741" s="49"/>
      <c r="AI741" s="51"/>
    </row>
    <row r="742" spans="1:35" x14ac:dyDescent="0.3">
      <c r="A742" s="20">
        <v>43068</v>
      </c>
      <c r="C742">
        <f>-(Historical_Simulation!B743-Historical_Simulation!B744)</f>
        <v>0.89750000000000085</v>
      </c>
      <c r="E742">
        <f>-(Historical_Simulation!C743-Historical_Simulation!C744)</f>
        <v>32.329999999999927</v>
      </c>
      <c r="G742">
        <f>-(Historical_Simulation!D743-Historical_Simulation!D744)</f>
        <v>7.289999999999992</v>
      </c>
      <c r="J742" s="23">
        <v>43070</v>
      </c>
      <c r="K742" s="24">
        <f t="shared" si="44"/>
        <v>7.8596755387865107</v>
      </c>
      <c r="L742" s="25"/>
      <c r="M742" s="25"/>
      <c r="N742" s="27"/>
      <c r="Q742" s="23">
        <v>43070</v>
      </c>
      <c r="R742" s="24">
        <f t="shared" si="45"/>
        <v>5.4504425548309658</v>
      </c>
      <c r="S742" s="25"/>
      <c r="T742" s="25"/>
      <c r="U742" s="27"/>
      <c r="X742" s="47">
        <v>43070</v>
      </c>
      <c r="Y742" s="48">
        <f t="shared" si="46"/>
        <v>10.733759981624351</v>
      </c>
      <c r="Z742" s="49"/>
      <c r="AA742" s="49"/>
      <c r="AB742" s="51"/>
      <c r="AE742" s="47">
        <v>43070</v>
      </c>
      <c r="AF742" s="48">
        <f t="shared" si="47"/>
        <v>7.543394884038956</v>
      </c>
      <c r="AG742" s="49"/>
      <c r="AH742" s="49"/>
      <c r="AI742" s="51"/>
    </row>
    <row r="743" spans="1:35" x14ac:dyDescent="0.3">
      <c r="A743" s="20">
        <v>43067</v>
      </c>
      <c r="C743">
        <f>-(Historical_Simulation!B744-Historical_Simulation!B745)</f>
        <v>0.25500000000000256</v>
      </c>
      <c r="E743">
        <f>-(Historical_Simulation!C744-Historical_Simulation!C745)</f>
        <v>2.2300000000000182</v>
      </c>
      <c r="G743">
        <f>-(Historical_Simulation!D744-Historical_Simulation!D745)</f>
        <v>0.61000000000001364</v>
      </c>
      <c r="J743" s="23">
        <v>43069</v>
      </c>
      <c r="K743" s="24">
        <f t="shared" si="44"/>
        <v>-8.6230225058932142</v>
      </c>
      <c r="L743" s="25"/>
      <c r="M743" s="25"/>
      <c r="N743" s="27"/>
      <c r="Q743" s="23">
        <v>43069</v>
      </c>
      <c r="R743" s="24">
        <f t="shared" si="45"/>
        <v>-6.097145319369413</v>
      </c>
      <c r="S743" s="25"/>
      <c r="T743" s="25"/>
      <c r="U743" s="27"/>
      <c r="X743" s="47">
        <v>43069</v>
      </c>
      <c r="Y743" s="48">
        <f t="shared" si="46"/>
        <v>-8.7589655176688659</v>
      </c>
      <c r="Z743" s="49"/>
      <c r="AA743" s="49"/>
      <c r="AB743" s="51"/>
      <c r="AE743" s="47">
        <v>43069</v>
      </c>
      <c r="AF743" s="48">
        <f t="shared" si="47"/>
        <v>-6.2855840656844499</v>
      </c>
      <c r="AG743" s="49"/>
      <c r="AH743" s="49"/>
      <c r="AI743" s="51"/>
    </row>
    <row r="744" spans="1:35" x14ac:dyDescent="0.3">
      <c r="A744" s="20">
        <v>43066</v>
      </c>
      <c r="C744">
        <f>-(Historical_Simulation!B745-Historical_Simulation!B746)</f>
        <v>0.21999999999999886</v>
      </c>
      <c r="E744">
        <f>-(Historical_Simulation!C745-Historical_Simulation!C746)</f>
        <v>-9.8299999999999272</v>
      </c>
      <c r="G744">
        <f>-(Historical_Simulation!D745-Historical_Simulation!D746)</f>
        <v>-0.25</v>
      </c>
      <c r="J744" s="23">
        <v>43068</v>
      </c>
      <c r="K744" s="24">
        <f t="shared" si="44"/>
        <v>17.852623336120072</v>
      </c>
      <c r="L744" s="25"/>
      <c r="M744" s="25"/>
      <c r="N744" s="27"/>
      <c r="Q744" s="23">
        <v>43068</v>
      </c>
      <c r="R744" s="24">
        <f t="shared" si="45"/>
        <v>12.519650394698804</v>
      </c>
      <c r="S744" s="25"/>
      <c r="T744" s="25"/>
      <c r="U744" s="27"/>
      <c r="X744" s="47">
        <v>43068</v>
      </c>
      <c r="Y744" s="48">
        <f t="shared" si="46"/>
        <v>36.715085469432438</v>
      </c>
      <c r="Z744" s="49"/>
      <c r="AA744" s="49"/>
      <c r="AB744" s="51"/>
      <c r="AE744" s="47">
        <v>43068</v>
      </c>
      <c r="AF744" s="48">
        <f t="shared" si="47"/>
        <v>25.866995636286479</v>
      </c>
      <c r="AG744" s="49"/>
      <c r="AH744" s="49"/>
      <c r="AI744" s="51"/>
    </row>
    <row r="745" spans="1:35" x14ac:dyDescent="0.3">
      <c r="A745" s="20">
        <v>43063</v>
      </c>
      <c r="C745">
        <f>-(Historical_Simulation!B746-Historical_Simulation!B747)</f>
        <v>-2.4999999999977263E-3</v>
      </c>
      <c r="E745">
        <f>-(Historical_Simulation!C746-Historical_Simulation!C747)</f>
        <v>-29.839999999999918</v>
      </c>
      <c r="G745">
        <f>-(Historical_Simulation!D746-Historical_Simulation!D747)</f>
        <v>-1.9099999999999966</v>
      </c>
      <c r="J745" s="23">
        <v>43067</v>
      </c>
      <c r="K745" s="24">
        <f t="shared" si="44"/>
        <v>1.320342196415734</v>
      </c>
      <c r="L745" s="25"/>
      <c r="M745" s="25"/>
      <c r="N745" s="27"/>
      <c r="Q745" s="23">
        <v>43067</v>
      </c>
      <c r="R745" s="24">
        <f t="shared" si="45"/>
        <v>0.98525521449233922</v>
      </c>
      <c r="S745" s="25"/>
      <c r="T745" s="25"/>
      <c r="U745" s="27"/>
      <c r="X745" s="47">
        <v>43067</v>
      </c>
      <c r="Y745" s="48">
        <f t="shared" si="46"/>
        <v>2.2440876561046457</v>
      </c>
      <c r="Z745" s="49"/>
      <c r="AA745" s="49"/>
      <c r="AB745" s="51"/>
      <c r="AE745" s="47">
        <v>43067</v>
      </c>
      <c r="AF745" s="48">
        <f t="shared" si="47"/>
        <v>1.6416516935286669</v>
      </c>
      <c r="AG745" s="49"/>
      <c r="AH745" s="49"/>
      <c r="AI745" s="51"/>
    </row>
    <row r="746" spans="1:35" x14ac:dyDescent="0.3">
      <c r="A746" s="20">
        <v>43062</v>
      </c>
      <c r="C746">
        <f>-(Historical_Simulation!B747-Historical_Simulation!B748)</f>
        <v>0</v>
      </c>
      <c r="E746">
        <f>-(Historical_Simulation!C747-Historical_Simulation!C748)</f>
        <v>0</v>
      </c>
      <c r="G746">
        <f>-(Historical_Simulation!D747-Historical_Simulation!D748)</f>
        <v>0</v>
      </c>
      <c r="J746" s="23">
        <v>43066</v>
      </c>
      <c r="K746" s="24">
        <f t="shared" si="44"/>
        <v>-5.2011083918875638</v>
      </c>
      <c r="L746" s="25"/>
      <c r="M746" s="25"/>
      <c r="N746" s="27"/>
      <c r="Q746" s="23">
        <v>43066</v>
      </c>
      <c r="R746" s="24">
        <f t="shared" si="45"/>
        <v>-3.4959822307077837</v>
      </c>
      <c r="S746" s="25"/>
      <c r="T746" s="25"/>
      <c r="U746" s="27"/>
      <c r="X746" s="47">
        <v>43066</v>
      </c>
      <c r="Y746" s="48">
        <f t="shared" si="46"/>
        <v>-2.4134399954060601</v>
      </c>
      <c r="Z746" s="49"/>
      <c r="AA746" s="49"/>
      <c r="AB746" s="51"/>
      <c r="AE746" s="47">
        <v>43066</v>
      </c>
      <c r="AF746" s="48">
        <f t="shared" si="47"/>
        <v>-1.6158487210097205</v>
      </c>
      <c r="AG746" s="49"/>
      <c r="AH746" s="49"/>
      <c r="AI746" s="51"/>
    </row>
    <row r="747" spans="1:35" x14ac:dyDescent="0.3">
      <c r="A747" s="20">
        <v>43061</v>
      </c>
      <c r="C747">
        <f>-(Historical_Simulation!B748-Historical_Simulation!B749)</f>
        <v>-0.4550000000000054</v>
      </c>
      <c r="E747">
        <f>-(Historical_Simulation!C748-Historical_Simulation!C749)</f>
        <v>-16.670000000000073</v>
      </c>
      <c r="G747">
        <f>-(Historical_Simulation!D748-Historical_Simulation!D749)</f>
        <v>0.99000000000000909</v>
      </c>
      <c r="J747" s="23">
        <v>43063</v>
      </c>
      <c r="K747" s="24">
        <f t="shared" si="44"/>
        <v>-16.097258372432428</v>
      </c>
      <c r="L747" s="25"/>
      <c r="M747" s="25"/>
      <c r="N747" s="27"/>
      <c r="Q747" s="23">
        <v>43063</v>
      </c>
      <c r="R747" s="24">
        <f t="shared" si="45"/>
        <v>-11.034899980969548</v>
      </c>
      <c r="S747" s="25"/>
      <c r="T747" s="25"/>
      <c r="U747" s="27"/>
      <c r="X747" s="47">
        <v>43063</v>
      </c>
      <c r="Y747" s="48">
        <f t="shared" si="46"/>
        <v>-10.690344236674607</v>
      </c>
      <c r="Z747" s="49"/>
      <c r="AA747" s="49"/>
      <c r="AB747" s="51"/>
      <c r="AE747" s="47">
        <v>43063</v>
      </c>
      <c r="AF747" s="48">
        <f t="shared" si="47"/>
        <v>-7.4533115645234993</v>
      </c>
      <c r="AG747" s="49"/>
      <c r="AH747" s="49"/>
      <c r="AI747" s="51"/>
    </row>
    <row r="748" spans="1:35" x14ac:dyDescent="0.3">
      <c r="A748" s="20">
        <v>43060</v>
      </c>
      <c r="C748">
        <f>-(Historical_Simulation!B749-Historical_Simulation!B750)</f>
        <v>-0.78999999999999915</v>
      </c>
      <c r="E748">
        <f>-(Historical_Simulation!C749-Historical_Simulation!C750)</f>
        <v>-13.180000000000064</v>
      </c>
      <c r="G748">
        <f>-(Historical_Simulation!D749-Historical_Simulation!D750)</f>
        <v>-3.1200000000000045</v>
      </c>
      <c r="J748" s="23">
        <v>43062</v>
      </c>
      <c r="K748" s="24">
        <f t="shared" si="44"/>
        <v>0</v>
      </c>
      <c r="L748" s="25"/>
      <c r="M748" s="25"/>
      <c r="N748" s="27"/>
      <c r="Q748" s="23">
        <v>43062</v>
      </c>
      <c r="R748" s="24">
        <f t="shared" si="45"/>
        <v>0</v>
      </c>
      <c r="S748" s="25"/>
      <c r="T748" s="25"/>
      <c r="U748" s="27"/>
      <c r="X748" s="47">
        <v>43062</v>
      </c>
      <c r="Y748" s="48">
        <f t="shared" si="46"/>
        <v>0</v>
      </c>
      <c r="Z748" s="49"/>
      <c r="AA748" s="49"/>
      <c r="AB748" s="51"/>
      <c r="AE748" s="47">
        <v>43062</v>
      </c>
      <c r="AF748" s="48">
        <f t="shared" si="47"/>
        <v>0</v>
      </c>
      <c r="AG748" s="49"/>
      <c r="AH748" s="49"/>
      <c r="AI748" s="51"/>
    </row>
    <row r="749" spans="1:35" x14ac:dyDescent="0.3">
      <c r="A749" s="20">
        <v>43059</v>
      </c>
      <c r="C749">
        <f>-(Historical_Simulation!B750-Historical_Simulation!B751)</f>
        <v>4.2500000000003979E-2</v>
      </c>
      <c r="E749">
        <f>-(Historical_Simulation!C750-Historical_Simulation!C751)</f>
        <v>3.5700000000001637</v>
      </c>
      <c r="G749">
        <f>-(Historical_Simulation!D750-Historical_Simulation!D751)</f>
        <v>0.25999999999999091</v>
      </c>
      <c r="J749" s="23">
        <v>43061</v>
      </c>
      <c r="K749" s="24">
        <f t="shared" si="44"/>
        <v>-9.2015942860157107</v>
      </c>
      <c r="L749" s="25"/>
      <c r="M749" s="25"/>
      <c r="N749" s="27"/>
      <c r="Q749" s="23">
        <v>43061</v>
      </c>
      <c r="R749" s="24">
        <f t="shared" si="45"/>
        <v>-6.4504877483509899</v>
      </c>
      <c r="S749" s="25"/>
      <c r="T749" s="25"/>
      <c r="U749" s="27"/>
      <c r="X749" s="47">
        <v>43061</v>
      </c>
      <c r="Y749" s="48">
        <f t="shared" si="46"/>
        <v>7.6414272199187225</v>
      </c>
      <c r="Z749" s="49"/>
      <c r="AA749" s="49"/>
      <c r="AB749" s="51"/>
      <c r="AE749" s="47">
        <v>43061</v>
      </c>
      <c r="AF749" s="48">
        <f t="shared" si="47"/>
        <v>5.1892583018278193</v>
      </c>
      <c r="AG749" s="49"/>
      <c r="AH749" s="49"/>
      <c r="AI749" s="51"/>
    </row>
    <row r="750" spans="1:35" x14ac:dyDescent="0.3">
      <c r="A750" s="20">
        <v>43056</v>
      </c>
      <c r="C750">
        <f>-(Historical_Simulation!B751-Historical_Simulation!B752)</f>
        <v>0.23749999999999716</v>
      </c>
      <c r="E750">
        <f>-(Historical_Simulation!C751-Historical_Simulation!C752)</f>
        <v>7.4099999999998545</v>
      </c>
      <c r="G750">
        <f>-(Historical_Simulation!D751-Historical_Simulation!D752)</f>
        <v>0.59000000000000341</v>
      </c>
      <c r="J750" s="23">
        <v>43060</v>
      </c>
      <c r="K750" s="24">
        <f t="shared" si="44"/>
        <v>-7.4733366144763922</v>
      </c>
      <c r="L750" s="25"/>
      <c r="M750" s="25"/>
      <c r="N750" s="27"/>
      <c r="Q750" s="23">
        <v>43060</v>
      </c>
      <c r="R750" s="24">
        <f t="shared" si="45"/>
        <v>-5.3711960038278601</v>
      </c>
      <c r="S750" s="25"/>
      <c r="T750" s="25"/>
      <c r="U750" s="27"/>
      <c r="X750" s="47">
        <v>43060</v>
      </c>
      <c r="Y750" s="48">
        <f t="shared" si="46"/>
        <v>-13.845138700630097</v>
      </c>
      <c r="Z750" s="49"/>
      <c r="AA750" s="49"/>
      <c r="AB750" s="51"/>
      <c r="AE750" s="47">
        <v>43060</v>
      </c>
      <c r="AF750" s="48">
        <f t="shared" si="47"/>
        <v>-9.891122382878013</v>
      </c>
      <c r="AG750" s="49"/>
      <c r="AH750" s="49"/>
      <c r="AI750" s="51"/>
    </row>
    <row r="751" spans="1:35" x14ac:dyDescent="0.3">
      <c r="A751" s="20">
        <v>43055</v>
      </c>
      <c r="C751">
        <f>-(Historical_Simulation!B752-Historical_Simulation!B753)</f>
        <v>-0.50499999999999545</v>
      </c>
      <c r="E751">
        <f>-(Historical_Simulation!C752-Historical_Simulation!C753)</f>
        <v>-10.599999999999909</v>
      </c>
      <c r="G751">
        <f>-(Historical_Simulation!D752-Historical_Simulation!D753)</f>
        <v>-1.6400000000000148</v>
      </c>
      <c r="J751" s="23">
        <v>43059</v>
      </c>
      <c r="K751" s="24">
        <f t="shared" si="44"/>
        <v>1.945282074864122</v>
      </c>
      <c r="L751" s="25"/>
      <c r="M751" s="25"/>
      <c r="N751" s="27"/>
      <c r="Q751" s="23">
        <v>43059</v>
      </c>
      <c r="R751" s="24">
        <f t="shared" si="45"/>
        <v>1.3467912755047198</v>
      </c>
      <c r="S751" s="25"/>
      <c r="T751" s="25"/>
      <c r="U751" s="27"/>
      <c r="X751" s="47">
        <v>43059</v>
      </c>
      <c r="Y751" s="48">
        <f t="shared" si="46"/>
        <v>1.2611663808527376</v>
      </c>
      <c r="Z751" s="49"/>
      <c r="AA751" s="49"/>
      <c r="AB751" s="51"/>
      <c r="AE751" s="47">
        <v>43059</v>
      </c>
      <c r="AF751" s="48">
        <f t="shared" si="47"/>
        <v>0.89206829110551666</v>
      </c>
      <c r="AG751" s="49"/>
      <c r="AH751" s="49"/>
      <c r="AI751" s="51"/>
    </row>
    <row r="752" spans="1:35" x14ac:dyDescent="0.3">
      <c r="A752" s="20">
        <v>43054</v>
      </c>
      <c r="C752">
        <f>-(Historical_Simulation!B753-Historical_Simulation!B754)</f>
        <v>0.56499999999999773</v>
      </c>
      <c r="E752">
        <f>-(Historical_Simulation!C753-Historical_Simulation!C754)</f>
        <v>10.149999999999864</v>
      </c>
      <c r="G752">
        <f>-(Historical_Simulation!D753-Historical_Simulation!D754)</f>
        <v>0.12000000000000455</v>
      </c>
      <c r="J752" s="23">
        <v>43056</v>
      </c>
      <c r="K752" s="24">
        <f t="shared" si="44"/>
        <v>4.1064452677425907</v>
      </c>
      <c r="L752" s="25"/>
      <c r="M752" s="25"/>
      <c r="N752" s="27"/>
      <c r="Q752" s="23">
        <v>43056</v>
      </c>
      <c r="R752" s="24">
        <f t="shared" si="45"/>
        <v>2.8895281144031055</v>
      </c>
      <c r="S752" s="25"/>
      <c r="T752" s="25"/>
      <c r="U752" s="27"/>
      <c r="X752" s="47">
        <v>43056</v>
      </c>
      <c r="Y752" s="48">
        <f t="shared" si="46"/>
        <v>2.2125799965545809</v>
      </c>
      <c r="Z752" s="49"/>
      <c r="AA752" s="49"/>
      <c r="AB752" s="51"/>
      <c r="AE752" s="47">
        <v>43056</v>
      </c>
      <c r="AF752" s="48">
        <f t="shared" si="47"/>
        <v>1.6143865407573144</v>
      </c>
      <c r="AG752" s="49"/>
      <c r="AH752" s="49"/>
      <c r="AI752" s="51"/>
    </row>
    <row r="753" spans="1:35" x14ac:dyDescent="0.3">
      <c r="A753" s="20">
        <v>43053</v>
      </c>
      <c r="C753">
        <f>-(Historical_Simulation!B754-Historical_Simulation!B755)</f>
        <v>0.65749999999999886</v>
      </c>
      <c r="E753">
        <f>-(Historical_Simulation!C754-Historical_Simulation!C755)</f>
        <v>-7.6699999999998454</v>
      </c>
      <c r="G753">
        <f>-(Historical_Simulation!D754-Historical_Simulation!D755)</f>
        <v>0.70000000000001705</v>
      </c>
      <c r="J753" s="23">
        <v>43055</v>
      </c>
      <c r="K753" s="24">
        <f t="shared" si="44"/>
        <v>-5.95038201155272</v>
      </c>
      <c r="L753" s="25"/>
      <c r="M753" s="25"/>
      <c r="N753" s="27"/>
      <c r="Q753" s="23">
        <v>43055</v>
      </c>
      <c r="R753" s="24">
        <f t="shared" si="45"/>
        <v>-4.2376209571139283</v>
      </c>
      <c r="S753" s="25"/>
      <c r="T753" s="25"/>
      <c r="U753" s="27"/>
      <c r="X753" s="47">
        <v>43055</v>
      </c>
      <c r="Y753" s="48">
        <f t="shared" si="46"/>
        <v>-6.8644774357147504</v>
      </c>
      <c r="Z753" s="49"/>
      <c r="AA753" s="49"/>
      <c r="AB753" s="51"/>
      <c r="AE753" s="47">
        <v>43055</v>
      </c>
      <c r="AF753" s="48">
        <f t="shared" si="47"/>
        <v>-4.9383793581831279</v>
      </c>
      <c r="AG753" s="49"/>
      <c r="AH753" s="49"/>
      <c r="AI753" s="51"/>
    </row>
    <row r="754" spans="1:35" x14ac:dyDescent="0.3">
      <c r="A754" s="20">
        <v>43052</v>
      </c>
      <c r="C754">
        <f>-(Historical_Simulation!B755-Historical_Simulation!B756)</f>
        <v>0.17499999999999716</v>
      </c>
      <c r="E754">
        <f>-(Historical_Simulation!C755-Historical_Simulation!C756)</f>
        <v>-3.8200000000001637</v>
      </c>
      <c r="G754">
        <f>-(Historical_Simulation!D755-Historical_Simulation!D756)</f>
        <v>-0.31000000000000227</v>
      </c>
      <c r="J754" s="23">
        <v>43054</v>
      </c>
      <c r="K754" s="24">
        <f t="shared" si="44"/>
        <v>5.7352809886807892</v>
      </c>
      <c r="L754" s="25"/>
      <c r="M754" s="25"/>
      <c r="N754" s="27"/>
      <c r="Q754" s="23">
        <v>43054</v>
      </c>
      <c r="R754" s="24">
        <f t="shared" si="45"/>
        <v>4.1090487245108296</v>
      </c>
      <c r="S754" s="25"/>
      <c r="T754" s="25"/>
      <c r="U754" s="27"/>
      <c r="X754" s="47">
        <v>43054</v>
      </c>
      <c r="Y754" s="48">
        <f t="shared" si="46"/>
        <v>-1.9283633999057064</v>
      </c>
      <c r="Z754" s="49"/>
      <c r="AA754" s="49"/>
      <c r="AB754" s="51"/>
      <c r="AE754" s="47">
        <v>43054</v>
      </c>
      <c r="AF754" s="48">
        <f t="shared" si="47"/>
        <v>-1.1731971932964163</v>
      </c>
      <c r="AG754" s="49"/>
      <c r="AH754" s="49"/>
      <c r="AI754" s="51"/>
    </row>
    <row r="755" spans="1:35" x14ac:dyDescent="0.3">
      <c r="A755" s="20">
        <v>43049</v>
      </c>
      <c r="C755">
        <f>-(Historical_Simulation!B756-Historical_Simulation!B757)</f>
        <v>0.30250000000000199</v>
      </c>
      <c r="E755">
        <f>-(Historical_Simulation!C756-Historical_Simulation!C757)</f>
        <v>3.7800000000002001</v>
      </c>
      <c r="G755">
        <f>-(Historical_Simulation!D756-Historical_Simulation!D757)</f>
        <v>0.84000000000000341</v>
      </c>
      <c r="J755" s="23">
        <v>43053</v>
      </c>
      <c r="K755" s="24">
        <f t="shared" si="44"/>
        <v>-3.8344681724819081</v>
      </c>
      <c r="L755" s="25"/>
      <c r="M755" s="25"/>
      <c r="N755" s="27"/>
      <c r="Q755" s="23">
        <v>43053</v>
      </c>
      <c r="R755" s="24">
        <f t="shared" si="45"/>
        <v>-2.4215887588277334</v>
      </c>
      <c r="S755" s="25"/>
      <c r="T755" s="25"/>
      <c r="U755" s="27"/>
      <c r="X755" s="47">
        <v>43053</v>
      </c>
      <c r="Y755" s="48">
        <f t="shared" si="46"/>
        <v>0.89563021235064921</v>
      </c>
      <c r="Z755" s="49"/>
      <c r="AA755" s="49"/>
      <c r="AB755" s="51"/>
      <c r="AE755" s="47">
        <v>43053</v>
      </c>
      <c r="AF755" s="48">
        <f t="shared" si="47"/>
        <v>0.82350759711265131</v>
      </c>
      <c r="AG755" s="49"/>
      <c r="AH755" s="49"/>
      <c r="AI755" s="51"/>
    </row>
    <row r="756" spans="1:35" x14ac:dyDescent="0.3">
      <c r="A756" s="20">
        <v>43048</v>
      </c>
      <c r="C756">
        <f>-(Historical_Simulation!B757-Historical_Simulation!B758)</f>
        <v>9.0000000000003411E-2</v>
      </c>
      <c r="E756">
        <f>-(Historical_Simulation!C757-Historical_Simulation!C758)</f>
        <v>3.75</v>
      </c>
      <c r="G756">
        <f>-(Historical_Simulation!D757-Historical_Simulation!D758)</f>
        <v>0.25999999999999091</v>
      </c>
      <c r="J756" s="23">
        <v>43052</v>
      </c>
      <c r="K756" s="24">
        <f t="shared" si="44"/>
        <v>-1.979958012496704</v>
      </c>
      <c r="L756" s="25"/>
      <c r="M756" s="25"/>
      <c r="N756" s="27"/>
      <c r="Q756" s="23">
        <v>43052</v>
      </c>
      <c r="R756" s="24">
        <f t="shared" si="45"/>
        <v>-1.3021491553908784</v>
      </c>
      <c r="S756" s="25"/>
      <c r="T756" s="25"/>
      <c r="U756" s="27"/>
      <c r="X756" s="47">
        <v>43052</v>
      </c>
      <c r="Y756" s="48">
        <f t="shared" si="46"/>
        <v>-2.5424859527062584</v>
      </c>
      <c r="Z756" s="49"/>
      <c r="AA756" s="49"/>
      <c r="AB756" s="51"/>
      <c r="AE756" s="47">
        <v>43052</v>
      </c>
      <c r="AF756" s="48">
        <f t="shared" si="47"/>
        <v>-1.7194396376376941</v>
      </c>
      <c r="AG756" s="49"/>
      <c r="AH756" s="49"/>
      <c r="AI756" s="51"/>
    </row>
    <row r="757" spans="1:35" x14ac:dyDescent="0.3">
      <c r="A757" s="20">
        <v>43047</v>
      </c>
      <c r="C757">
        <f>-(Historical_Simulation!B758-Historical_Simulation!B759)</f>
        <v>-0.35750000000000171</v>
      </c>
      <c r="E757">
        <f>-(Historical_Simulation!C758-Historical_Simulation!C759)</f>
        <v>-9.7100000000000364</v>
      </c>
      <c r="G757">
        <f>-(Historical_Simulation!D758-Historical_Simulation!D759)</f>
        <v>0.68999999999999773</v>
      </c>
      <c r="J757" s="23">
        <v>43049</v>
      </c>
      <c r="K757" s="24">
        <f t="shared" si="44"/>
        <v>2.1783113863472869</v>
      </c>
      <c r="L757" s="25"/>
      <c r="M757" s="25"/>
      <c r="N757" s="27"/>
      <c r="Q757" s="23">
        <v>43049</v>
      </c>
      <c r="R757" s="24">
        <f t="shared" si="45"/>
        <v>1.5883038017201161</v>
      </c>
      <c r="S757" s="25"/>
      <c r="T757" s="25"/>
      <c r="U757" s="27"/>
      <c r="X757" s="47">
        <v>43049</v>
      </c>
      <c r="Y757" s="48">
        <f t="shared" si="46"/>
        <v>3.3141468032569463</v>
      </c>
      <c r="Z757" s="49"/>
      <c r="AA757" s="49"/>
      <c r="AB757" s="51"/>
      <c r="AE757" s="47">
        <v>43049</v>
      </c>
      <c r="AF757" s="48">
        <f t="shared" si="47"/>
        <v>2.4020078458355956</v>
      </c>
      <c r="AG757" s="49"/>
      <c r="AH757" s="49"/>
      <c r="AI757" s="51"/>
    </row>
    <row r="758" spans="1:35" x14ac:dyDescent="0.3">
      <c r="A758" s="20">
        <v>43046</v>
      </c>
      <c r="C758">
        <f>-(Historical_Simulation!B759-Historical_Simulation!B760)</f>
        <v>-0.14000000000000057</v>
      </c>
      <c r="E758">
        <f>-(Historical_Simulation!C759-Historical_Simulation!C760)</f>
        <v>-2.5099999999999909</v>
      </c>
      <c r="G758">
        <f>-(Historical_Simulation!D759-Historical_Simulation!D760)</f>
        <v>-8.0000000000012506E-2</v>
      </c>
      <c r="J758" s="23">
        <v>43048</v>
      </c>
      <c r="K758" s="24">
        <f t="shared" si="44"/>
        <v>2.0642543994336955</v>
      </c>
      <c r="L758" s="25"/>
      <c r="M758" s="25"/>
      <c r="N758" s="27"/>
      <c r="Q758" s="23">
        <v>43048</v>
      </c>
      <c r="R758" s="24">
        <f t="shared" si="45"/>
        <v>1.443283081033891</v>
      </c>
      <c r="S758" s="25"/>
      <c r="T758" s="25"/>
      <c r="U758" s="27"/>
      <c r="X758" s="47">
        <v>43048</v>
      </c>
      <c r="Y758" s="48">
        <f t="shared" si="46"/>
        <v>1.0425208494021272</v>
      </c>
      <c r="Z758" s="49"/>
      <c r="AA758" s="49"/>
      <c r="AB758" s="51"/>
      <c r="AE758" s="47">
        <v>43048</v>
      </c>
      <c r="AF758" s="48">
        <f t="shared" si="47"/>
        <v>0.75403038845028025</v>
      </c>
      <c r="AG758" s="49"/>
      <c r="AH758" s="49"/>
      <c r="AI758" s="51"/>
    </row>
    <row r="759" spans="1:35" x14ac:dyDescent="0.3">
      <c r="A759" s="20">
        <v>43045</v>
      </c>
      <c r="C759">
        <f>-(Historical_Simulation!B760-Historical_Simulation!B761)</f>
        <v>-0.4375</v>
      </c>
      <c r="E759">
        <f>-(Historical_Simulation!C760-Historical_Simulation!C761)</f>
        <v>-9.0600000000001728</v>
      </c>
      <c r="G759">
        <f>-(Historical_Simulation!D760-Historical_Simulation!D761)</f>
        <v>-1.25</v>
      </c>
      <c r="J759" s="23">
        <v>43047</v>
      </c>
      <c r="K759" s="24">
        <f t="shared" si="44"/>
        <v>-5.4023672870775137</v>
      </c>
      <c r="L759" s="25"/>
      <c r="M759" s="25"/>
      <c r="N759" s="27"/>
      <c r="Q759" s="23">
        <v>43047</v>
      </c>
      <c r="R759" s="24">
        <f t="shared" si="45"/>
        <v>-3.8155819714124317</v>
      </c>
      <c r="S759" s="25"/>
      <c r="T759" s="25"/>
      <c r="U759" s="27"/>
      <c r="X759" s="47">
        <v>43047</v>
      </c>
      <c r="Y759" s="48">
        <f t="shared" si="46"/>
        <v>5.5117093514635123</v>
      </c>
      <c r="Z759" s="49"/>
      <c r="AA759" s="49"/>
      <c r="AB759" s="51"/>
      <c r="AE759" s="47">
        <v>43047</v>
      </c>
      <c r="AF759" s="48">
        <f t="shared" si="47"/>
        <v>3.7340990111865615</v>
      </c>
      <c r="AG759" s="49"/>
      <c r="AH759" s="49"/>
      <c r="AI759" s="51"/>
    </row>
    <row r="760" spans="1:35" x14ac:dyDescent="0.3">
      <c r="A760" s="20">
        <v>43042</v>
      </c>
      <c r="C760">
        <f>-(Historical_Simulation!B761-Historical_Simulation!B762)</f>
        <v>-1.0974999999999966</v>
      </c>
      <c r="E760">
        <f>-(Historical_Simulation!C761-Historical_Simulation!C762)</f>
        <v>-17.379999999999882</v>
      </c>
      <c r="G760">
        <f>-(Historical_Simulation!D761-Historical_Simulation!D762)</f>
        <v>0</v>
      </c>
      <c r="J760" s="23">
        <v>43046</v>
      </c>
      <c r="K760" s="24">
        <f t="shared" si="44"/>
        <v>-1.4184106356988631</v>
      </c>
      <c r="L760" s="25"/>
      <c r="M760" s="25"/>
      <c r="N760" s="27"/>
      <c r="Q760" s="23">
        <v>43046</v>
      </c>
      <c r="R760" s="24">
        <f t="shared" si="45"/>
        <v>-1.0163062573907939</v>
      </c>
      <c r="S760" s="25"/>
      <c r="T760" s="25"/>
      <c r="U760" s="27"/>
      <c r="X760" s="47">
        <v>43046</v>
      </c>
      <c r="Y760" s="48">
        <f t="shared" si="46"/>
        <v>0.19618382920070676</v>
      </c>
      <c r="Z760" s="49"/>
      <c r="AA760" s="49"/>
      <c r="AB760" s="51"/>
      <c r="AE760" s="47">
        <v>43046</v>
      </c>
      <c r="AF760" s="48">
        <f t="shared" si="47"/>
        <v>9.4363666511832422E-2</v>
      </c>
      <c r="AG760" s="49"/>
      <c r="AH760" s="49"/>
      <c r="AI760" s="51"/>
    </row>
    <row r="761" spans="1:35" x14ac:dyDescent="0.3">
      <c r="A761" s="20">
        <v>43041</v>
      </c>
      <c r="C761">
        <f>-(Historical_Simulation!B762-Historical_Simulation!B763)</f>
        <v>-0.30500000000000682</v>
      </c>
      <c r="E761">
        <f>-(Historical_Simulation!C762-Historical_Simulation!C763)</f>
        <v>9.4600000000000364</v>
      </c>
      <c r="G761">
        <f>-(Historical_Simulation!D762-Historical_Simulation!D763)</f>
        <v>3.7400000000000091</v>
      </c>
      <c r="J761" s="23">
        <v>43045</v>
      </c>
      <c r="K761" s="24">
        <f t="shared" si="44"/>
        <v>-5.088595234731522</v>
      </c>
      <c r="L761" s="25"/>
      <c r="M761" s="25"/>
      <c r="N761" s="27"/>
      <c r="Q761" s="23">
        <v>43045</v>
      </c>
      <c r="R761" s="24">
        <f t="shared" si="45"/>
        <v>-3.6256648541570882</v>
      </c>
      <c r="S761" s="25"/>
      <c r="T761" s="25"/>
      <c r="U761" s="27"/>
      <c r="X761" s="47">
        <v>43045</v>
      </c>
      <c r="Y761" s="48">
        <f t="shared" si="46"/>
        <v>-4.9899893537604854</v>
      </c>
      <c r="Z761" s="49"/>
      <c r="AA761" s="49"/>
      <c r="AB761" s="51"/>
      <c r="AE761" s="47">
        <v>43045</v>
      </c>
      <c r="AF761" s="48">
        <f t="shared" si="47"/>
        <v>-3.6111746506817028</v>
      </c>
      <c r="AG761" s="49"/>
      <c r="AH761" s="49"/>
      <c r="AI761" s="51"/>
    </row>
    <row r="762" spans="1:35" x14ac:dyDescent="0.3">
      <c r="A762" s="20">
        <v>43040</v>
      </c>
      <c r="C762">
        <f>-(Historical_Simulation!B763-Historical_Simulation!B764)</f>
        <v>0.53750000000000142</v>
      </c>
      <c r="E762">
        <f>-(Historical_Simulation!C763-Historical_Simulation!C764)</f>
        <v>1.5999999999999091</v>
      </c>
      <c r="G762">
        <f>-(Historical_Simulation!D763-Historical_Simulation!D764)</f>
        <v>-2.5999999999999943</v>
      </c>
      <c r="J762" s="23">
        <v>43042</v>
      </c>
      <c r="K762" s="24">
        <f t="shared" si="44"/>
        <v>-9.8805047155133572</v>
      </c>
      <c r="L762" s="25"/>
      <c r="M762" s="25"/>
      <c r="N762" s="27"/>
      <c r="Q762" s="23">
        <v>43042</v>
      </c>
      <c r="R762" s="24">
        <f t="shared" si="45"/>
        <v>-7.1179458379601446</v>
      </c>
      <c r="S762" s="25"/>
      <c r="T762" s="25"/>
      <c r="U762" s="27"/>
      <c r="X762" s="47">
        <v>43042</v>
      </c>
      <c r="Y762" s="48">
        <f t="shared" si="46"/>
        <v>5.0518625424641472</v>
      </c>
      <c r="Z762" s="49"/>
      <c r="AA762" s="49"/>
      <c r="AB762" s="51"/>
      <c r="AE762" s="47">
        <v>43042</v>
      </c>
      <c r="AF762" s="48">
        <f t="shared" si="47"/>
        <v>3.189402066613122</v>
      </c>
      <c r="AG762" s="49"/>
      <c r="AH762" s="49"/>
      <c r="AI762" s="51"/>
    </row>
    <row r="763" spans="1:35" x14ac:dyDescent="0.3">
      <c r="A763" s="20">
        <v>43039</v>
      </c>
      <c r="C763">
        <f>-(Historical_Simulation!B764-Historical_Simulation!B765)</f>
        <v>-0.57999999999999829</v>
      </c>
      <c r="E763">
        <f>-(Historical_Simulation!C764-Historical_Simulation!C765)</f>
        <v>5.5699999999999363</v>
      </c>
      <c r="G763">
        <f>-(Historical_Simulation!D764-Historical_Simulation!D765)</f>
        <v>-0.18999999999999773</v>
      </c>
      <c r="J763" s="23">
        <v>43041</v>
      </c>
      <c r="K763" s="24">
        <f t="shared" si="44"/>
        <v>4.9623754673415528</v>
      </c>
      <c r="L763" s="25"/>
      <c r="M763" s="25"/>
      <c r="N763" s="27"/>
      <c r="Q763" s="23">
        <v>43041</v>
      </c>
      <c r="R763" s="24">
        <f t="shared" si="45"/>
        <v>3.3056036301355078</v>
      </c>
      <c r="S763" s="25"/>
      <c r="T763" s="25"/>
      <c r="U763" s="27"/>
      <c r="X763" s="47">
        <v>43041</v>
      </c>
      <c r="Y763" s="48">
        <f t="shared" si="46"/>
        <v>22.359393151952279</v>
      </c>
      <c r="Z763" s="49"/>
      <c r="AA763" s="49"/>
      <c r="AB763" s="51"/>
      <c r="AE763" s="47">
        <v>43041</v>
      </c>
      <c r="AF763" s="48">
        <f t="shared" si="47"/>
        <v>15.495017184009274</v>
      </c>
      <c r="AG763" s="49"/>
      <c r="AH763" s="49"/>
      <c r="AI763" s="51"/>
    </row>
    <row r="764" spans="1:35" x14ac:dyDescent="0.3">
      <c r="A764" s="20">
        <v>43038</v>
      </c>
      <c r="C764">
        <f>-(Historical_Simulation!B765-Historical_Simulation!B766)</f>
        <v>-0.91749999999999687</v>
      </c>
      <c r="E764">
        <f>-(Historical_Simulation!C765-Historical_Simulation!C766)</f>
        <v>-9.8999999999998636</v>
      </c>
      <c r="G764">
        <f>-(Historical_Simulation!D765-Historical_Simulation!D766)</f>
        <v>-1.9900000000000091</v>
      </c>
      <c r="J764" s="23">
        <v>43040</v>
      </c>
      <c r="K764" s="24">
        <f t="shared" si="44"/>
        <v>1.1106271309830937</v>
      </c>
      <c r="L764" s="25"/>
      <c r="M764" s="25"/>
      <c r="N764" s="27"/>
      <c r="Q764" s="23">
        <v>43040</v>
      </c>
      <c r="R764" s="24">
        <f t="shared" si="45"/>
        <v>0.93035881792305664</v>
      </c>
      <c r="S764" s="25"/>
      <c r="T764" s="25"/>
      <c r="U764" s="27"/>
      <c r="X764" s="47">
        <v>43040</v>
      </c>
      <c r="Y764" s="48">
        <f t="shared" si="46"/>
        <v>-17.042112735290463</v>
      </c>
      <c r="Z764" s="49"/>
      <c r="AA764" s="49"/>
      <c r="AB764" s="51"/>
      <c r="AE764" s="47">
        <v>43040</v>
      </c>
      <c r="AF764" s="48">
        <f t="shared" si="47"/>
        <v>-11.717766728017022</v>
      </c>
      <c r="AG764" s="49"/>
      <c r="AH764" s="49"/>
      <c r="AI764" s="51"/>
    </row>
    <row r="765" spans="1:35" x14ac:dyDescent="0.3">
      <c r="A765" s="20">
        <v>43035</v>
      </c>
      <c r="C765">
        <f>-(Historical_Simulation!B766-Historical_Simulation!B767)</f>
        <v>-1.4100000000000037</v>
      </c>
      <c r="E765">
        <f>-(Historical_Simulation!C766-Historical_Simulation!C767)</f>
        <v>-128.52010000000007</v>
      </c>
      <c r="G765">
        <f>-(Historical_Simulation!D766-Historical_Simulation!D767)</f>
        <v>-7.25</v>
      </c>
      <c r="J765" s="23">
        <v>43039</v>
      </c>
      <c r="K765" s="24">
        <f t="shared" si="44"/>
        <v>2.7373946875729773</v>
      </c>
      <c r="L765" s="25"/>
      <c r="M765" s="25"/>
      <c r="N765" s="27"/>
      <c r="Q765" s="23">
        <v>43039</v>
      </c>
      <c r="R765" s="24">
        <f t="shared" si="45"/>
        <v>1.6939592755077419</v>
      </c>
      <c r="S765" s="25"/>
      <c r="T765" s="25"/>
      <c r="U765" s="27"/>
      <c r="X765" s="47">
        <v>43039</v>
      </c>
      <c r="Y765" s="48">
        <f t="shared" si="46"/>
        <v>1.6051948898050374</v>
      </c>
      <c r="Z765" s="49"/>
      <c r="AA765" s="49"/>
      <c r="AB765" s="51"/>
      <c r="AE765" s="47">
        <v>43039</v>
      </c>
      <c r="AF765" s="48">
        <f t="shared" si="47"/>
        <v>0.94336383232722165</v>
      </c>
      <c r="AG765" s="49"/>
      <c r="AH765" s="49"/>
      <c r="AI765" s="51"/>
    </row>
    <row r="766" spans="1:35" x14ac:dyDescent="0.3">
      <c r="A766" s="20">
        <v>43034</v>
      </c>
      <c r="C766">
        <f>-(Historical_Simulation!B767-Historical_Simulation!B768)</f>
        <v>-0.25</v>
      </c>
      <c r="E766">
        <f>-(Historical_Simulation!C767-Historical_Simulation!C768)</f>
        <v>0.48000000000001819</v>
      </c>
      <c r="G766">
        <f>-(Historical_Simulation!D767-Historical_Simulation!D768)</f>
        <v>-3.0000000000001137E-2</v>
      </c>
      <c r="J766" s="23">
        <v>43038</v>
      </c>
      <c r="K766" s="24">
        <f t="shared" si="44"/>
        <v>-5.7627841920527008</v>
      </c>
      <c r="L766" s="25"/>
      <c r="M766" s="25"/>
      <c r="N766" s="27"/>
      <c r="Q766" s="23">
        <v>43038</v>
      </c>
      <c r="R766" s="24">
        <f t="shared" si="45"/>
        <v>-4.2387746654062068</v>
      </c>
      <c r="S766" s="25"/>
      <c r="T766" s="25"/>
      <c r="U766" s="27"/>
      <c r="X766" s="47">
        <v>43038</v>
      </c>
      <c r="Y766" s="48">
        <f t="shared" si="46"/>
        <v>-6.9267859469639061</v>
      </c>
      <c r="Z766" s="49"/>
      <c r="AA766" s="49"/>
      <c r="AB766" s="51"/>
      <c r="AE766" s="47">
        <v>43038</v>
      </c>
      <c r="AF766" s="48">
        <f t="shared" si="47"/>
        <v>-5.1067505388998935</v>
      </c>
      <c r="AG766" s="49"/>
      <c r="AH766" s="49"/>
      <c r="AI766" s="51"/>
    </row>
    <row r="767" spans="1:35" x14ac:dyDescent="0.3">
      <c r="A767" s="20">
        <v>43033</v>
      </c>
      <c r="C767">
        <f>-(Historical_Simulation!B768-Historical_Simulation!B769)</f>
        <v>0.17249999999999943</v>
      </c>
      <c r="E767">
        <f>-(Historical_Simulation!C768-Historical_Simulation!C769)</f>
        <v>2.9900000000000091</v>
      </c>
      <c r="G767">
        <f>-(Historical_Simulation!D768-Historical_Simulation!D769)</f>
        <v>1.2000000000000171</v>
      </c>
      <c r="J767" s="23">
        <v>43035</v>
      </c>
      <c r="K767" s="24">
        <f t="shared" si="44"/>
        <v>-69.974938288922658</v>
      </c>
      <c r="L767" s="25"/>
      <c r="M767" s="25"/>
      <c r="N767" s="27"/>
      <c r="Q767" s="23">
        <v>43035</v>
      </c>
      <c r="R767" s="24">
        <f t="shared" si="45"/>
        <v>-48.408892830198319</v>
      </c>
      <c r="S767" s="25"/>
      <c r="T767" s="25"/>
      <c r="U767" s="27"/>
      <c r="X767" s="47">
        <v>43035</v>
      </c>
      <c r="Y767" s="48">
        <f t="shared" si="46"/>
        <v>-34.131892708875348</v>
      </c>
      <c r="Z767" s="49"/>
      <c r="AA767" s="49"/>
      <c r="AB767" s="51"/>
      <c r="AE767" s="47">
        <v>43035</v>
      </c>
      <c r="AF767" s="48">
        <f t="shared" si="47"/>
        <v>-24.22139687382294</v>
      </c>
      <c r="AG767" s="49"/>
      <c r="AH767" s="49"/>
      <c r="AI767" s="51"/>
    </row>
    <row r="768" spans="1:35" x14ac:dyDescent="0.3">
      <c r="A768" s="20">
        <v>43032</v>
      </c>
      <c r="C768">
        <f>-(Historical_Simulation!B769-Historical_Simulation!B770)</f>
        <v>-0.23250000000000171</v>
      </c>
      <c r="E768">
        <f>-(Historical_Simulation!C769-Historical_Simulation!C770)</f>
        <v>-9.5999000000000478</v>
      </c>
      <c r="G768">
        <f>-(Historical_Simulation!D769-Historical_Simulation!D770)</f>
        <v>-0.53000000000000114</v>
      </c>
      <c r="J768" s="23">
        <v>43034</v>
      </c>
      <c r="K768" s="24">
        <f t="shared" si="44"/>
        <v>0.14377205234607454</v>
      </c>
      <c r="L768" s="25"/>
      <c r="M768" s="25"/>
      <c r="N768" s="27"/>
      <c r="Q768" s="23">
        <v>43034</v>
      </c>
      <c r="R768" s="24">
        <f t="shared" si="45"/>
        <v>1.9917117255399908E-2</v>
      </c>
      <c r="S768" s="25"/>
      <c r="T768" s="25"/>
      <c r="U768" s="27"/>
      <c r="X768" s="47">
        <v>43034</v>
      </c>
      <c r="Y768" s="48">
        <f t="shared" si="46"/>
        <v>0.98267404040283257</v>
      </c>
      <c r="Z768" s="49"/>
      <c r="AA768" s="49"/>
      <c r="AB768" s="51"/>
      <c r="AE768" s="47">
        <v>43034</v>
      </c>
      <c r="AF768" s="48">
        <f t="shared" si="47"/>
        <v>0.60933344387688759</v>
      </c>
      <c r="AG768" s="49"/>
      <c r="AH768" s="49"/>
      <c r="AI768" s="51"/>
    </row>
    <row r="769" spans="1:35" x14ac:dyDescent="0.3">
      <c r="A769" s="20">
        <v>43031</v>
      </c>
      <c r="C769">
        <f>-(Historical_Simulation!B770-Historical_Simulation!B771)</f>
        <v>2.0000000000003126E-2</v>
      </c>
      <c r="E769">
        <f>-(Historical_Simulation!C770-Historical_Simulation!C771)</f>
        <v>16.609900000000039</v>
      </c>
      <c r="G769">
        <f>-(Historical_Simulation!D770-Historical_Simulation!D771)</f>
        <v>3.7099999999999795</v>
      </c>
      <c r="J769" s="23">
        <v>43033</v>
      </c>
      <c r="K769" s="24">
        <f t="shared" si="44"/>
        <v>1.6922982979247132</v>
      </c>
      <c r="L769" s="25"/>
      <c r="M769" s="25"/>
      <c r="N769" s="27"/>
      <c r="Q769" s="23">
        <v>43033</v>
      </c>
      <c r="R769" s="24">
        <f t="shared" si="45"/>
        <v>1.2142691477631129</v>
      </c>
      <c r="S769" s="25"/>
      <c r="T769" s="25"/>
      <c r="U769" s="27"/>
      <c r="X769" s="47">
        <v>43033</v>
      </c>
      <c r="Y769" s="48">
        <f t="shared" si="46"/>
        <v>5.9296480750633576</v>
      </c>
      <c r="Z769" s="49"/>
      <c r="AA769" s="49"/>
      <c r="AB769" s="51"/>
      <c r="AE769" s="47">
        <v>43033</v>
      </c>
      <c r="AF769" s="48">
        <f t="shared" si="47"/>
        <v>4.1859777890160075</v>
      </c>
      <c r="AG769" s="49"/>
      <c r="AH769" s="49"/>
      <c r="AI769" s="51"/>
    </row>
    <row r="770" spans="1:35" x14ac:dyDescent="0.3">
      <c r="A770" s="20">
        <v>43028</v>
      </c>
      <c r="C770">
        <f>-(Historical_Simulation!B771-Historical_Simulation!B772)</f>
        <v>-6.7500000000002558E-2</v>
      </c>
      <c r="E770">
        <f>-(Historical_Simulation!C771-Historical_Simulation!C772)</f>
        <v>3.7001999999999953</v>
      </c>
      <c r="G770">
        <f>-(Historical_Simulation!D771-Historical_Simulation!D772)</f>
        <v>-0.41999999999998749</v>
      </c>
      <c r="J770" s="23">
        <v>43032</v>
      </c>
      <c r="K770" s="24">
        <f t="shared" si="44"/>
        <v>-5.2854045522555424</v>
      </c>
      <c r="L770" s="25"/>
      <c r="M770" s="25"/>
      <c r="N770" s="27"/>
      <c r="Q770" s="23">
        <v>43032</v>
      </c>
      <c r="R770" s="24">
        <f t="shared" si="45"/>
        <v>-3.6960912386002516</v>
      </c>
      <c r="S770" s="25"/>
      <c r="T770" s="25"/>
      <c r="U770" s="27"/>
      <c r="X770" s="47">
        <v>43032</v>
      </c>
      <c r="Y770" s="48">
        <f t="shared" si="46"/>
        <v>-1.8994114864538376</v>
      </c>
      <c r="Z770" s="49"/>
      <c r="AA770" s="49"/>
      <c r="AB770" s="51"/>
      <c r="AE770" s="47">
        <v>43032</v>
      </c>
      <c r="AF770" s="48">
        <f t="shared" si="47"/>
        <v>-1.3945531797880695</v>
      </c>
      <c r="AG770" s="49"/>
      <c r="AH770" s="49"/>
      <c r="AI770" s="51"/>
    </row>
    <row r="771" spans="1:35" x14ac:dyDescent="0.3">
      <c r="A771" s="20">
        <v>43027</v>
      </c>
      <c r="C771">
        <f>-(Historical_Simulation!B772-Historical_Simulation!B773)</f>
        <v>0.94500000000000028</v>
      </c>
      <c r="E771">
        <f>-(Historical_Simulation!C772-Historical_Simulation!C773)</f>
        <v>10.389900000000011</v>
      </c>
      <c r="G771">
        <f>-(Historical_Simulation!D772-Historical_Simulation!D773)</f>
        <v>1.4699999999999989</v>
      </c>
      <c r="J771" s="23">
        <v>43031</v>
      </c>
      <c r="K771" s="24">
        <f t="shared" si="44"/>
        <v>8.9688205085150621</v>
      </c>
      <c r="L771" s="25"/>
      <c r="M771" s="25"/>
      <c r="N771" s="27"/>
      <c r="Q771" s="23">
        <v>43031</v>
      </c>
      <c r="R771" s="24">
        <f t="shared" si="45"/>
        <v>6.1541068267880261</v>
      </c>
      <c r="S771" s="25"/>
      <c r="T771" s="25"/>
      <c r="U771" s="27"/>
      <c r="X771" s="47">
        <v>43031</v>
      </c>
      <c r="Y771" s="48">
        <f t="shared" si="46"/>
        <v>20.695305495847489</v>
      </c>
      <c r="Z771" s="49"/>
      <c r="AA771" s="49"/>
      <c r="AB771" s="51"/>
      <c r="AE771" s="47">
        <v>43031</v>
      </c>
      <c r="AF771" s="48">
        <f t="shared" si="47"/>
        <v>14.433365490480508</v>
      </c>
      <c r="AG771" s="49"/>
      <c r="AH771" s="49"/>
      <c r="AI771" s="51"/>
    </row>
    <row r="772" spans="1:35" x14ac:dyDescent="0.3">
      <c r="A772" s="20">
        <v>43026</v>
      </c>
      <c r="C772">
        <f>-(Historical_Simulation!B773-Historical_Simulation!B774)</f>
        <v>0.17750000000000199</v>
      </c>
      <c r="E772">
        <f>-(Historical_Simulation!C773-Historical_Simulation!C774)</f>
        <v>12.129999999999995</v>
      </c>
      <c r="G772">
        <f>-(Historical_Simulation!D773-Historical_Simulation!D774)</f>
        <v>8.0000000000012506E-2</v>
      </c>
      <c r="J772" s="23">
        <v>43028</v>
      </c>
      <c r="K772" s="24">
        <f t="shared" si="44"/>
        <v>1.9648492624989935</v>
      </c>
      <c r="L772" s="25"/>
      <c r="M772" s="25"/>
      <c r="N772" s="27"/>
      <c r="Q772" s="23">
        <v>43028</v>
      </c>
      <c r="R772" s="24">
        <f t="shared" si="45"/>
        <v>1.3256050995659485</v>
      </c>
      <c r="S772" s="25"/>
      <c r="T772" s="25"/>
      <c r="U772" s="27"/>
      <c r="X772" s="47">
        <v>43028</v>
      </c>
      <c r="Y772" s="48">
        <f t="shared" si="46"/>
        <v>-2.0425799965544669</v>
      </c>
      <c r="Z772" s="49"/>
      <c r="AA772" s="49"/>
      <c r="AB772" s="51"/>
      <c r="AE772" s="47">
        <v>43028</v>
      </c>
      <c r="AF772" s="48">
        <f t="shared" si="47"/>
        <v>-1.4443865407572365</v>
      </c>
      <c r="AG772" s="49"/>
      <c r="AH772" s="49"/>
      <c r="AI772" s="51"/>
    </row>
    <row r="773" spans="1:35" x14ac:dyDescent="0.3">
      <c r="A773" s="20">
        <v>43025</v>
      </c>
      <c r="C773">
        <f>-(Historical_Simulation!B774-Historical_Simulation!B775)</f>
        <v>-0.14750000000000085</v>
      </c>
      <c r="E773">
        <f>-(Historical_Simulation!C774-Historical_Simulation!C775)</f>
        <v>-2.7899999999999636</v>
      </c>
      <c r="G773">
        <f>-(Historical_Simulation!D774-Historical_Simulation!D775)</f>
        <v>-1.5900000000000034</v>
      </c>
      <c r="J773" s="23">
        <v>43027</v>
      </c>
      <c r="K773" s="24">
        <f t="shared" si="44"/>
        <v>6.0397091194566448</v>
      </c>
      <c r="L773" s="25"/>
      <c r="M773" s="25"/>
      <c r="N773" s="27"/>
      <c r="Q773" s="23">
        <v>43027</v>
      </c>
      <c r="R773" s="24">
        <f t="shared" si="45"/>
        <v>4.4372468229663919</v>
      </c>
      <c r="S773" s="25"/>
      <c r="T773" s="25"/>
      <c r="U773" s="27"/>
      <c r="X773" s="47">
        <v>43027</v>
      </c>
      <c r="Y773" s="48">
        <f t="shared" si="46"/>
        <v>3.8866085055067678</v>
      </c>
      <c r="Z773" s="49"/>
      <c r="AA773" s="49"/>
      <c r="AB773" s="51"/>
      <c r="AE773" s="47">
        <v>43027</v>
      </c>
      <c r="AF773" s="48">
        <f t="shared" si="47"/>
        <v>2.9956820819789409</v>
      </c>
      <c r="AG773" s="49"/>
      <c r="AH773" s="49"/>
      <c r="AI773" s="51"/>
    </row>
    <row r="774" spans="1:35" x14ac:dyDescent="0.3">
      <c r="A774" s="20">
        <v>43024</v>
      </c>
      <c r="C774">
        <f>-(Historical_Simulation!B775-Historical_Simulation!B776)</f>
        <v>-0.72249999999999659</v>
      </c>
      <c r="E774">
        <f>-(Historical_Simulation!C775-Historical_Simulation!C776)</f>
        <v>-3.3999999999999773</v>
      </c>
      <c r="G774">
        <f>-(Historical_Simulation!D775-Historical_Simulation!D776)</f>
        <v>-0.78000000000000114</v>
      </c>
      <c r="J774" s="23">
        <v>43026</v>
      </c>
      <c r="K774" s="24">
        <f t="shared" ref="K774:K837" si="48">C772*$K$3+E772*(1-$K$3)</f>
        <v>6.6248430899538873</v>
      </c>
      <c r="L774" s="25"/>
      <c r="M774" s="25"/>
      <c r="N774" s="27"/>
      <c r="Q774" s="23">
        <v>43026</v>
      </c>
      <c r="R774" s="24">
        <f t="shared" si="45"/>
        <v>4.596930608212447</v>
      </c>
      <c r="S774" s="25"/>
      <c r="T774" s="25"/>
      <c r="U774" s="27"/>
      <c r="X774" s="47">
        <v>43026</v>
      </c>
      <c r="Y774" s="48">
        <f t="shared" si="46"/>
        <v>-0.36879872245119727</v>
      </c>
      <c r="Z774" s="49"/>
      <c r="AA774" s="49"/>
      <c r="AB774" s="51"/>
      <c r="AE774" s="47">
        <v>43026</v>
      </c>
      <c r="AF774" s="48">
        <f t="shared" si="47"/>
        <v>-0.20334095808176139</v>
      </c>
      <c r="AG774" s="49"/>
      <c r="AH774" s="49"/>
      <c r="AI774" s="51"/>
    </row>
    <row r="775" spans="1:35" x14ac:dyDescent="0.3">
      <c r="A775" s="20">
        <v>43021</v>
      </c>
      <c r="C775">
        <f>-(Historical_Simulation!B776-Historical_Simulation!B777)</f>
        <v>-0.24750000000000227</v>
      </c>
      <c r="E775">
        <f>-(Historical_Simulation!C776-Historical_Simulation!C777)</f>
        <v>-2.0100000000001046</v>
      </c>
      <c r="G775">
        <f>-(Historical_Simulation!D776-Historical_Simulation!D777)</f>
        <v>-1.1899999999999977</v>
      </c>
      <c r="J775" s="23">
        <v>43025</v>
      </c>
      <c r="K775" s="24">
        <f t="shared" si="48"/>
        <v>-1.5729008881157014</v>
      </c>
      <c r="L775" s="25"/>
      <c r="M775" s="25"/>
      <c r="N775" s="27"/>
      <c r="Q775" s="23">
        <v>43025</v>
      </c>
      <c r="R775" s="24">
        <f t="shared" ref="R775:R838" si="49">C773*$R$3+E773*(1-$R$3)</f>
        <v>-1.1245629895169413</v>
      </c>
      <c r="S775" s="25"/>
      <c r="T775" s="25"/>
      <c r="U775" s="27"/>
      <c r="X775" s="47">
        <v>43025</v>
      </c>
      <c r="Y775" s="48">
        <f t="shared" ref="Y775:Y838" si="50">C773*$Y$3+G773*(1-$Y$3)</f>
        <v>-8.2299195603686304</v>
      </c>
      <c r="Z775" s="49"/>
      <c r="AA775" s="49"/>
      <c r="AB775" s="51"/>
      <c r="AE775" s="47">
        <v>43025</v>
      </c>
      <c r="AF775" s="48">
        <f t="shared" ref="AF775:AF838" si="51">C773*$AF$3+G773*(1-$AF$3)</f>
        <v>-5.7819931490564507</v>
      </c>
      <c r="AG775" s="49"/>
      <c r="AH775" s="49"/>
      <c r="AI775" s="51"/>
    </row>
    <row r="776" spans="1:35" x14ac:dyDescent="0.3">
      <c r="A776" s="20">
        <v>43020</v>
      </c>
      <c r="C776">
        <f>-(Historical_Simulation!B777-Historical_Simulation!B778)</f>
        <v>0.13750000000000284</v>
      </c>
      <c r="E776">
        <f>-(Historical_Simulation!C777-Historical_Simulation!C778)</f>
        <v>-5.92999999999995</v>
      </c>
      <c r="G776">
        <f>-(Historical_Simulation!D777-Historical_Simulation!D778)</f>
        <v>0.18999999999999773</v>
      </c>
      <c r="J776" s="23">
        <v>43024</v>
      </c>
      <c r="K776" s="24">
        <f t="shared" si="48"/>
        <v>-2.1667803700775043</v>
      </c>
      <c r="L776" s="25"/>
      <c r="M776" s="25"/>
      <c r="N776" s="27"/>
      <c r="Q776" s="23">
        <v>43024</v>
      </c>
      <c r="R776" s="24">
        <f t="shared" si="49"/>
        <v>-1.7125042211661747</v>
      </c>
      <c r="S776" s="25"/>
      <c r="T776" s="25"/>
      <c r="U776" s="27"/>
      <c r="X776" s="47">
        <v>43024</v>
      </c>
      <c r="Y776" s="48">
        <f t="shared" si="50"/>
        <v>-1.044676169650764</v>
      </c>
      <c r="Z776" s="49"/>
      <c r="AA776" s="49"/>
      <c r="AB776" s="51"/>
      <c r="AE776" s="47">
        <v>43024</v>
      </c>
      <c r="AF776" s="48">
        <f t="shared" si="51"/>
        <v>-0.94709851374056564</v>
      </c>
      <c r="AG776" s="49"/>
      <c r="AH776" s="49"/>
      <c r="AI776" s="51"/>
    </row>
    <row r="777" spans="1:35" x14ac:dyDescent="0.3">
      <c r="A777" s="20">
        <v>43019</v>
      </c>
      <c r="C777">
        <f>-(Historical_Simulation!B778-Historical_Simulation!B779)</f>
        <v>-0.16250000000000142</v>
      </c>
      <c r="E777">
        <f>-(Historical_Simulation!C778-Historical_Simulation!C779)</f>
        <v>-7.7999999999999545</v>
      </c>
      <c r="G777">
        <f>-(Historical_Simulation!D778-Historical_Simulation!D779)</f>
        <v>-1.1500000000000057</v>
      </c>
      <c r="J777" s="23">
        <v>43021</v>
      </c>
      <c r="K777" s="24">
        <f t="shared" si="48"/>
        <v>-1.1982167702191522</v>
      </c>
      <c r="L777" s="25"/>
      <c r="M777" s="25"/>
      <c r="N777" s="27"/>
      <c r="Q777" s="23">
        <v>43021</v>
      </c>
      <c r="R777" s="24">
        <f t="shared" si="49"/>
        <v>-0.89918345090775309</v>
      </c>
      <c r="S777" s="25"/>
      <c r="T777" s="25"/>
      <c r="U777" s="27"/>
      <c r="X777" s="47">
        <v>43021</v>
      </c>
      <c r="Y777" s="48">
        <f t="shared" si="50"/>
        <v>-5.5283876503621396</v>
      </c>
      <c r="Z777" s="49"/>
      <c r="AA777" s="49"/>
      <c r="AB777" s="51"/>
      <c r="AE777" s="47">
        <v>43021</v>
      </c>
      <c r="AF777" s="48">
        <f t="shared" si="51"/>
        <v>-3.92896259479076</v>
      </c>
      <c r="AG777" s="49"/>
      <c r="AH777" s="49"/>
      <c r="AI777" s="51"/>
    </row>
    <row r="778" spans="1:35" x14ac:dyDescent="0.3">
      <c r="A778" s="20">
        <v>43018</v>
      </c>
      <c r="C778">
        <f>-(Historical_Simulation!B779-Historical_Simulation!B780)</f>
        <v>-1.5000000000000568E-2</v>
      </c>
      <c r="E778">
        <f>-(Historical_Simulation!C779-Historical_Simulation!C780)</f>
        <v>3.7899999999999636</v>
      </c>
      <c r="G778">
        <f>-(Historical_Simulation!D779-Historical_Simulation!D780)</f>
        <v>0.90999999999999659</v>
      </c>
      <c r="J778" s="23">
        <v>43020</v>
      </c>
      <c r="K778" s="24">
        <f t="shared" si="48"/>
        <v>-3.1353930515201736</v>
      </c>
      <c r="L778" s="25"/>
      <c r="M778" s="25"/>
      <c r="N778" s="27"/>
      <c r="Q778" s="23">
        <v>43020</v>
      </c>
      <c r="R778" s="24">
        <f t="shared" si="49"/>
        <v>-2.1059549437631282</v>
      </c>
      <c r="S778" s="25"/>
      <c r="T778" s="25"/>
      <c r="U778" s="27"/>
      <c r="X778" s="47">
        <v>43020</v>
      </c>
      <c r="Y778" s="48">
        <f t="shared" si="50"/>
        <v>0.43166085055065162</v>
      </c>
      <c r="Z778" s="49"/>
      <c r="AA778" s="49"/>
      <c r="AB778" s="51"/>
      <c r="AE778" s="47">
        <v>43020</v>
      </c>
      <c r="AF778" s="48">
        <f t="shared" si="51"/>
        <v>0.34256820819787748</v>
      </c>
      <c r="AG778" s="49"/>
      <c r="AH778" s="49"/>
      <c r="AI778" s="51"/>
    </row>
    <row r="779" spans="1:35" x14ac:dyDescent="0.3">
      <c r="A779" s="20">
        <v>43017</v>
      </c>
      <c r="C779">
        <f>-(Historical_Simulation!B780-Historical_Simulation!B781)</f>
        <v>-0.13499999999999801</v>
      </c>
      <c r="E779">
        <f>-(Historical_Simulation!C780-Historical_Simulation!C781)</f>
        <v>-1.4098999999999933</v>
      </c>
      <c r="G779">
        <f>-(Historical_Simulation!D780-Historical_Simulation!D781)</f>
        <v>-0.27000000000001023</v>
      </c>
      <c r="J779" s="23">
        <v>43019</v>
      </c>
      <c r="K779" s="24">
        <f t="shared" si="48"/>
        <v>-4.2822726709493857</v>
      </c>
      <c r="L779" s="25"/>
      <c r="M779" s="25"/>
      <c r="N779" s="27"/>
      <c r="Q779" s="23">
        <v>43019</v>
      </c>
      <c r="R779" s="24">
        <f t="shared" si="49"/>
        <v>-2.9864616206000738</v>
      </c>
      <c r="S779" s="25"/>
      <c r="T779" s="25"/>
      <c r="U779" s="27"/>
      <c r="X779" s="47">
        <v>43019</v>
      </c>
      <c r="Y779" s="48">
        <f t="shared" si="50"/>
        <v>-5.6955255222627681</v>
      </c>
      <c r="Z779" s="49"/>
      <c r="AA779" s="49"/>
      <c r="AB779" s="51"/>
      <c r="AE779" s="47">
        <v>43019</v>
      </c>
      <c r="AF779" s="48">
        <f t="shared" si="51"/>
        <v>-4.0197353446747037</v>
      </c>
      <c r="AG779" s="49"/>
      <c r="AH779" s="49"/>
      <c r="AI779" s="51"/>
    </row>
    <row r="780" spans="1:35" x14ac:dyDescent="0.3">
      <c r="A780" s="20">
        <v>43014</v>
      </c>
      <c r="C780">
        <f>-(Historical_Simulation!B781-Historical_Simulation!B782)</f>
        <v>2.2499999999993747E-2</v>
      </c>
      <c r="E780">
        <f>-(Historical_Simulation!C781-Historical_Simulation!C782)</f>
        <v>-8.7300000000000182</v>
      </c>
      <c r="G780">
        <f>-(Historical_Simulation!D781-Historical_Simulation!D782)</f>
        <v>-0.98999999999998067</v>
      </c>
      <c r="J780" s="23">
        <v>43018</v>
      </c>
      <c r="K780" s="24">
        <f t="shared" si="48"/>
        <v>2.0374693961325501</v>
      </c>
      <c r="L780" s="25"/>
      <c r="M780" s="25"/>
      <c r="N780" s="27"/>
      <c r="Q780" s="23">
        <v>43018</v>
      </c>
      <c r="R780" s="24">
        <f t="shared" si="49"/>
        <v>1.3918967550092616</v>
      </c>
      <c r="S780" s="25"/>
      <c r="T780" s="25"/>
      <c r="U780" s="27"/>
      <c r="X780" s="47">
        <v>43018</v>
      </c>
      <c r="Y780" s="48">
        <f t="shared" si="50"/>
        <v>5.1678340335119204</v>
      </c>
      <c r="Z780" s="49"/>
      <c r="AA780" s="49"/>
      <c r="AB780" s="51"/>
      <c r="AE780" s="47">
        <v>43018</v>
      </c>
      <c r="AF780" s="48">
        <f t="shared" si="51"/>
        <v>3.5981065253914664</v>
      </c>
      <c r="AG780" s="49"/>
      <c r="AH780" s="49"/>
      <c r="AI780" s="51"/>
    </row>
    <row r="781" spans="1:35" x14ac:dyDescent="0.3">
      <c r="A781" s="20">
        <v>43013</v>
      </c>
      <c r="C781">
        <f>-(Historical_Simulation!B782-Historical_Simulation!B783)</f>
        <v>-0.47749999999999915</v>
      </c>
      <c r="E781">
        <f>-(Historical_Simulation!C782-Historical_Simulation!C783)</f>
        <v>-15.400099999999952</v>
      </c>
      <c r="G781">
        <f>-(Historical_Simulation!D782-Historical_Simulation!D783)</f>
        <v>-2.8200000000000216</v>
      </c>
      <c r="J781" s="23">
        <v>43017</v>
      </c>
      <c r="K781" s="24">
        <f t="shared" si="48"/>
        <v>-0.82269861580273229</v>
      </c>
      <c r="L781" s="25"/>
      <c r="M781" s="25"/>
      <c r="N781" s="27"/>
      <c r="Q781" s="23">
        <v>43017</v>
      </c>
      <c r="R781" s="24">
        <f t="shared" si="49"/>
        <v>-0.6063936065601343</v>
      </c>
      <c r="S781" s="25"/>
      <c r="T781" s="25"/>
      <c r="U781" s="27"/>
      <c r="X781" s="47">
        <v>43017</v>
      </c>
      <c r="Y781" s="48">
        <f t="shared" si="50"/>
        <v>-0.89141361570180866</v>
      </c>
      <c r="Z781" s="49"/>
      <c r="AA781" s="49"/>
      <c r="AB781" s="51"/>
      <c r="AE781" s="47">
        <v>43017</v>
      </c>
      <c r="AF781" s="48">
        <f t="shared" si="51"/>
        <v>-0.66231824965177477</v>
      </c>
      <c r="AG781" s="49"/>
      <c r="AH781" s="49"/>
      <c r="AI781" s="51"/>
    </row>
    <row r="782" spans="1:35" x14ac:dyDescent="0.3">
      <c r="A782" s="20">
        <v>43012</v>
      </c>
      <c r="C782">
        <f>-(Historical_Simulation!B783-Historical_Simulation!B784)</f>
        <v>0.25</v>
      </c>
      <c r="E782">
        <f>-(Historical_Simulation!C783-Historical_Simulation!C784)</f>
        <v>-8.3499000000000478</v>
      </c>
      <c r="G782">
        <f>-(Historical_Simulation!D783-Historical_Simulation!D784)</f>
        <v>1.5400000000000205</v>
      </c>
      <c r="J782" s="23">
        <v>43014</v>
      </c>
      <c r="K782" s="24">
        <f t="shared" si="48"/>
        <v>-4.6987190248752606</v>
      </c>
      <c r="L782" s="25"/>
      <c r="M782" s="25"/>
      <c r="N782" s="27"/>
      <c r="Q782" s="23">
        <v>43014</v>
      </c>
      <c r="R782" s="24">
        <f t="shared" si="49"/>
        <v>-3.2137322859970365</v>
      </c>
      <c r="S782" s="25"/>
      <c r="T782" s="25"/>
      <c r="U782" s="27"/>
      <c r="X782" s="47">
        <v>43014</v>
      </c>
      <c r="Y782" s="48">
        <f t="shared" si="50"/>
        <v>-5.6506021177629284</v>
      </c>
      <c r="Z782" s="49"/>
      <c r="AA782" s="49"/>
      <c r="AB782" s="51"/>
      <c r="AE782" s="47">
        <v>43014</v>
      </c>
      <c r="AF782" s="48">
        <f t="shared" si="51"/>
        <v>-3.9323868723878754</v>
      </c>
      <c r="AG782" s="49"/>
      <c r="AH782" s="49"/>
      <c r="AI782" s="51"/>
    </row>
    <row r="783" spans="1:35" x14ac:dyDescent="0.3">
      <c r="A783" s="20">
        <v>43011</v>
      </c>
      <c r="C783">
        <f>-(Historical_Simulation!B784-Historical_Simulation!B785)</f>
        <v>-0.16749999999999687</v>
      </c>
      <c r="E783">
        <f>-(Historical_Simulation!C784-Historical_Simulation!C785)</f>
        <v>2.0897999999999683</v>
      </c>
      <c r="G783">
        <f>-(Historical_Simulation!D784-Historical_Simulation!D785)</f>
        <v>-0.49000000000000909</v>
      </c>
      <c r="J783" s="23">
        <v>43013</v>
      </c>
      <c r="K783" s="24">
        <f t="shared" si="48"/>
        <v>-8.5269559292320096</v>
      </c>
      <c r="L783" s="25"/>
      <c r="M783" s="25"/>
      <c r="N783" s="27"/>
      <c r="Q783" s="23">
        <v>43013</v>
      </c>
      <c r="R783" s="24">
        <f t="shared" si="49"/>
        <v>-5.9951235259661875</v>
      </c>
      <c r="S783" s="25"/>
      <c r="T783" s="25"/>
      <c r="U783" s="27"/>
      <c r="X783" s="47">
        <v>43013</v>
      </c>
      <c r="Y783" s="48">
        <f t="shared" si="50"/>
        <v>-13.602676998380353</v>
      </c>
      <c r="Z783" s="49"/>
      <c r="AA783" s="49"/>
      <c r="AB783" s="51"/>
      <c r="AE783" s="47">
        <v>43013</v>
      </c>
      <c r="AF783" s="48">
        <f t="shared" si="51"/>
        <v>-9.6274481467347215</v>
      </c>
      <c r="AG783" s="49"/>
      <c r="AH783" s="49"/>
      <c r="AI783" s="51"/>
    </row>
    <row r="784" spans="1:35" x14ac:dyDescent="0.3">
      <c r="A784" s="20">
        <v>43010</v>
      </c>
      <c r="C784">
        <f>-(Historical_Simulation!B785-Historical_Simulation!B786)</f>
        <v>7.7500000000000568E-2</v>
      </c>
      <c r="E784">
        <f>-(Historical_Simulation!C785-Historical_Simulation!C786)</f>
        <v>2.1602000000000317</v>
      </c>
      <c r="G784">
        <f>-(Historical_Simulation!D785-Historical_Simulation!D786)</f>
        <v>1.4000000000000057</v>
      </c>
      <c r="J784" s="23">
        <v>43012</v>
      </c>
      <c r="K784" s="24">
        <f t="shared" si="48"/>
        <v>-4.388904483521836</v>
      </c>
      <c r="L784" s="25"/>
      <c r="M784" s="25"/>
      <c r="N784" s="27"/>
      <c r="Q784" s="23">
        <v>43012</v>
      </c>
      <c r="R784" s="24">
        <f t="shared" si="49"/>
        <v>-2.9298085160063954</v>
      </c>
      <c r="S784" s="25"/>
      <c r="T784" s="25"/>
      <c r="U784" s="27"/>
      <c r="X784" s="47">
        <v>43012</v>
      </c>
      <c r="Y784" s="48">
        <f t="shared" si="50"/>
        <v>7.4779523278167606</v>
      </c>
      <c r="Z784" s="49"/>
      <c r="AA784" s="49"/>
      <c r="AB784" s="51"/>
      <c r="AE784" s="47">
        <v>43012</v>
      </c>
      <c r="AF784" s="48">
        <f t="shared" si="51"/>
        <v>5.2888188300054928</v>
      </c>
      <c r="AG784" s="49"/>
      <c r="AH784" s="49"/>
      <c r="AI784" s="51"/>
    </row>
    <row r="785" spans="1:35" x14ac:dyDescent="0.3">
      <c r="A785" s="20">
        <v>43007</v>
      </c>
      <c r="C785">
        <f>-(Historical_Simulation!B786-Historical_Simulation!B787)</f>
        <v>-0.21000000000000085</v>
      </c>
      <c r="E785">
        <f>-(Historical_Simulation!C786-Historical_Simulation!C787)</f>
        <v>-4.9501999999999953</v>
      </c>
      <c r="G785">
        <f>-(Historical_Simulation!D786-Historical_Simulation!D787)</f>
        <v>-2.1400000000000148</v>
      </c>
      <c r="J785" s="23">
        <v>43011</v>
      </c>
      <c r="K785" s="24">
        <f t="shared" si="48"/>
        <v>1.0501187037818636</v>
      </c>
      <c r="L785" s="25"/>
      <c r="M785" s="25"/>
      <c r="N785" s="27"/>
      <c r="Q785" s="23">
        <v>43011</v>
      </c>
      <c r="R785" s="24">
        <f t="shared" si="49"/>
        <v>0.66713549148026285</v>
      </c>
      <c r="S785" s="25"/>
      <c r="T785" s="25"/>
      <c r="U785" s="27"/>
      <c r="X785" s="47">
        <v>43011</v>
      </c>
      <c r="Y785" s="48">
        <f t="shared" si="50"/>
        <v>-1.9744880819542272</v>
      </c>
      <c r="Z785" s="49"/>
      <c r="AA785" s="49"/>
      <c r="AB785" s="51"/>
      <c r="AE785" s="47">
        <v>43011</v>
      </c>
      <c r="AF785" s="48">
        <f t="shared" si="51"/>
        <v>-1.4272047075013976</v>
      </c>
      <c r="AG785" s="49"/>
      <c r="AH785" s="49"/>
      <c r="AI785" s="51"/>
    </row>
    <row r="786" spans="1:35" x14ac:dyDescent="0.3">
      <c r="A786" s="20">
        <v>43006</v>
      </c>
      <c r="C786">
        <f>-(Historical_Simulation!B787-Historical_Simulation!B788)</f>
        <v>0.23749999999999716</v>
      </c>
      <c r="E786">
        <f>-(Historical_Simulation!C787-Historical_Simulation!C788)</f>
        <v>-5.5298000000000229</v>
      </c>
      <c r="G786">
        <f>-(Historical_Simulation!D787-Historical_Simulation!D788)</f>
        <v>-1.0499999999999829</v>
      </c>
      <c r="J786" s="23">
        <v>43010</v>
      </c>
      <c r="K786" s="24">
        <f t="shared" si="48"/>
        <v>1.2009370594810433</v>
      </c>
      <c r="L786" s="25"/>
      <c r="M786" s="25"/>
      <c r="N786" s="27"/>
      <c r="Q786" s="23">
        <v>43010</v>
      </c>
      <c r="R786" s="24">
        <f t="shared" si="49"/>
        <v>0.84757723302440569</v>
      </c>
      <c r="S786" s="25"/>
      <c r="T786" s="25"/>
      <c r="U786" s="27"/>
      <c r="X786" s="47">
        <v>43010</v>
      </c>
      <c r="Y786" s="48">
        <f t="shared" si="50"/>
        <v>7.4875519019670946</v>
      </c>
      <c r="Z786" s="49"/>
      <c r="AA786" s="49"/>
      <c r="AB786" s="51"/>
      <c r="AE786" s="47">
        <v>43010</v>
      </c>
      <c r="AF786" s="48">
        <f t="shared" si="51"/>
        <v>5.243265816032701</v>
      </c>
      <c r="AG786" s="49"/>
      <c r="AH786" s="49"/>
      <c r="AI786" s="51"/>
    </row>
    <row r="787" spans="1:35" x14ac:dyDescent="0.3">
      <c r="A787" s="20">
        <v>43005</v>
      </c>
      <c r="C787">
        <f>-(Historical_Simulation!B788-Historical_Simulation!B789)</f>
        <v>-0.27250000000000085</v>
      </c>
      <c r="E787">
        <f>-(Historical_Simulation!C788-Historical_Simulation!C789)</f>
        <v>-12.269999999999982</v>
      </c>
      <c r="G787">
        <f>-(Historical_Simulation!D788-Historical_Simulation!D789)</f>
        <v>-3.4699999999999989</v>
      </c>
      <c r="J787" s="23">
        <v>43007</v>
      </c>
      <c r="K787" s="24">
        <f t="shared" si="48"/>
        <v>-2.7669291541518004</v>
      </c>
      <c r="L787" s="25"/>
      <c r="M787" s="25"/>
      <c r="N787" s="27"/>
      <c r="Q787" s="23">
        <v>43007</v>
      </c>
      <c r="R787" s="24">
        <f t="shared" si="49"/>
        <v>-1.9626864646767312</v>
      </c>
      <c r="S787" s="25"/>
      <c r="T787" s="25"/>
      <c r="U787" s="27"/>
      <c r="X787" s="47">
        <v>43007</v>
      </c>
      <c r="Y787" s="48">
        <f t="shared" si="50"/>
        <v>-11.023913172624985</v>
      </c>
      <c r="Z787" s="49"/>
      <c r="AA787" s="49"/>
      <c r="AB787" s="51"/>
      <c r="AE787" s="47">
        <v>43007</v>
      </c>
      <c r="AF787" s="48">
        <f t="shared" si="51"/>
        <v>-7.7486979394655169</v>
      </c>
      <c r="AG787" s="49"/>
      <c r="AH787" s="49"/>
      <c r="AI787" s="51"/>
    </row>
    <row r="788" spans="1:35" x14ac:dyDescent="0.3">
      <c r="A788" s="20">
        <v>43004</v>
      </c>
      <c r="C788">
        <f>-(Historical_Simulation!B789-Historical_Simulation!B790)</f>
        <v>-0.64749999999999375</v>
      </c>
      <c r="E788">
        <f>-(Historical_Simulation!C789-Historical_Simulation!C790)</f>
        <v>1.189899999999966</v>
      </c>
      <c r="G788">
        <f>-(Historical_Simulation!D789-Historical_Simulation!D790)</f>
        <v>-1.3400000000000034</v>
      </c>
      <c r="J788" s="23">
        <v>43006</v>
      </c>
      <c r="K788" s="24">
        <f t="shared" si="48"/>
        <v>-2.873461037665026</v>
      </c>
      <c r="L788" s="25"/>
      <c r="M788" s="25"/>
      <c r="N788" s="27"/>
      <c r="Q788" s="23">
        <v>43006</v>
      </c>
      <c r="R788" s="24">
        <f t="shared" si="49"/>
        <v>-1.8949561511603239</v>
      </c>
      <c r="S788" s="25"/>
      <c r="T788" s="25"/>
      <c r="U788" s="27"/>
      <c r="X788" s="47">
        <v>43006</v>
      </c>
      <c r="Y788" s="48">
        <f t="shared" si="50"/>
        <v>-6.976444668266506</v>
      </c>
      <c r="Z788" s="49"/>
      <c r="AA788" s="49"/>
      <c r="AB788" s="51"/>
      <c r="AE788" s="47">
        <v>43006</v>
      </c>
      <c r="AF788" s="48">
        <f t="shared" si="51"/>
        <v>-4.7915536772340088</v>
      </c>
      <c r="AG788" s="49"/>
      <c r="AH788" s="49"/>
      <c r="AI788" s="51"/>
    </row>
    <row r="789" spans="1:35" x14ac:dyDescent="0.3">
      <c r="A789" s="20">
        <v>43003</v>
      </c>
      <c r="C789">
        <f>-(Historical_Simulation!B790-Historical_Simulation!B791)</f>
        <v>0.33499999999999375</v>
      </c>
      <c r="E789">
        <f>-(Historical_Simulation!C790-Historical_Simulation!C791)</f>
        <v>15.310100000000034</v>
      </c>
      <c r="G789">
        <f>-(Historical_Simulation!D790-Historical_Simulation!D791)</f>
        <v>7.6699999999999875</v>
      </c>
      <c r="J789" s="23">
        <v>43005</v>
      </c>
      <c r="K789" s="24">
        <f t="shared" si="48"/>
        <v>-6.7441167096190471</v>
      </c>
      <c r="L789" s="25"/>
      <c r="M789" s="25"/>
      <c r="N789" s="27"/>
      <c r="Q789" s="23">
        <v>43005</v>
      </c>
      <c r="R789" s="24">
        <f t="shared" si="49"/>
        <v>-4.7085693346185957</v>
      </c>
      <c r="S789" s="25"/>
      <c r="T789" s="25"/>
      <c r="U789" s="27"/>
      <c r="X789" s="47">
        <v>43005</v>
      </c>
      <c r="Y789" s="48">
        <f t="shared" si="50"/>
        <v>-18.188296564491253</v>
      </c>
      <c r="Z789" s="49"/>
      <c r="AA789" s="49"/>
      <c r="AB789" s="51"/>
      <c r="AE789" s="47">
        <v>43005</v>
      </c>
      <c r="AF789" s="48">
        <f t="shared" si="51"/>
        <v>-12.762130394528912</v>
      </c>
      <c r="AG789" s="49"/>
      <c r="AH789" s="49"/>
      <c r="AI789" s="51"/>
    </row>
    <row r="790" spans="1:35" x14ac:dyDescent="0.3">
      <c r="A790" s="20">
        <v>43000</v>
      </c>
      <c r="C790">
        <f>-(Historical_Simulation!B791-Historical_Simulation!B792)</f>
        <v>0.375</v>
      </c>
      <c r="E790">
        <f>-(Historical_Simulation!C791-Historical_Simulation!C792)</f>
        <v>9.5498000000000047</v>
      </c>
      <c r="G790">
        <f>-(Historical_Simulation!D791-Historical_Simulation!D792)</f>
        <v>0.5700000000000216</v>
      </c>
      <c r="J790" s="23">
        <v>43004</v>
      </c>
      <c r="K790" s="24">
        <f t="shared" si="48"/>
        <v>0.34361886161732608</v>
      </c>
      <c r="L790" s="25"/>
      <c r="M790" s="25"/>
      <c r="N790" s="27"/>
      <c r="Q790" s="23">
        <v>43004</v>
      </c>
      <c r="R790" s="24">
        <f t="shared" si="49"/>
        <v>3.1877686637059033E-2</v>
      </c>
      <c r="S790" s="25"/>
      <c r="T790" s="25"/>
      <c r="U790" s="27"/>
      <c r="X790" s="47">
        <v>43004</v>
      </c>
      <c r="Y790" s="48">
        <f t="shared" si="50"/>
        <v>-4.5276216953589845</v>
      </c>
      <c r="Z790" s="49"/>
      <c r="AA790" s="49"/>
      <c r="AB790" s="51"/>
      <c r="AE790" s="47">
        <v>43004</v>
      </c>
      <c r="AF790" s="48">
        <f t="shared" si="51"/>
        <v>-3.3524473176579752</v>
      </c>
      <c r="AG790" s="49"/>
      <c r="AH790" s="49"/>
      <c r="AI790" s="51"/>
    </row>
    <row r="791" spans="1:35" x14ac:dyDescent="0.3">
      <c r="A791" s="20">
        <v>42999</v>
      </c>
      <c r="C791">
        <f>-(Historical_Simulation!B792-Historical_Simulation!B793)</f>
        <v>0.67000000000000171</v>
      </c>
      <c r="E791">
        <f>-(Historical_Simulation!C792-Historical_Simulation!C793)</f>
        <v>8.560100000000034</v>
      </c>
      <c r="G791">
        <f>-(Historical_Simulation!D792-Historical_Simulation!D793)</f>
        <v>1.0599999999999739</v>
      </c>
      <c r="J791" s="23">
        <v>43003</v>
      </c>
      <c r="K791" s="24">
        <f t="shared" si="48"/>
        <v>8.4127751521747456</v>
      </c>
      <c r="L791" s="25"/>
      <c r="M791" s="25"/>
      <c r="N791" s="27"/>
      <c r="Q791" s="23">
        <v>43003</v>
      </c>
      <c r="R791" s="24">
        <f t="shared" si="49"/>
        <v>5.8720353734400614</v>
      </c>
      <c r="S791" s="25"/>
      <c r="T791" s="25"/>
      <c r="U791" s="27"/>
      <c r="X791" s="47">
        <v>43003</v>
      </c>
      <c r="Y791" s="48">
        <f t="shared" si="50"/>
        <v>41.433473119794613</v>
      </c>
      <c r="Z791" s="49"/>
      <c r="AA791" s="49"/>
      <c r="AB791" s="51"/>
      <c r="AE791" s="47">
        <v>43003</v>
      </c>
      <c r="AF791" s="48">
        <f t="shared" si="51"/>
        <v>28.985958231077255</v>
      </c>
      <c r="AG791" s="49"/>
      <c r="AH791" s="49"/>
      <c r="AI791" s="51"/>
    </row>
    <row r="792" spans="1:35" x14ac:dyDescent="0.3">
      <c r="A792" s="20">
        <v>42998</v>
      </c>
      <c r="C792">
        <f>-(Historical_Simulation!B793-Historical_Simulation!B794)</f>
        <v>0.66499999999999915</v>
      </c>
      <c r="E792">
        <f>-(Historical_Simulation!C793-Historical_Simulation!C794)</f>
        <v>-3.3499000000000478</v>
      </c>
      <c r="G792">
        <f>-(Historical_Simulation!D793-Historical_Simulation!D794)</f>
        <v>0.35000000000002274</v>
      </c>
      <c r="J792" s="23">
        <v>43000</v>
      </c>
      <c r="K792" s="24">
        <f t="shared" si="48"/>
        <v>5.3240134600885973</v>
      </c>
      <c r="L792" s="25"/>
      <c r="M792" s="25"/>
      <c r="N792" s="27"/>
      <c r="Q792" s="23">
        <v>43000</v>
      </c>
      <c r="R792" s="24">
        <f t="shared" si="49"/>
        <v>3.7673774895818939</v>
      </c>
      <c r="S792" s="25"/>
      <c r="T792" s="25"/>
      <c r="U792" s="27"/>
      <c r="X792" s="47">
        <v>43000</v>
      </c>
      <c r="Y792" s="48">
        <f t="shared" si="50"/>
        <v>1.4675974449026372</v>
      </c>
      <c r="Z792" s="49"/>
      <c r="AA792" s="49"/>
      <c r="AB792" s="51"/>
      <c r="AE792" s="47">
        <v>43000</v>
      </c>
      <c r="AF792" s="48">
        <f t="shared" si="51"/>
        <v>1.1366819161636934</v>
      </c>
      <c r="AG792" s="49"/>
      <c r="AH792" s="49"/>
      <c r="AI792" s="51"/>
    </row>
    <row r="793" spans="1:35" x14ac:dyDescent="0.3">
      <c r="A793" s="20">
        <v>42997</v>
      </c>
      <c r="C793">
        <f>-(Historical_Simulation!B794-Historical_Simulation!B795)</f>
        <v>-1.5000000000000568E-2</v>
      </c>
      <c r="E793">
        <f>-(Historical_Simulation!C794-Historical_Simulation!C795)</f>
        <v>4.3297999999999774</v>
      </c>
      <c r="G793">
        <f>-(Historical_Simulation!D794-Historical_Simulation!D795)</f>
        <v>-2.5100000000000193</v>
      </c>
      <c r="J793" s="23">
        <v>42999</v>
      </c>
      <c r="K793" s="24">
        <f t="shared" si="48"/>
        <v>4.9260285893365738</v>
      </c>
      <c r="L793" s="25"/>
      <c r="M793" s="25"/>
      <c r="N793" s="27"/>
      <c r="Q793" s="23">
        <v>42999</v>
      </c>
      <c r="R793" s="24">
        <f t="shared" si="49"/>
        <v>3.587360338159983</v>
      </c>
      <c r="S793" s="25"/>
      <c r="T793" s="25"/>
      <c r="U793" s="27"/>
      <c r="X793" s="47">
        <v>42999</v>
      </c>
      <c r="Y793" s="48">
        <f t="shared" si="50"/>
        <v>2.8551948898048778</v>
      </c>
      <c r="Z793" s="49"/>
      <c r="AA793" s="49"/>
      <c r="AB793" s="51"/>
      <c r="AE793" s="47">
        <v>42999</v>
      </c>
      <c r="AF793" s="48">
        <f t="shared" si="51"/>
        <v>2.1933638323271105</v>
      </c>
      <c r="AG793" s="49"/>
      <c r="AH793" s="49"/>
      <c r="AI793" s="51"/>
    </row>
    <row r="794" spans="1:35" x14ac:dyDescent="0.3">
      <c r="A794" s="20">
        <v>42996</v>
      </c>
      <c r="C794">
        <f>-(Historical_Simulation!B795-Historical_Simulation!B796)</f>
        <v>0.30250000000000199</v>
      </c>
      <c r="E794">
        <f>-(Historical_Simulation!C795-Historical_Simulation!C796)</f>
        <v>12.600099999999998</v>
      </c>
      <c r="G794">
        <f>-(Historical_Simulation!D795-Historical_Simulation!D796)</f>
        <v>1.6299999999999955</v>
      </c>
      <c r="J794" s="23">
        <v>42998</v>
      </c>
      <c r="K794" s="24">
        <f t="shared" si="48"/>
        <v>-1.5006923465263484</v>
      </c>
      <c r="L794" s="25"/>
      <c r="M794" s="25"/>
      <c r="N794" s="27"/>
      <c r="Q794" s="23">
        <v>42998</v>
      </c>
      <c r="R794" s="24">
        <f t="shared" si="49"/>
        <v>-0.81950716995711148</v>
      </c>
      <c r="S794" s="25"/>
      <c r="T794" s="25"/>
      <c r="U794" s="27"/>
      <c r="X794" s="47">
        <v>42998</v>
      </c>
      <c r="Y794" s="48">
        <f t="shared" si="50"/>
        <v>-1.0999651033039335</v>
      </c>
      <c r="Z794" s="49"/>
      <c r="AA794" s="49"/>
      <c r="AB794" s="51"/>
      <c r="AE794" s="47">
        <v>42998</v>
      </c>
      <c r="AF794" s="48">
        <f t="shared" si="51"/>
        <v>-0.56540924918727686</v>
      </c>
      <c r="AG794" s="49"/>
      <c r="AH794" s="49"/>
      <c r="AI794" s="51"/>
    </row>
    <row r="795" spans="1:35" x14ac:dyDescent="0.3">
      <c r="A795" s="20">
        <v>42993</v>
      </c>
      <c r="C795">
        <f>-(Historical_Simulation!B796-Historical_Simulation!B797)</f>
        <v>-0.39999999999999858</v>
      </c>
      <c r="E795">
        <f>-(Historical_Simulation!C796-Historical_Simulation!C797)</f>
        <v>5.4200000000000728</v>
      </c>
      <c r="G795">
        <f>-(Historical_Simulation!D796-Historical_Simulation!D797)</f>
        <v>-0.6799999999999784</v>
      </c>
      <c r="J795" s="23">
        <v>42997</v>
      </c>
      <c r="K795" s="24">
        <f t="shared" si="48"/>
        <v>2.3286449493605108</v>
      </c>
      <c r="L795" s="25"/>
      <c r="M795" s="25"/>
      <c r="N795" s="27"/>
      <c r="Q795" s="23">
        <v>42997</v>
      </c>
      <c r="R795" s="24">
        <f t="shared" si="49"/>
        <v>1.5914875219879807</v>
      </c>
      <c r="S795" s="25"/>
      <c r="T795" s="25"/>
      <c r="U795" s="27"/>
      <c r="X795" s="47">
        <v>42997</v>
      </c>
      <c r="Y795" s="48">
        <f t="shared" si="50"/>
        <v>-13.994644230932302</v>
      </c>
      <c r="Z795" s="49"/>
      <c r="AA795" s="49"/>
      <c r="AB795" s="51"/>
      <c r="AE795" s="47">
        <v>42997</v>
      </c>
      <c r="AF795" s="48">
        <f t="shared" si="51"/>
        <v>-9.760622465785735</v>
      </c>
      <c r="AG795" s="49"/>
      <c r="AH795" s="49"/>
      <c r="AI795" s="51"/>
    </row>
    <row r="796" spans="1:35" x14ac:dyDescent="0.3">
      <c r="A796" s="20">
        <v>42992</v>
      </c>
      <c r="C796">
        <f>-(Historical_Simulation!B797-Historical_Simulation!B798)</f>
        <v>0.34250000000000114</v>
      </c>
      <c r="E796">
        <f>-(Historical_Simulation!C797-Historical_Simulation!C798)</f>
        <v>7.3900999999999613</v>
      </c>
      <c r="G796">
        <f>-(Historical_Simulation!D797-Historical_Simulation!D798)</f>
        <v>2.0900000000000034</v>
      </c>
      <c r="J796" s="23">
        <v>42996</v>
      </c>
      <c r="K796" s="24">
        <f t="shared" si="48"/>
        <v>6.9359947820972128</v>
      </c>
      <c r="L796" s="25"/>
      <c r="M796" s="25"/>
      <c r="N796" s="27"/>
      <c r="Q796" s="23">
        <v>42996</v>
      </c>
      <c r="R796" s="24">
        <f t="shared" si="49"/>
        <v>4.849531152273868</v>
      </c>
      <c r="S796" s="25"/>
      <c r="T796" s="25"/>
      <c r="U796" s="27"/>
      <c r="X796" s="47">
        <v>42996</v>
      </c>
      <c r="Y796" s="48">
        <f t="shared" si="50"/>
        <v>7.7405672210670966</v>
      </c>
      <c r="Z796" s="49"/>
      <c r="AA796" s="49"/>
      <c r="AB796" s="51"/>
      <c r="AE796" s="47">
        <v>42996</v>
      </c>
      <c r="AF796" s="48">
        <f t="shared" si="51"/>
        <v>5.4877961215753128</v>
      </c>
      <c r="AG796" s="49"/>
      <c r="AH796" s="49"/>
      <c r="AI796" s="51"/>
    </row>
    <row r="797" spans="1:35" x14ac:dyDescent="0.3">
      <c r="A797" s="20">
        <v>42991</v>
      </c>
      <c r="C797">
        <f>-(Historical_Simulation!B798-Historical_Simulation!B799)</f>
        <v>0.30250000000000199</v>
      </c>
      <c r="E797">
        <f>-(Historical_Simulation!C798-Historical_Simulation!C799)</f>
        <v>-17.019999999999982</v>
      </c>
      <c r="G797">
        <f>-(Historical_Simulation!D798-Historical_Simulation!D799)</f>
        <v>-9.0000000000003411E-2</v>
      </c>
      <c r="J797" s="23">
        <v>42993</v>
      </c>
      <c r="K797" s="24">
        <f t="shared" si="48"/>
        <v>2.7393881433618161</v>
      </c>
      <c r="L797" s="25"/>
      <c r="M797" s="25"/>
      <c r="N797" s="27"/>
      <c r="Q797" s="23">
        <v>42993</v>
      </c>
      <c r="R797" s="24">
        <f t="shared" si="49"/>
        <v>1.7519419485293266</v>
      </c>
      <c r="S797" s="25"/>
      <c r="T797" s="25"/>
      <c r="U797" s="27"/>
      <c r="X797" s="47">
        <v>42993</v>
      </c>
      <c r="Y797" s="48">
        <f t="shared" si="50"/>
        <v>-1.9688578696034988</v>
      </c>
      <c r="Z797" s="49"/>
      <c r="AA797" s="49"/>
      <c r="AB797" s="51"/>
      <c r="AE797" s="47">
        <v>42993</v>
      </c>
      <c r="AF797" s="48">
        <f t="shared" si="51"/>
        <v>-1.4936971103886911</v>
      </c>
      <c r="AG797" s="49"/>
      <c r="AH797" s="49"/>
      <c r="AI797" s="51"/>
    </row>
    <row r="798" spans="1:35" x14ac:dyDescent="0.3">
      <c r="A798" s="20">
        <v>42990</v>
      </c>
      <c r="C798">
        <f>-(Historical_Simulation!B799-Historical_Simulation!B800)</f>
        <v>0.15999999999999659</v>
      </c>
      <c r="E798">
        <f>-(Historical_Simulation!C799-Historical_Simulation!C800)</f>
        <v>-4.6200999999999794</v>
      </c>
      <c r="G798">
        <f>-(Historical_Simulation!D799-Historical_Simulation!D800)</f>
        <v>0.54999999999998295</v>
      </c>
      <c r="J798" s="23">
        <v>42992</v>
      </c>
      <c r="K798" s="24">
        <f t="shared" si="48"/>
        <v>4.1440724878275486</v>
      </c>
      <c r="L798" s="25"/>
      <c r="M798" s="25"/>
      <c r="N798" s="27"/>
      <c r="Q798" s="23">
        <v>42992</v>
      </c>
      <c r="R798" s="24">
        <f t="shared" si="49"/>
        <v>2.9483464048891768</v>
      </c>
      <c r="S798" s="25"/>
      <c r="T798" s="25"/>
      <c r="U798" s="27"/>
      <c r="X798" s="47">
        <v>42992</v>
      </c>
      <c r="Y798" s="48">
        <f t="shared" si="50"/>
        <v>10.133854025472564</v>
      </c>
      <c r="Z798" s="49"/>
      <c r="AA798" s="49"/>
      <c r="AB798" s="51"/>
      <c r="AE798" s="47">
        <v>42992</v>
      </c>
      <c r="AF798" s="48">
        <f t="shared" si="51"/>
        <v>7.1683417871585036</v>
      </c>
      <c r="AG798" s="49"/>
      <c r="AH798" s="49"/>
      <c r="AI798" s="51"/>
    </row>
    <row r="799" spans="1:35" x14ac:dyDescent="0.3">
      <c r="A799" s="20">
        <v>42989</v>
      </c>
      <c r="C799">
        <f>-(Historical_Simulation!B800-Historical_Simulation!B801)</f>
        <v>-0.71750000000000114</v>
      </c>
      <c r="E799">
        <f>-(Historical_Simulation!C800-Historical_Simulation!C801)</f>
        <v>-12.060100000000034</v>
      </c>
      <c r="G799">
        <f>-(Historical_Simulation!D800-Historical_Simulation!D801)</f>
        <v>-2.5600000000000023</v>
      </c>
      <c r="J799" s="23">
        <v>42991</v>
      </c>
      <c r="K799" s="24">
        <f t="shared" si="48"/>
        <v>-9.0414950366639708</v>
      </c>
      <c r="L799" s="25"/>
      <c r="M799" s="25"/>
      <c r="N799" s="27"/>
      <c r="Q799" s="23">
        <v>42991</v>
      </c>
      <c r="R799" s="24">
        <f t="shared" si="49"/>
        <v>-6.1024852926801954</v>
      </c>
      <c r="S799" s="25"/>
      <c r="T799" s="25"/>
      <c r="U799" s="27"/>
      <c r="X799" s="47">
        <v>42991</v>
      </c>
      <c r="Y799" s="48">
        <f t="shared" si="50"/>
        <v>-1.8967025493550931</v>
      </c>
      <c r="Z799" s="49"/>
      <c r="AA799" s="49"/>
      <c r="AB799" s="51"/>
      <c r="AE799" s="47">
        <v>42991</v>
      </c>
      <c r="AF799" s="48">
        <f t="shared" si="51"/>
        <v>-1.2306289850985652</v>
      </c>
      <c r="AG799" s="49"/>
      <c r="AH799" s="49"/>
      <c r="AI799" s="51"/>
    </row>
    <row r="800" spans="1:35" x14ac:dyDescent="0.3">
      <c r="A800" s="20">
        <v>42986</v>
      </c>
      <c r="C800">
        <f>-(Historical_Simulation!B801-Historical_Simulation!B802)</f>
        <v>0.65749999999999886</v>
      </c>
      <c r="E800">
        <f>-(Historical_Simulation!C801-Historical_Simulation!C802)</f>
        <v>13.570100000000025</v>
      </c>
      <c r="G800">
        <f>-(Historical_Simulation!D801-Historical_Simulation!D802)</f>
        <v>2.2600000000000193</v>
      </c>
      <c r="J800" s="23">
        <v>42990</v>
      </c>
      <c r="K800" s="24">
        <f t="shared" si="48"/>
        <v>-2.4184517635882425</v>
      </c>
      <c r="L800" s="25"/>
      <c r="M800" s="25"/>
      <c r="N800" s="27"/>
      <c r="Q800" s="23">
        <v>42990</v>
      </c>
      <c r="R800" s="24">
        <f t="shared" si="49"/>
        <v>-1.6074394687568507</v>
      </c>
      <c r="S800" s="25"/>
      <c r="T800" s="25"/>
      <c r="U800" s="27"/>
      <c r="X800" s="47">
        <v>42990</v>
      </c>
      <c r="Y800" s="48">
        <f t="shared" si="50"/>
        <v>2.3451948898049526</v>
      </c>
      <c r="Z800" s="49"/>
      <c r="AA800" s="49"/>
      <c r="AB800" s="51"/>
      <c r="AE800" s="47">
        <v>42990</v>
      </c>
      <c r="AF800" s="48">
        <f t="shared" si="51"/>
        <v>1.6833638323271609</v>
      </c>
      <c r="AG800" s="49"/>
      <c r="AH800" s="49"/>
      <c r="AI800" s="51"/>
    </row>
    <row r="801" spans="1:35" x14ac:dyDescent="0.3">
      <c r="A801" s="20">
        <v>42985</v>
      </c>
      <c r="C801">
        <f>-(Historical_Simulation!B802-Historical_Simulation!B803)</f>
        <v>0.16250000000000142</v>
      </c>
      <c r="E801">
        <f>-(Historical_Simulation!C802-Historical_Simulation!C803)</f>
        <v>-11.670000000000073</v>
      </c>
      <c r="G801">
        <f>-(Historical_Simulation!D802-Historical_Simulation!D803)</f>
        <v>-1.1200000000000045</v>
      </c>
      <c r="J801" s="23">
        <v>42989</v>
      </c>
      <c r="K801" s="24">
        <f t="shared" si="48"/>
        <v>-6.8358546314253248</v>
      </c>
      <c r="L801" s="25"/>
      <c r="M801" s="25"/>
      <c r="N801" s="27"/>
      <c r="Q801" s="23">
        <v>42989</v>
      </c>
      <c r="R801" s="24">
        <f t="shared" si="49"/>
        <v>-4.9114204029877149</v>
      </c>
      <c r="S801" s="25"/>
      <c r="T801" s="25"/>
      <c r="U801" s="27"/>
      <c r="X801" s="47">
        <v>42989</v>
      </c>
      <c r="Y801" s="48">
        <f t="shared" si="50"/>
        <v>-11.041145088373785</v>
      </c>
      <c r="Z801" s="49"/>
      <c r="AA801" s="49"/>
      <c r="AB801" s="51"/>
      <c r="AE801" s="47">
        <v>42989</v>
      </c>
      <c r="AF801" s="48">
        <f t="shared" si="51"/>
        <v>-7.9144175924689755</v>
      </c>
      <c r="AG801" s="49"/>
      <c r="AH801" s="49"/>
      <c r="AI801" s="51"/>
    </row>
    <row r="802" spans="1:35" x14ac:dyDescent="0.3">
      <c r="A802" s="20">
        <v>42984</v>
      </c>
      <c r="C802">
        <f>-(Historical_Simulation!B803-Historical_Simulation!B804)</f>
        <v>4.2500000000003979E-2</v>
      </c>
      <c r="E802">
        <f>-(Historical_Simulation!C803-Historical_Simulation!C804)</f>
        <v>-2.5299999999999727</v>
      </c>
      <c r="G802">
        <f>-(Historical_Simulation!D803-Historical_Simulation!D804)</f>
        <v>-1.3700000000000045</v>
      </c>
      <c r="J802" s="23">
        <v>42986</v>
      </c>
      <c r="K802" s="24">
        <f t="shared" si="48"/>
        <v>7.6227342508545268</v>
      </c>
      <c r="L802" s="25"/>
      <c r="M802" s="25"/>
      <c r="N802" s="27"/>
      <c r="Q802" s="23">
        <v>42986</v>
      </c>
      <c r="R802" s="24">
        <f t="shared" si="49"/>
        <v>5.4319270798246526</v>
      </c>
      <c r="S802" s="25"/>
      <c r="T802" s="25"/>
      <c r="U802" s="27"/>
      <c r="X802" s="47">
        <v>42986</v>
      </c>
      <c r="Y802" s="48">
        <f t="shared" si="50"/>
        <v>9.6364097715707935</v>
      </c>
      <c r="Z802" s="49"/>
      <c r="AA802" s="49"/>
      <c r="AB802" s="51"/>
      <c r="AE802" s="47">
        <v>42986</v>
      </c>
      <c r="AF802" s="48">
        <f t="shared" si="51"/>
        <v>6.9169629264215313</v>
      </c>
      <c r="AG802" s="49"/>
      <c r="AH802" s="49"/>
      <c r="AI802" s="51"/>
    </row>
    <row r="803" spans="1:35" x14ac:dyDescent="0.3">
      <c r="A803" s="20">
        <v>42983</v>
      </c>
      <c r="C803">
        <f>-(Historical_Simulation!B804-Historical_Simulation!B805)</f>
        <v>0.49249999999999972</v>
      </c>
      <c r="E803">
        <f>-(Historical_Simulation!C804-Historical_Simulation!C805)</f>
        <v>12.980000000000018</v>
      </c>
      <c r="G803">
        <f>-(Historical_Simulation!D804-Historical_Simulation!D805)</f>
        <v>1.3000000000000114</v>
      </c>
      <c r="J803" s="23">
        <v>42985</v>
      </c>
      <c r="K803" s="24">
        <f t="shared" si="48"/>
        <v>-6.2201134375134783</v>
      </c>
      <c r="L803" s="25"/>
      <c r="M803" s="25"/>
      <c r="N803" s="27"/>
      <c r="Q803" s="23">
        <v>42985</v>
      </c>
      <c r="R803" s="24">
        <f t="shared" si="49"/>
        <v>-4.2125606711293955</v>
      </c>
      <c r="S803" s="25"/>
      <c r="T803" s="25"/>
      <c r="U803" s="27"/>
      <c r="X803" s="47">
        <v>42985</v>
      </c>
      <c r="Y803" s="48">
        <f t="shared" si="50"/>
        <v>-7.023429349166582</v>
      </c>
      <c r="Z803" s="49"/>
      <c r="AA803" s="49"/>
      <c r="AB803" s="51"/>
      <c r="AE803" s="47">
        <v>42985</v>
      </c>
      <c r="AF803" s="48">
        <f t="shared" si="51"/>
        <v>-4.8470233716914493</v>
      </c>
      <c r="AG803" s="49"/>
      <c r="AH803" s="49"/>
      <c r="AI803" s="51"/>
    </row>
    <row r="804" spans="1:35" x14ac:dyDescent="0.3">
      <c r="A804" s="20">
        <v>42982</v>
      </c>
      <c r="C804">
        <f>-(Historical_Simulation!B805-Historical_Simulation!B806)</f>
        <v>0</v>
      </c>
      <c r="E804">
        <f>-(Historical_Simulation!C805-Historical_Simulation!C806)</f>
        <v>0</v>
      </c>
      <c r="G804">
        <f>-(Historical_Simulation!D805-Historical_Simulation!D806)</f>
        <v>0</v>
      </c>
      <c r="J804" s="23">
        <v>42984</v>
      </c>
      <c r="K804" s="24">
        <f t="shared" si="48"/>
        <v>-1.3451419241921088</v>
      </c>
      <c r="L804" s="25"/>
      <c r="M804" s="25"/>
      <c r="N804" s="27"/>
      <c r="Q804" s="23">
        <v>42984</v>
      </c>
      <c r="R804" s="24">
        <f t="shared" si="49"/>
        <v>-0.90868052621847906</v>
      </c>
      <c r="S804" s="25"/>
      <c r="T804" s="25"/>
      <c r="U804" s="27"/>
      <c r="X804" s="47">
        <v>42984</v>
      </c>
      <c r="Y804" s="48">
        <f t="shared" si="50"/>
        <v>-7.8718276457682714</v>
      </c>
      <c r="Z804" s="49"/>
      <c r="AA804" s="49"/>
      <c r="AB804" s="51"/>
      <c r="AE804" s="47">
        <v>42984</v>
      </c>
      <c r="AF804" s="48">
        <f t="shared" si="51"/>
        <v>-5.4748113158005296</v>
      </c>
      <c r="AG804" s="49"/>
      <c r="AH804" s="49"/>
      <c r="AI804" s="51"/>
    </row>
    <row r="805" spans="1:35" x14ac:dyDescent="0.3">
      <c r="A805" s="20">
        <v>42979</v>
      </c>
      <c r="C805">
        <f>-(Historical_Simulation!B806-Historical_Simulation!B807)</f>
        <v>-1.2500000000002842E-2</v>
      </c>
      <c r="E805">
        <f>-(Historical_Simulation!C806-Historical_Simulation!C807)</f>
        <v>2.3500999999999976</v>
      </c>
      <c r="G805">
        <f>-(Historical_Simulation!D806-Historical_Simulation!D807)</f>
        <v>-5.0000000000011369E-2</v>
      </c>
      <c r="J805" s="23">
        <v>42983</v>
      </c>
      <c r="K805" s="24">
        <f t="shared" si="48"/>
        <v>7.2284294570842329</v>
      </c>
      <c r="L805" s="25"/>
      <c r="M805" s="25"/>
      <c r="N805" s="27"/>
      <c r="Q805" s="23">
        <v>42983</v>
      </c>
      <c r="R805" s="24">
        <f t="shared" si="49"/>
        <v>5.1097465777078455</v>
      </c>
      <c r="S805" s="25"/>
      <c r="T805" s="25"/>
      <c r="U805" s="27"/>
      <c r="X805" s="47">
        <v>42983</v>
      </c>
      <c r="Y805" s="48">
        <f t="shared" si="50"/>
        <v>5.0169740346604854</v>
      </c>
      <c r="Z805" s="49"/>
      <c r="AA805" s="49"/>
      <c r="AB805" s="51"/>
      <c r="AE805" s="47">
        <v>42983</v>
      </c>
      <c r="AF805" s="48">
        <f t="shared" si="51"/>
        <v>3.6466443451390917</v>
      </c>
      <c r="AG805" s="49"/>
      <c r="AH805" s="49"/>
      <c r="AI805" s="51"/>
    </row>
    <row r="806" spans="1:35" x14ac:dyDescent="0.3">
      <c r="A806" s="20">
        <v>42978</v>
      </c>
      <c r="C806">
        <f>-(Historical_Simulation!B807-Historical_Simulation!B808)</f>
        <v>-0.16250000000000142</v>
      </c>
      <c r="E806">
        <f>-(Historical_Simulation!C807-Historical_Simulation!C808)</f>
        <v>-13.009999999999991</v>
      </c>
      <c r="G806">
        <f>-(Historical_Simulation!D807-Historical_Simulation!D808)</f>
        <v>-2.0500000000000114</v>
      </c>
      <c r="J806" s="23">
        <v>42982</v>
      </c>
      <c r="K806" s="24">
        <f t="shared" si="48"/>
        <v>0</v>
      </c>
      <c r="L806" s="25"/>
      <c r="M806" s="25"/>
      <c r="N806" s="27"/>
      <c r="Q806" s="23">
        <v>42982</v>
      </c>
      <c r="R806" s="24">
        <f t="shared" si="49"/>
        <v>0</v>
      </c>
      <c r="S806" s="25"/>
      <c r="T806" s="25"/>
      <c r="U806" s="27"/>
      <c r="X806" s="47">
        <v>42982</v>
      </c>
      <c r="Y806" s="48">
        <f t="shared" si="50"/>
        <v>0</v>
      </c>
      <c r="Z806" s="49"/>
      <c r="AA806" s="49"/>
      <c r="AB806" s="51"/>
      <c r="AE806" s="47">
        <v>42982</v>
      </c>
      <c r="AF806" s="48">
        <f t="shared" si="51"/>
        <v>0</v>
      </c>
      <c r="AG806" s="49"/>
      <c r="AH806" s="49"/>
      <c r="AI806" s="51"/>
    </row>
    <row r="807" spans="1:35" x14ac:dyDescent="0.3">
      <c r="A807" s="20">
        <v>42977</v>
      </c>
      <c r="C807">
        <f>-(Historical_Simulation!B808-Historical_Simulation!B809)</f>
        <v>-0.10999999999999943</v>
      </c>
      <c r="E807">
        <f>-(Historical_Simulation!C808-Historical_Simulation!C809)</f>
        <v>-13.529999999999973</v>
      </c>
      <c r="G807">
        <f>-(Historical_Simulation!D808-Historical_Simulation!D809)</f>
        <v>-1.8699999999999761</v>
      </c>
      <c r="J807" s="23">
        <v>42979</v>
      </c>
      <c r="K807" s="24">
        <f t="shared" si="48"/>
        <v>1.2619189737983707</v>
      </c>
      <c r="L807" s="25"/>
      <c r="M807" s="25"/>
      <c r="N807" s="27"/>
      <c r="Q807" s="23">
        <v>42979</v>
      </c>
      <c r="R807" s="24">
        <f t="shared" si="49"/>
        <v>0.86107011127067123</v>
      </c>
      <c r="S807" s="25"/>
      <c r="T807" s="25"/>
      <c r="U807" s="27"/>
      <c r="X807" s="47">
        <v>42979</v>
      </c>
      <c r="Y807" s="48">
        <f t="shared" si="50"/>
        <v>-0.22261489325053452</v>
      </c>
      <c r="Z807" s="49"/>
      <c r="AA807" s="49"/>
      <c r="AB807" s="51"/>
      <c r="AE807" s="47">
        <v>42979</v>
      </c>
      <c r="AF807" s="48">
        <f t="shared" si="51"/>
        <v>-0.15897729156996093</v>
      </c>
      <c r="AG807" s="49"/>
      <c r="AH807" s="49"/>
      <c r="AI807" s="51"/>
    </row>
    <row r="808" spans="1:35" x14ac:dyDescent="0.3">
      <c r="A808" s="20">
        <v>42976</v>
      </c>
      <c r="C808">
        <f>-(Historical_Simulation!B809-Historical_Simulation!B810)</f>
        <v>-0.35999999999999943</v>
      </c>
      <c r="E808">
        <f>-(Historical_Simulation!C809-Historical_Simulation!C810)</f>
        <v>-8.0401000000000522</v>
      </c>
      <c r="G808">
        <f>-(Historical_Simulation!D809-Historical_Simulation!D810)</f>
        <v>-0.81000000000000227</v>
      </c>
      <c r="J808" s="23">
        <v>42978</v>
      </c>
      <c r="K808" s="24">
        <f t="shared" si="48"/>
        <v>-7.0926184144055657</v>
      </c>
      <c r="L808" s="25"/>
      <c r="M808" s="25"/>
      <c r="N808" s="27"/>
      <c r="Q808" s="23">
        <v>42978</v>
      </c>
      <c r="R808" s="24">
        <f t="shared" si="49"/>
        <v>-4.9128563889570716</v>
      </c>
      <c r="S808" s="25"/>
      <c r="T808" s="25"/>
      <c r="U808" s="27"/>
      <c r="X808" s="47">
        <v>42978</v>
      </c>
      <c r="Y808" s="48">
        <f t="shared" si="50"/>
        <v>-10.738282960274415</v>
      </c>
      <c r="Z808" s="49"/>
      <c r="AA808" s="49"/>
      <c r="AB808" s="51"/>
      <c r="AE808" s="47">
        <v>42978</v>
      </c>
      <c r="AF808" s="48">
        <f t="shared" si="51"/>
        <v>-7.5351903423529194</v>
      </c>
      <c r="AG808" s="49"/>
      <c r="AH808" s="49"/>
      <c r="AI808" s="51"/>
    </row>
    <row r="809" spans="1:35" x14ac:dyDescent="0.3">
      <c r="A809" s="20">
        <v>42975</v>
      </c>
      <c r="C809">
        <f>-(Historical_Simulation!B810-Historical_Simulation!B811)</f>
        <v>-0.40249999999999631</v>
      </c>
      <c r="E809">
        <f>-(Historical_Simulation!C810-Historical_Simulation!C811)</f>
        <v>-0.75999999999999091</v>
      </c>
      <c r="G809">
        <f>-(Historical_Simulation!D810-Historical_Simulation!D811)</f>
        <v>-0.92000000000001592</v>
      </c>
      <c r="J809" s="23">
        <v>42977</v>
      </c>
      <c r="K809" s="24">
        <f t="shared" si="48"/>
        <v>-7.3489327979235313</v>
      </c>
      <c r="L809" s="25"/>
      <c r="M809" s="25"/>
      <c r="N809" s="27"/>
      <c r="Q809" s="23">
        <v>42977</v>
      </c>
      <c r="R809" s="24">
        <f t="shared" si="49"/>
        <v>-5.0720379637909163</v>
      </c>
      <c r="S809" s="25"/>
      <c r="T809" s="25"/>
      <c r="U809" s="27"/>
      <c r="X809" s="47">
        <v>42977</v>
      </c>
      <c r="Y809" s="48">
        <f t="shared" si="50"/>
        <v>-9.9713923232225792</v>
      </c>
      <c r="Z809" s="49"/>
      <c r="AA809" s="49"/>
      <c r="AB809" s="51"/>
      <c r="AE809" s="47">
        <v>42977</v>
      </c>
      <c r="AF809" s="48">
        <f t="shared" si="51"/>
        <v>-6.9846675510150451</v>
      </c>
      <c r="AG809" s="49"/>
      <c r="AH809" s="49"/>
      <c r="AI809" s="51"/>
    </row>
    <row r="810" spans="1:35" x14ac:dyDescent="0.3">
      <c r="A810" s="20">
        <v>42972</v>
      </c>
      <c r="C810">
        <f>-(Historical_Simulation!B811-Historical_Simulation!B812)</f>
        <v>-0.14750000000000085</v>
      </c>
      <c r="E810">
        <f>-(Historical_Simulation!C811-Historical_Simulation!C812)</f>
        <v>7.1900000000000546</v>
      </c>
      <c r="G810">
        <f>-(Historical_Simulation!D811-Historical_Simulation!D812)</f>
        <v>1.4200000000000159</v>
      </c>
      <c r="J810" s="23">
        <v>42976</v>
      </c>
      <c r="K810" s="24">
        <f t="shared" si="48"/>
        <v>-4.5027516975657971</v>
      </c>
      <c r="L810" s="25"/>
      <c r="M810" s="25"/>
      <c r="N810" s="27"/>
      <c r="Q810" s="23">
        <v>42976</v>
      </c>
      <c r="R810" s="24">
        <f t="shared" si="49"/>
        <v>-3.1997129482646014</v>
      </c>
      <c r="S810" s="25"/>
      <c r="T810" s="25"/>
      <c r="U810" s="27"/>
      <c r="X810" s="47">
        <v>42976</v>
      </c>
      <c r="Y810" s="48">
        <f t="shared" si="50"/>
        <v>-2.8813787190058222</v>
      </c>
      <c r="Z810" s="49"/>
      <c r="AA810" s="49"/>
      <c r="AB810" s="51"/>
      <c r="AE810" s="47">
        <v>42976</v>
      </c>
      <c r="AF810" s="48">
        <f t="shared" si="51"/>
        <v>-2.1177274988391077</v>
      </c>
      <c r="AG810" s="49"/>
      <c r="AH810" s="49"/>
      <c r="AI810" s="51"/>
    </row>
    <row r="811" spans="1:35" x14ac:dyDescent="0.3">
      <c r="A811" s="20">
        <v>42971</v>
      </c>
      <c r="C811">
        <f>-(Historical_Simulation!B812-Historical_Simulation!B813)</f>
        <v>0.17749999999999488</v>
      </c>
      <c r="E811">
        <f>-(Historical_Simulation!C812-Historical_Simulation!C813)</f>
        <v>5.5499999999999545</v>
      </c>
      <c r="G811">
        <f>-(Historical_Simulation!D812-Historical_Simulation!D813)</f>
        <v>0.96999999999999886</v>
      </c>
      <c r="J811" s="23">
        <v>42975</v>
      </c>
      <c r="K811" s="24">
        <f t="shared" si="48"/>
        <v>-0.59534042289549771</v>
      </c>
      <c r="L811" s="25"/>
      <c r="M811" s="25"/>
      <c r="N811" s="27"/>
      <c r="Q811" s="23">
        <v>42975</v>
      </c>
      <c r="R811" s="24">
        <f t="shared" si="49"/>
        <v>-0.53468543755999853</v>
      </c>
      <c r="S811" s="25"/>
      <c r="T811" s="25"/>
      <c r="U811" s="27"/>
      <c r="X811" s="47">
        <v>42975</v>
      </c>
      <c r="Y811" s="48">
        <f t="shared" si="50"/>
        <v>-3.3020855268567844</v>
      </c>
      <c r="Z811" s="49"/>
      <c r="AA811" s="49"/>
      <c r="AB811" s="51"/>
      <c r="AE811" s="47">
        <v>42975</v>
      </c>
      <c r="AF811" s="48">
        <f t="shared" si="51"/>
        <v>-2.4238866236650347</v>
      </c>
      <c r="AG811" s="49"/>
      <c r="AH811" s="49"/>
      <c r="AI811" s="51"/>
    </row>
    <row r="812" spans="1:35" x14ac:dyDescent="0.3">
      <c r="A812" s="20">
        <v>42970</v>
      </c>
      <c r="C812">
        <f>-(Historical_Simulation!B813-Historical_Simulation!B814)</f>
        <v>-4.9999999999997158E-2</v>
      </c>
      <c r="E812">
        <f>-(Historical_Simulation!C813-Historical_Simulation!C814)</f>
        <v>8.8999000000000024</v>
      </c>
      <c r="G812">
        <f>-(Historical_Simulation!D813-Historical_Simulation!D814)</f>
        <v>0.9299999999999784</v>
      </c>
      <c r="J812" s="23">
        <v>42972</v>
      </c>
      <c r="K812" s="24">
        <f t="shared" si="48"/>
        <v>3.8104485398483163</v>
      </c>
      <c r="L812" s="25"/>
      <c r="M812" s="25"/>
      <c r="N812" s="27"/>
      <c r="Q812" s="23">
        <v>42972</v>
      </c>
      <c r="R812" s="24">
        <f t="shared" si="49"/>
        <v>2.5655367778924134</v>
      </c>
      <c r="S812" s="25"/>
      <c r="T812" s="25"/>
      <c r="U812" s="27"/>
      <c r="X812" s="47">
        <v>42972</v>
      </c>
      <c r="Y812" s="48">
        <f t="shared" si="50"/>
        <v>8.6353025378703201</v>
      </c>
      <c r="Z812" s="49"/>
      <c r="AA812" s="49"/>
      <c r="AB812" s="51"/>
      <c r="AE812" s="47">
        <v>42972</v>
      </c>
      <c r="AF812" s="48">
        <f t="shared" si="51"/>
        <v>5.9752507876229206</v>
      </c>
      <c r="AG812" s="49"/>
      <c r="AH812" s="49"/>
      <c r="AI812" s="51"/>
    </row>
    <row r="813" spans="1:35" x14ac:dyDescent="0.3">
      <c r="A813" s="20">
        <v>42969</v>
      </c>
      <c r="C813">
        <f>-(Historical_Simulation!B814-Historical_Simulation!B815)</f>
        <v>-0.64249999999999829</v>
      </c>
      <c r="E813">
        <f>-(Historical_Simulation!C814-Historical_Simulation!C815)</f>
        <v>-13.609900000000039</v>
      </c>
      <c r="G813">
        <f>-(Historical_Simulation!D814-Historical_Simulation!D815)</f>
        <v>-1.8599999999999852</v>
      </c>
      <c r="J813" s="23">
        <v>42971</v>
      </c>
      <c r="K813" s="24">
        <f t="shared" si="48"/>
        <v>3.0755004811359083</v>
      </c>
      <c r="L813" s="25"/>
      <c r="M813" s="25"/>
      <c r="N813" s="27"/>
      <c r="Q813" s="23">
        <v>42971</v>
      </c>
      <c r="R813" s="24">
        <f t="shared" si="49"/>
        <v>2.1639790581569662</v>
      </c>
      <c r="S813" s="25"/>
      <c r="T813" s="25"/>
      <c r="U813" s="27"/>
      <c r="X813" s="47">
        <v>42971</v>
      </c>
      <c r="Y813" s="48">
        <f t="shared" si="50"/>
        <v>4.6179280773602445</v>
      </c>
      <c r="Z813" s="49"/>
      <c r="AA813" s="49"/>
      <c r="AB813" s="51"/>
      <c r="AE813" s="47">
        <v>42971</v>
      </c>
      <c r="AF813" s="48">
        <f t="shared" si="51"/>
        <v>3.273053428511087</v>
      </c>
      <c r="AG813" s="49"/>
      <c r="AH813" s="49"/>
      <c r="AI813" s="51"/>
    </row>
    <row r="814" spans="1:35" x14ac:dyDescent="0.3">
      <c r="A814" s="20">
        <v>42968</v>
      </c>
      <c r="C814">
        <f>-(Historical_Simulation!B815-Historical_Simulation!B816)</f>
        <v>7.249999999999801E-2</v>
      </c>
      <c r="E814">
        <f>-(Historical_Simulation!C815-Historical_Simulation!C816)</f>
        <v>5.1800000000000637</v>
      </c>
      <c r="G814">
        <f>-(Historical_Simulation!D815-Historical_Simulation!D816)</f>
        <v>-0.37000000000000455</v>
      </c>
      <c r="J814" s="23">
        <v>42970</v>
      </c>
      <c r="K814" s="24">
        <f t="shared" si="48"/>
        <v>4.777699303139789</v>
      </c>
      <c r="L814" s="25"/>
      <c r="M814" s="25"/>
      <c r="N814" s="27"/>
      <c r="Q814" s="23">
        <v>42970</v>
      </c>
      <c r="R814" s="24">
        <f t="shared" si="49"/>
        <v>3.2592208324986922</v>
      </c>
      <c r="S814" s="25"/>
      <c r="T814" s="25"/>
      <c r="U814" s="27"/>
      <c r="X814" s="47">
        <v>42970</v>
      </c>
      <c r="Y814" s="48">
        <f t="shared" si="50"/>
        <v>5.4410025436125116</v>
      </c>
      <c r="Z814" s="49"/>
      <c r="AA814" s="49"/>
      <c r="AB814" s="51"/>
      <c r="AE814" s="47">
        <v>42970</v>
      </c>
      <c r="AF814" s="48">
        <f t="shared" si="51"/>
        <v>3.777939886360608</v>
      </c>
      <c r="AG814" s="49"/>
      <c r="AH814" s="49"/>
      <c r="AI814" s="51"/>
    </row>
    <row r="815" spans="1:35" x14ac:dyDescent="0.3">
      <c r="A815" s="20">
        <v>42965</v>
      </c>
      <c r="C815">
        <f>-(Historical_Simulation!B816-Historical_Simulation!B817)</f>
        <v>9.0000000000003411E-2</v>
      </c>
      <c r="E815">
        <f>-(Historical_Simulation!C816-Historical_Simulation!C817)</f>
        <v>2.1000999999999976</v>
      </c>
      <c r="G815">
        <f>-(Historical_Simulation!D816-Historical_Simulation!D817)</f>
        <v>-0.5</v>
      </c>
      <c r="J815" s="23">
        <v>42969</v>
      </c>
      <c r="K815" s="24">
        <f t="shared" si="48"/>
        <v>-7.6372941254690057</v>
      </c>
      <c r="L815" s="25"/>
      <c r="M815" s="25"/>
      <c r="N815" s="27"/>
      <c r="Q815" s="23">
        <v>42969</v>
      </c>
      <c r="R815" s="24">
        <f t="shared" si="49"/>
        <v>-5.4371893510925959</v>
      </c>
      <c r="S815" s="25"/>
      <c r="T815" s="25"/>
      <c r="U815" s="27"/>
      <c r="X815" s="47">
        <v>42969</v>
      </c>
      <c r="Y815" s="48">
        <f t="shared" si="50"/>
        <v>-7.4642302008656358</v>
      </c>
      <c r="Z815" s="49"/>
      <c r="AA815" s="49"/>
      <c r="AB815" s="51"/>
      <c r="AE815" s="47">
        <v>42969</v>
      </c>
      <c r="AF815" s="48">
        <f t="shared" si="51"/>
        <v>-5.3981293996368382</v>
      </c>
      <c r="AG815" s="49"/>
      <c r="AH815" s="49"/>
      <c r="AI815" s="51"/>
    </row>
    <row r="816" spans="1:35" x14ac:dyDescent="0.3">
      <c r="A816" s="20">
        <v>42964</v>
      </c>
      <c r="C816">
        <f>-(Historical_Simulation!B817-Historical_Simulation!B818)</f>
        <v>0.77249999999999375</v>
      </c>
      <c r="E816">
        <f>-(Historical_Simulation!C817-Historical_Simulation!C818)</f>
        <v>17.60979999999995</v>
      </c>
      <c r="G816">
        <f>-(Historical_Simulation!D817-Historical_Simulation!D818)</f>
        <v>3.0900000000000034</v>
      </c>
      <c r="J816" s="23">
        <v>42968</v>
      </c>
      <c r="K816" s="24">
        <f t="shared" si="48"/>
        <v>2.8275558319966438</v>
      </c>
      <c r="L816" s="25"/>
      <c r="M816" s="25"/>
      <c r="N816" s="27"/>
      <c r="Q816" s="23">
        <v>42968</v>
      </c>
      <c r="R816" s="24">
        <f t="shared" si="49"/>
        <v>1.9609954470985438</v>
      </c>
      <c r="S816" s="25"/>
      <c r="T816" s="25"/>
      <c r="U816" s="27"/>
      <c r="X816" s="47">
        <v>42968</v>
      </c>
      <c r="Y816" s="48">
        <f t="shared" si="50"/>
        <v>-2.4068557403557267</v>
      </c>
      <c r="Z816" s="49"/>
      <c r="AA816" s="49"/>
      <c r="AB816" s="51"/>
      <c r="AE816" s="47">
        <v>42968</v>
      </c>
      <c r="AF816" s="48">
        <f t="shared" si="51"/>
        <v>-1.6559320405251243</v>
      </c>
      <c r="AG816" s="49"/>
      <c r="AH816" s="49"/>
      <c r="AI816" s="51"/>
    </row>
    <row r="817" spans="1:35" x14ac:dyDescent="0.3">
      <c r="A817" s="20">
        <v>42963</v>
      </c>
      <c r="C817">
        <f>-(Historical_Simulation!B818-Historical_Simulation!B819)</f>
        <v>0.16250000000000142</v>
      </c>
      <c r="E817">
        <f>-(Historical_Simulation!C818-Historical_Simulation!C819)</f>
        <v>4.560100000000034</v>
      </c>
      <c r="G817">
        <f>-(Historical_Simulation!D818-Historical_Simulation!D819)</f>
        <v>1</v>
      </c>
      <c r="J817" s="23">
        <v>42965</v>
      </c>
      <c r="K817" s="24">
        <f t="shared" si="48"/>
        <v>1.1742756197545547</v>
      </c>
      <c r="L817" s="25"/>
      <c r="M817" s="25"/>
      <c r="N817" s="27"/>
      <c r="Q817" s="23">
        <v>42965</v>
      </c>
      <c r="R817" s="24">
        <f t="shared" si="49"/>
        <v>0.83323342108913256</v>
      </c>
      <c r="S817" s="25"/>
      <c r="T817" s="25"/>
      <c r="U817" s="27"/>
      <c r="X817" s="47">
        <v>42965</v>
      </c>
      <c r="Y817" s="48">
        <f t="shared" si="50"/>
        <v>-3.2158076538076292</v>
      </c>
      <c r="Z817" s="49"/>
      <c r="AA817" s="49"/>
      <c r="AB817" s="51"/>
      <c r="AE817" s="47">
        <v>42965</v>
      </c>
      <c r="AF817" s="48">
        <f t="shared" si="51"/>
        <v>-2.2145760540334929</v>
      </c>
      <c r="AG817" s="49"/>
      <c r="AH817" s="49"/>
      <c r="AI817" s="51"/>
    </row>
    <row r="818" spans="1:35" x14ac:dyDescent="0.3">
      <c r="A818" s="20">
        <v>42962</v>
      </c>
      <c r="C818">
        <f>-(Historical_Simulation!B819-Historical_Simulation!B820)</f>
        <v>-0.4375</v>
      </c>
      <c r="E818">
        <f>-(Historical_Simulation!C819-Historical_Simulation!C820)</f>
        <v>0.55999999999994543</v>
      </c>
      <c r="G818">
        <f>-(Historical_Simulation!D819-Historical_Simulation!D820)</f>
        <v>-0.25</v>
      </c>
      <c r="J818" s="23">
        <v>42964</v>
      </c>
      <c r="K818" s="24">
        <f t="shared" si="48"/>
        <v>9.8547714752964009</v>
      </c>
      <c r="L818" s="25"/>
      <c r="M818" s="25"/>
      <c r="N818" s="27"/>
      <c r="Q818" s="23">
        <v>42964</v>
      </c>
      <c r="R818" s="24">
        <f t="shared" si="49"/>
        <v>6.9980828470742669</v>
      </c>
      <c r="S818" s="25"/>
      <c r="T818" s="25"/>
      <c r="U818" s="27"/>
      <c r="X818" s="47">
        <v>42964</v>
      </c>
      <c r="Y818" s="48">
        <f t="shared" si="50"/>
        <v>13.757600402879955</v>
      </c>
      <c r="Z818" s="49"/>
      <c r="AA818" s="49"/>
      <c r="AB818" s="51"/>
      <c r="AE818" s="47">
        <v>42964</v>
      </c>
      <c r="AF818" s="48">
        <f t="shared" si="51"/>
        <v>9.8247966190213809</v>
      </c>
      <c r="AG818" s="49"/>
      <c r="AH818" s="49"/>
      <c r="AI818" s="51"/>
    </row>
    <row r="819" spans="1:35" x14ac:dyDescent="0.3">
      <c r="A819" s="20">
        <v>42961</v>
      </c>
      <c r="C819">
        <f>-(Historical_Simulation!B820-Historical_Simulation!B821)</f>
        <v>-0.59250000000000114</v>
      </c>
      <c r="E819">
        <f>-(Historical_Simulation!C820-Historical_Simulation!C821)</f>
        <v>-15.309999999999945</v>
      </c>
      <c r="G819">
        <f>-(Historical_Simulation!D820-Historical_Simulation!D821)</f>
        <v>-2.6699999999999875</v>
      </c>
      <c r="J819" s="23">
        <v>42963</v>
      </c>
      <c r="K819" s="24">
        <f t="shared" si="48"/>
        <v>2.5346259964343396</v>
      </c>
      <c r="L819" s="25"/>
      <c r="M819" s="25"/>
      <c r="N819" s="27"/>
      <c r="Q819" s="23">
        <v>42963</v>
      </c>
      <c r="R819" s="24">
        <f t="shared" si="49"/>
        <v>1.7885102943045572</v>
      </c>
      <c r="S819" s="25"/>
      <c r="T819" s="25"/>
      <c r="U819" s="27"/>
      <c r="X819" s="47">
        <v>42963</v>
      </c>
      <c r="Y819" s="48">
        <f t="shared" si="50"/>
        <v>4.8550659492608013</v>
      </c>
      <c r="Z819" s="49"/>
      <c r="AA819" s="49"/>
      <c r="AB819" s="51"/>
      <c r="AE819" s="47">
        <v>42963</v>
      </c>
      <c r="AF819" s="48">
        <f t="shared" si="51"/>
        <v>3.4338261783949826</v>
      </c>
      <c r="AG819" s="49"/>
      <c r="AH819" s="49"/>
      <c r="AI819" s="51"/>
    </row>
    <row r="820" spans="1:35" x14ac:dyDescent="0.3">
      <c r="A820" s="20">
        <v>42958</v>
      </c>
      <c r="C820">
        <f>-(Historical_Simulation!B821-Historical_Simulation!B822)</f>
        <v>-0.53999999999999915</v>
      </c>
      <c r="E820">
        <f>-(Historical_Simulation!C821-Historical_Simulation!C822)</f>
        <v>-11.070100000000025</v>
      </c>
      <c r="G820">
        <f>-(Historical_Simulation!D821-Historical_Simulation!D822)</f>
        <v>-0.68000000000000682</v>
      </c>
      <c r="J820" s="23">
        <v>42962</v>
      </c>
      <c r="K820" s="24">
        <f t="shared" si="48"/>
        <v>0.10056523591120281</v>
      </c>
      <c r="L820" s="25"/>
      <c r="M820" s="25"/>
      <c r="N820" s="27"/>
      <c r="Q820" s="23">
        <v>42962</v>
      </c>
      <c r="R820" s="24">
        <f t="shared" si="49"/>
        <v>-6.8674897996931578E-2</v>
      </c>
      <c r="S820" s="25"/>
      <c r="T820" s="25"/>
      <c r="U820" s="27"/>
      <c r="X820" s="47">
        <v>42962</v>
      </c>
      <c r="Y820" s="48">
        <f t="shared" si="50"/>
        <v>0.61307446625241946</v>
      </c>
      <c r="Z820" s="49"/>
      <c r="AA820" s="49"/>
      <c r="AB820" s="51"/>
      <c r="AE820" s="47">
        <v>42962</v>
      </c>
      <c r="AF820" s="48">
        <f t="shared" si="51"/>
        <v>0.29488645784962397</v>
      </c>
      <c r="AG820" s="49"/>
      <c r="AH820" s="49"/>
      <c r="AI820" s="51"/>
    </row>
    <row r="821" spans="1:35" x14ac:dyDescent="0.3">
      <c r="A821" s="20">
        <v>42957</v>
      </c>
      <c r="C821">
        <f>-(Historical_Simulation!B822-Historical_Simulation!B823)</f>
        <v>1.4350000000000023</v>
      </c>
      <c r="E821">
        <f>-(Historical_Simulation!C822-Historical_Simulation!C823)</f>
        <v>25.090100000000007</v>
      </c>
      <c r="G821">
        <f>-(Historical_Simulation!D822-Historical_Simulation!D823)</f>
        <v>3.7800000000000011</v>
      </c>
      <c r="J821" s="23">
        <v>42961</v>
      </c>
      <c r="K821" s="24">
        <f t="shared" si="48"/>
        <v>-8.5313221649358724</v>
      </c>
      <c r="L821" s="25"/>
      <c r="M821" s="25"/>
      <c r="N821" s="27"/>
      <c r="Q821" s="23">
        <v>42961</v>
      </c>
      <c r="R821" s="24">
        <f t="shared" si="49"/>
        <v>-6.0342879085016916</v>
      </c>
      <c r="S821" s="25"/>
      <c r="T821" s="25"/>
      <c r="U821" s="27"/>
      <c r="X821" s="47">
        <v>42961</v>
      </c>
      <c r="Y821" s="48">
        <f t="shared" si="50"/>
        <v>-12.232865086076735</v>
      </c>
      <c r="Z821" s="49"/>
      <c r="AA821" s="49"/>
      <c r="AB821" s="51"/>
      <c r="AE821" s="47">
        <v>42961</v>
      </c>
      <c r="AF821" s="48">
        <f t="shared" si="51"/>
        <v>-8.7073419529737812</v>
      </c>
      <c r="AG821" s="49"/>
      <c r="AH821" s="49"/>
      <c r="AI821" s="51"/>
    </row>
    <row r="822" spans="1:35" x14ac:dyDescent="0.3">
      <c r="A822" s="20">
        <v>42956</v>
      </c>
      <c r="C822">
        <f>-(Historical_Simulation!B823-Historical_Simulation!B824)</f>
        <v>-0.24499999999999744</v>
      </c>
      <c r="E822">
        <f>-(Historical_Simulation!C823-Historical_Simulation!C824)</f>
        <v>7.8301000000000158</v>
      </c>
      <c r="G822">
        <f>-(Historical_Simulation!D823-Historical_Simulation!D824)</f>
        <v>4.9999999999982947E-2</v>
      </c>
      <c r="J822" s="23">
        <v>42958</v>
      </c>
      <c r="K822" s="24">
        <f t="shared" si="48"/>
        <v>-6.2200809430264457</v>
      </c>
      <c r="L822" s="25"/>
      <c r="M822" s="25"/>
      <c r="N822" s="27"/>
      <c r="Q822" s="23">
        <v>42958</v>
      </c>
      <c r="R822" s="24">
        <f t="shared" si="49"/>
        <v>-4.4334989539877014</v>
      </c>
      <c r="S822" s="25"/>
      <c r="T822" s="25"/>
      <c r="U822" s="27"/>
      <c r="X822" s="47">
        <v>42958</v>
      </c>
      <c r="Y822" s="48">
        <f t="shared" si="50"/>
        <v>-1.3244289348018485</v>
      </c>
      <c r="Z822" s="49"/>
      <c r="AA822" s="49"/>
      <c r="AB822" s="51"/>
      <c r="AE822" s="47">
        <v>42958</v>
      </c>
      <c r="AF822" s="48">
        <f t="shared" si="51"/>
        <v>-1.0868485551944147</v>
      </c>
      <c r="AG822" s="49"/>
      <c r="AH822" s="49"/>
      <c r="AI822" s="51"/>
    </row>
    <row r="823" spans="1:35" x14ac:dyDescent="0.3">
      <c r="A823" s="20">
        <v>42955</v>
      </c>
      <c r="C823">
        <f>-(Historical_Simulation!B824-Historical_Simulation!B825)</f>
        <v>-0.31750000000000256</v>
      </c>
      <c r="E823">
        <f>-(Historical_Simulation!C824-Historical_Simulation!C825)</f>
        <v>2.4298999999999751</v>
      </c>
      <c r="G823">
        <f>-(Historical_Simulation!D824-Historical_Simulation!D825)</f>
        <v>0.75</v>
      </c>
      <c r="J823" s="23">
        <v>42957</v>
      </c>
      <c r="K823" s="24">
        <f t="shared" si="48"/>
        <v>14.194886678700547</v>
      </c>
      <c r="L823" s="25"/>
      <c r="M823" s="25"/>
      <c r="N823" s="27"/>
      <c r="Q823" s="23">
        <v>42957</v>
      </c>
      <c r="R823" s="24">
        <f t="shared" si="49"/>
        <v>10.181460822449388</v>
      </c>
      <c r="S823" s="25"/>
      <c r="T823" s="25"/>
      <c r="U823" s="27"/>
      <c r="X823" s="47">
        <v>42957</v>
      </c>
      <c r="Y823" s="48">
        <f t="shared" si="50"/>
        <v>14.574184657930255</v>
      </c>
      <c r="Z823" s="49"/>
      <c r="AA823" s="49"/>
      <c r="AB823" s="51"/>
      <c r="AE823" s="47">
        <v>42957</v>
      </c>
      <c r="AF823" s="48">
        <f t="shared" si="51"/>
        <v>10.594713299505962</v>
      </c>
      <c r="AG823" s="49"/>
      <c r="AH823" s="49"/>
      <c r="AI823" s="51"/>
    </row>
    <row r="824" spans="1:35" x14ac:dyDescent="0.3">
      <c r="A824" s="20">
        <v>42954</v>
      </c>
      <c r="C824">
        <f>-(Historical_Simulation!B825-Historical_Simulation!B826)</f>
        <v>-0.60500000000000398</v>
      </c>
      <c r="E824">
        <f>-(Historical_Simulation!C825-Historical_Simulation!C826)</f>
        <v>-4.689899999999966</v>
      </c>
      <c r="G824">
        <f>-(Historical_Simulation!D825-Historical_Simulation!D826)</f>
        <v>-2.3599999999999852</v>
      </c>
      <c r="J824" s="23">
        <v>42956</v>
      </c>
      <c r="K824" s="24">
        <f t="shared" si="48"/>
        <v>4.1108201368489237</v>
      </c>
      <c r="L824" s="25"/>
      <c r="M824" s="25"/>
      <c r="N824" s="27"/>
      <c r="Q824" s="23">
        <v>42956</v>
      </c>
      <c r="R824" s="24">
        <f t="shared" si="49"/>
        <v>2.7407639911630559</v>
      </c>
      <c r="S824" s="25"/>
      <c r="T824" s="25"/>
      <c r="U824" s="27"/>
      <c r="X824" s="47">
        <v>42956</v>
      </c>
      <c r="Y824" s="48">
        <f t="shared" si="50"/>
        <v>1.4079038269036994</v>
      </c>
      <c r="Z824" s="49"/>
      <c r="AA824" s="49"/>
      <c r="AB824" s="51"/>
      <c r="AE824" s="47">
        <v>42956</v>
      </c>
      <c r="AF824" s="48">
        <f t="shared" si="51"/>
        <v>0.90728802701666744</v>
      </c>
      <c r="AG824" s="49"/>
      <c r="AH824" s="49"/>
      <c r="AI824" s="51"/>
    </row>
    <row r="825" spans="1:35" x14ac:dyDescent="0.3">
      <c r="A825" s="20">
        <v>42951</v>
      </c>
      <c r="C825">
        <f>-(Historical_Simulation!B826-Historical_Simulation!B827)</f>
        <v>-0.20499999999999829</v>
      </c>
      <c r="E825">
        <f>-(Historical_Simulation!C826-Historical_Simulation!C827)</f>
        <v>-0.66020000000003165</v>
      </c>
      <c r="G825">
        <f>-(Historical_Simulation!D826-Historical_Simulation!D827)</f>
        <v>-1.0300000000000011</v>
      </c>
      <c r="J825" s="23">
        <v>42955</v>
      </c>
      <c r="K825" s="24">
        <f t="shared" si="48"/>
        <v>1.1644853926240653</v>
      </c>
      <c r="L825" s="25"/>
      <c r="M825" s="25"/>
      <c r="N825" s="27"/>
      <c r="Q825" s="23">
        <v>42955</v>
      </c>
      <c r="R825" s="24">
        <f t="shared" si="49"/>
        <v>0.69834970951706754</v>
      </c>
      <c r="S825" s="25"/>
      <c r="T825" s="25"/>
      <c r="U825" s="27"/>
      <c r="X825" s="47">
        <v>42955</v>
      </c>
      <c r="Y825" s="48">
        <f t="shared" si="50"/>
        <v>5.6637706278637872</v>
      </c>
      <c r="Z825" s="49"/>
      <c r="AA825" s="49"/>
      <c r="AB825" s="51"/>
      <c r="AE825" s="47">
        <v>42955</v>
      </c>
      <c r="AF825" s="48">
        <f t="shared" si="51"/>
        <v>3.8522202333571993</v>
      </c>
      <c r="AG825" s="49"/>
      <c r="AH825" s="49"/>
      <c r="AI825" s="51"/>
    </row>
    <row r="826" spans="1:35" x14ac:dyDescent="0.3">
      <c r="A826" s="20">
        <v>42950</v>
      </c>
      <c r="C826">
        <f>-(Historical_Simulation!B827-Historical_Simulation!B828)</f>
        <v>0.39249999999999829</v>
      </c>
      <c r="E826">
        <f>-(Historical_Simulation!C827-Historical_Simulation!C828)</f>
        <v>8.9700000000000273</v>
      </c>
      <c r="G826">
        <f>-(Historical_Simulation!D827-Historical_Simulation!D828)</f>
        <v>0.71000000000000796</v>
      </c>
      <c r="J826" s="23">
        <v>42954</v>
      </c>
      <c r="K826" s="24">
        <f t="shared" si="48"/>
        <v>-2.8084513104499007</v>
      </c>
      <c r="L826" s="25"/>
      <c r="M826" s="25"/>
      <c r="N826" s="27"/>
      <c r="Q826" s="23">
        <v>42954</v>
      </c>
      <c r="R826" s="24">
        <f t="shared" si="49"/>
        <v>-2.1153896332555453</v>
      </c>
      <c r="S826" s="25"/>
      <c r="T826" s="25"/>
      <c r="U826" s="27"/>
      <c r="X826" s="47">
        <v>42954</v>
      </c>
      <c r="Y826" s="48">
        <f t="shared" si="50"/>
        <v>-10.438377004122545</v>
      </c>
      <c r="Z826" s="49"/>
      <c r="AA826" s="49"/>
      <c r="AB826" s="51"/>
      <c r="AE826" s="47">
        <v>42954</v>
      </c>
      <c r="AF826" s="48">
        <f t="shared" si="51"/>
        <v>-7.46013724547241</v>
      </c>
      <c r="AG826" s="49"/>
      <c r="AH826" s="49"/>
      <c r="AI826" s="51"/>
    </row>
    <row r="827" spans="1:35" x14ac:dyDescent="0.3">
      <c r="A827" s="20">
        <v>42949</v>
      </c>
      <c r="C827">
        <f>-(Historical_Simulation!B828-Historical_Simulation!B829)</f>
        <v>-1.7724999999999937</v>
      </c>
      <c r="E827">
        <f>-(Historical_Simulation!C828-Historical_Simulation!C829)</f>
        <v>0.29999999999995453</v>
      </c>
      <c r="G827">
        <f>-(Historical_Simulation!D828-Historical_Simulation!D829)</f>
        <v>0.56000000000000227</v>
      </c>
      <c r="J827" s="23">
        <v>42951</v>
      </c>
      <c r="K827" s="24">
        <f t="shared" si="48"/>
        <v>-0.45054114825745278</v>
      </c>
      <c r="L827" s="25"/>
      <c r="M827" s="25"/>
      <c r="N827" s="27"/>
      <c r="Q827" s="23">
        <v>42951</v>
      </c>
      <c r="R827" s="24">
        <f t="shared" si="49"/>
        <v>-0.37330996133515443</v>
      </c>
      <c r="S827" s="25"/>
      <c r="T827" s="25"/>
      <c r="U827" s="27"/>
      <c r="X827" s="47">
        <v>42951</v>
      </c>
      <c r="Y827" s="48">
        <f t="shared" si="50"/>
        <v>-4.8275276515106604</v>
      </c>
      <c r="Z827" s="49"/>
      <c r="AA827" s="49"/>
      <c r="AB827" s="51"/>
      <c r="AE827" s="47">
        <v>42951</v>
      </c>
      <c r="AF827" s="48">
        <f t="shared" si="51"/>
        <v>-3.427500414538355</v>
      </c>
      <c r="AG827" s="49"/>
      <c r="AH827" s="49"/>
      <c r="AI827" s="51"/>
    </row>
    <row r="828" spans="1:35" x14ac:dyDescent="0.3">
      <c r="A828" s="20">
        <v>42948</v>
      </c>
      <c r="C828">
        <f>-(Historical_Simulation!B829-Historical_Simulation!B830)</f>
        <v>-0.3300000000000054</v>
      </c>
      <c r="E828">
        <f>-(Historical_Simulation!C829-Historical_Simulation!C830)</f>
        <v>-8.4098999999999933</v>
      </c>
      <c r="G828">
        <f>-(Historical_Simulation!D829-Historical_Simulation!D830)</f>
        <v>-0.61000000000001364</v>
      </c>
      <c r="J828" s="23">
        <v>42950</v>
      </c>
      <c r="K828" s="24">
        <f t="shared" si="48"/>
        <v>5.0193216150662749</v>
      </c>
      <c r="L828" s="25"/>
      <c r="M828" s="25"/>
      <c r="N828" s="27"/>
      <c r="Q828" s="23">
        <v>42950</v>
      </c>
      <c r="R828" s="24">
        <f t="shared" si="49"/>
        <v>3.5640261277508789</v>
      </c>
      <c r="S828" s="25"/>
      <c r="T828" s="25"/>
      <c r="U828" s="27"/>
      <c r="X828" s="47">
        <v>42950</v>
      </c>
      <c r="Y828" s="48">
        <f t="shared" si="50"/>
        <v>2.1714727628541497</v>
      </c>
      <c r="Z828" s="49"/>
      <c r="AA828" s="49"/>
      <c r="AB828" s="51"/>
      <c r="AE828" s="47">
        <v>42950</v>
      </c>
      <c r="AF828" s="48">
        <f t="shared" si="51"/>
        <v>1.6326744019587327</v>
      </c>
      <c r="AG828" s="49"/>
      <c r="AH828" s="49"/>
      <c r="AI828" s="51"/>
    </row>
    <row r="829" spans="1:35" x14ac:dyDescent="0.3">
      <c r="A829" s="20">
        <v>42947</v>
      </c>
      <c r="C829">
        <f>-(Historical_Simulation!B830-Historical_Simulation!B831)</f>
        <v>0.19250000000000256</v>
      </c>
      <c r="E829">
        <f>-(Historical_Simulation!C830-Historical_Simulation!C831)</f>
        <v>32.259999999999991</v>
      </c>
      <c r="G829">
        <f>-(Historical_Simulation!D830-Historical_Simulation!D831)</f>
        <v>3.1999999999999886</v>
      </c>
      <c r="J829" s="23">
        <v>42949</v>
      </c>
      <c r="K829" s="24">
        <f t="shared" si="48"/>
        <v>-0.6545649609764338</v>
      </c>
      <c r="L829" s="25"/>
      <c r="M829" s="25"/>
      <c r="N829" s="27"/>
      <c r="Q829" s="23">
        <v>42949</v>
      </c>
      <c r="R829" s="24">
        <f t="shared" si="49"/>
        <v>-1.006194211627681</v>
      </c>
      <c r="S829" s="25"/>
      <c r="T829" s="25"/>
      <c r="U829" s="27"/>
      <c r="X829" s="47">
        <v>42949</v>
      </c>
      <c r="Y829" s="48">
        <f t="shared" si="50"/>
        <v>11.296646360180084</v>
      </c>
      <c r="Z829" s="49"/>
      <c r="AA829" s="49"/>
      <c r="AB829" s="51"/>
      <c r="AE829" s="47">
        <v>42949</v>
      </c>
      <c r="AF829" s="48">
        <f t="shared" si="51"/>
        <v>7.3383875356493116</v>
      </c>
      <c r="AG829" s="49"/>
      <c r="AH829" s="49"/>
      <c r="AI829" s="51"/>
    </row>
    <row r="830" spans="1:35" x14ac:dyDescent="0.3">
      <c r="A830" s="20">
        <v>42944</v>
      </c>
      <c r="C830">
        <f>-(Historical_Simulation!B831-Historical_Simulation!B832)</f>
        <v>0.26500000000000057</v>
      </c>
      <c r="E830">
        <f>-(Historical_Simulation!C831-Historical_Simulation!C832)</f>
        <v>25.960000000000036</v>
      </c>
      <c r="G830">
        <f>-(Historical_Simulation!D831-Historical_Simulation!D832)</f>
        <v>-2.0099999999999909</v>
      </c>
      <c r="J830" s="23">
        <v>42948</v>
      </c>
      <c r="K830" s="24">
        <f t="shared" si="48"/>
        <v>-4.6884093229465309</v>
      </c>
      <c r="L830" s="25"/>
      <c r="M830" s="25"/>
      <c r="N830" s="27"/>
      <c r="Q830" s="23">
        <v>42948</v>
      </c>
      <c r="R830" s="24">
        <f t="shared" si="49"/>
        <v>-3.3175387886463725</v>
      </c>
      <c r="S830" s="25"/>
      <c r="T830" s="25"/>
      <c r="U830" s="27"/>
      <c r="X830" s="47">
        <v>42948</v>
      </c>
      <c r="Y830" s="48">
        <f t="shared" si="50"/>
        <v>-1.8988578696036646</v>
      </c>
      <c r="Z830" s="49"/>
      <c r="AA830" s="49"/>
      <c r="AB830" s="51"/>
      <c r="AE830" s="47">
        <v>42948</v>
      </c>
      <c r="AF830" s="48">
        <f t="shared" si="51"/>
        <v>-1.4236971103888092</v>
      </c>
      <c r="AG830" s="49"/>
      <c r="AH830" s="49"/>
      <c r="AI830" s="51"/>
    </row>
    <row r="831" spans="1:35" x14ac:dyDescent="0.3">
      <c r="A831" s="20">
        <v>42943</v>
      </c>
      <c r="C831">
        <f>-(Historical_Simulation!B832-Historical_Simulation!B833)</f>
        <v>0.72500000000000142</v>
      </c>
      <c r="E831">
        <f>-(Historical_Simulation!C832-Historical_Simulation!C833)</f>
        <v>6.7999999999999545</v>
      </c>
      <c r="G831">
        <f>-(Historical_Simulation!D832-Historical_Simulation!D833)</f>
        <v>-4.8299999999999841</v>
      </c>
      <c r="J831" s="23">
        <v>42947</v>
      </c>
      <c r="K831" s="24">
        <f t="shared" si="48"/>
        <v>17.490151080284146</v>
      </c>
      <c r="L831" s="25"/>
      <c r="M831" s="25"/>
      <c r="N831" s="27"/>
      <c r="Q831" s="23">
        <v>42947</v>
      </c>
      <c r="R831" s="24">
        <f t="shared" si="49"/>
        <v>12.04944131176345</v>
      </c>
      <c r="S831" s="25"/>
      <c r="T831" s="25"/>
      <c r="U831" s="27"/>
      <c r="X831" s="47">
        <v>42947</v>
      </c>
      <c r="Y831" s="48">
        <f t="shared" si="50"/>
        <v>17.043714438688735</v>
      </c>
      <c r="Z831" s="49"/>
      <c r="AA831" s="49"/>
      <c r="AB831" s="51"/>
      <c r="AE831" s="47">
        <v>42947</v>
      </c>
      <c r="AF831" s="48">
        <f t="shared" si="51"/>
        <v>11.939978783907915</v>
      </c>
      <c r="AG831" s="49"/>
      <c r="AH831" s="49"/>
      <c r="AI831" s="51"/>
    </row>
    <row r="832" spans="1:35" x14ac:dyDescent="0.3">
      <c r="A832" s="20">
        <v>42942</v>
      </c>
      <c r="C832">
        <f>-(Historical_Simulation!B833-Historical_Simulation!B834)</f>
        <v>-0.17999999999999972</v>
      </c>
      <c r="E832">
        <f>-(Historical_Simulation!C833-Historical_Simulation!C834)</f>
        <v>-12.930000000000064</v>
      </c>
      <c r="G832">
        <f>-(Historical_Simulation!D833-Historical_Simulation!D834)</f>
        <v>-0.33000000000001251</v>
      </c>
      <c r="J832" s="23">
        <v>42944</v>
      </c>
      <c r="K832" s="24">
        <f t="shared" si="48"/>
        <v>14.125236828811159</v>
      </c>
      <c r="L832" s="25"/>
      <c r="M832" s="25"/>
      <c r="N832" s="27"/>
      <c r="Q832" s="23">
        <v>42944</v>
      </c>
      <c r="R832" s="24">
        <f t="shared" si="49"/>
        <v>9.7657127779141604</v>
      </c>
      <c r="S832" s="25"/>
      <c r="T832" s="25"/>
      <c r="U832" s="27"/>
      <c r="X832" s="47">
        <v>42944</v>
      </c>
      <c r="Y832" s="48">
        <f t="shared" si="50"/>
        <v>-12.481970190529308</v>
      </c>
      <c r="Z832" s="49"/>
      <c r="AA832" s="49"/>
      <c r="AB832" s="51"/>
      <c r="AE832" s="47">
        <v>42944</v>
      </c>
      <c r="AF832" s="48">
        <f t="shared" si="51"/>
        <v>-8.6212890219087353</v>
      </c>
      <c r="AG832" s="49"/>
      <c r="AH832" s="49"/>
      <c r="AI832" s="51"/>
    </row>
    <row r="833" spans="1:35" x14ac:dyDescent="0.3">
      <c r="A833" s="20">
        <v>42941</v>
      </c>
      <c r="C833">
        <f>-(Historical_Simulation!B834-Historical_Simulation!B835)</f>
        <v>-0.16250000000000142</v>
      </c>
      <c r="E833">
        <f>-(Historical_Simulation!C834-Historical_Simulation!C835)</f>
        <v>-0.91999999999984539</v>
      </c>
      <c r="G833">
        <f>-(Historical_Simulation!D834-Historical_Simulation!D835)</f>
        <v>0.71999999999999886</v>
      </c>
      <c r="J833" s="23">
        <v>42943</v>
      </c>
      <c r="K833" s="24">
        <f t="shared" si="48"/>
        <v>4.0019386547977067</v>
      </c>
      <c r="L833" s="25"/>
      <c r="M833" s="25"/>
      <c r="N833" s="27"/>
      <c r="Q833" s="23">
        <v>42943</v>
      </c>
      <c r="R833" s="24">
        <f t="shared" si="49"/>
        <v>2.9712280648308247</v>
      </c>
      <c r="S833" s="25"/>
      <c r="T833" s="25"/>
      <c r="U833" s="27"/>
      <c r="X833" s="47">
        <v>42943</v>
      </c>
      <c r="Y833" s="48">
        <f t="shared" si="50"/>
        <v>-30.400019520171604</v>
      </c>
      <c r="Z833" s="49"/>
      <c r="AA833" s="49"/>
      <c r="AB833" s="51"/>
      <c r="AE833" s="47">
        <v>42943</v>
      </c>
      <c r="AF833" s="48">
        <f t="shared" si="51"/>
        <v>-20.973169457891466</v>
      </c>
      <c r="AG833" s="49"/>
      <c r="AH833" s="49"/>
      <c r="AI833" s="51"/>
    </row>
    <row r="834" spans="1:35" x14ac:dyDescent="0.3">
      <c r="A834" s="20">
        <v>42940</v>
      </c>
      <c r="C834">
        <f>-(Historical_Simulation!B835-Historical_Simulation!B836)</f>
        <v>-0.45499999999999829</v>
      </c>
      <c r="E834">
        <f>-(Historical_Simulation!C835-Historical_Simulation!C836)</f>
        <v>-13.279999999999973</v>
      </c>
      <c r="G834">
        <f>-(Historical_Simulation!D835-Historical_Simulation!D836)</f>
        <v>-1.5699999999999932</v>
      </c>
      <c r="J834" s="23">
        <v>42942</v>
      </c>
      <c r="K834" s="24">
        <f t="shared" si="48"/>
        <v>-7.0575255717977399</v>
      </c>
      <c r="L834" s="25"/>
      <c r="M834" s="25"/>
      <c r="N834" s="27"/>
      <c r="Q834" s="23">
        <v>42942</v>
      </c>
      <c r="R834" s="24">
        <f t="shared" si="49"/>
        <v>-4.8943058150770966</v>
      </c>
      <c r="S834" s="25"/>
      <c r="T834" s="25"/>
      <c r="U834" s="27"/>
      <c r="X834" s="47">
        <v>42942</v>
      </c>
      <c r="Y834" s="48">
        <f t="shared" si="50"/>
        <v>-1.020459573002007</v>
      </c>
      <c r="Z834" s="49"/>
      <c r="AA834" s="49"/>
      <c r="AB834" s="51"/>
      <c r="AE834" s="47">
        <v>42942</v>
      </c>
      <c r="AF834" s="48">
        <f t="shared" si="51"/>
        <v>-0.76590916627974881</v>
      </c>
      <c r="AG834" s="49"/>
      <c r="AH834" s="49"/>
      <c r="AI834" s="51"/>
    </row>
    <row r="835" spans="1:35" x14ac:dyDescent="0.3">
      <c r="A835" s="20">
        <v>42937</v>
      </c>
      <c r="C835">
        <f>-(Historical_Simulation!B836-Historical_Simulation!B837)</f>
        <v>1.7499999999998295E-2</v>
      </c>
      <c r="E835">
        <f>-(Historical_Simulation!C836-Historical_Simulation!C837)</f>
        <v>3.0299999999999727</v>
      </c>
      <c r="G835">
        <f>-(Historical_Simulation!D836-Historical_Simulation!D837)</f>
        <v>9.9999999999994316E-2</v>
      </c>
      <c r="J835" s="23">
        <v>42941</v>
      </c>
      <c r="K835" s="24">
        <f t="shared" si="48"/>
        <v>-0.57110593103025153</v>
      </c>
      <c r="L835" s="25"/>
      <c r="M835" s="25"/>
      <c r="N835" s="27"/>
      <c r="Q835" s="23">
        <v>42941</v>
      </c>
      <c r="R835" s="24">
        <f t="shared" si="49"/>
        <v>-0.44258522783687571</v>
      </c>
      <c r="S835" s="25"/>
      <c r="T835" s="25"/>
      <c r="U835" s="27"/>
      <c r="X835" s="47">
        <v>42941</v>
      </c>
      <c r="Y835" s="48">
        <f t="shared" si="50"/>
        <v>4.7822038211613886</v>
      </c>
      <c r="Z835" s="49"/>
      <c r="AA835" s="49"/>
      <c r="AB835" s="51"/>
      <c r="AE835" s="47">
        <v>42941</v>
      </c>
      <c r="AF835" s="48">
        <f t="shared" si="51"/>
        <v>3.2845989282788959</v>
      </c>
      <c r="AG835" s="49"/>
      <c r="AH835" s="49"/>
      <c r="AI835" s="51"/>
    </row>
    <row r="836" spans="1:35" x14ac:dyDescent="0.3">
      <c r="A836" s="20">
        <v>42936</v>
      </c>
      <c r="C836">
        <f>-(Historical_Simulation!B837-Historical_Simulation!B838)</f>
        <v>0.17000000000000171</v>
      </c>
      <c r="E836">
        <f>-(Historical_Simulation!C837-Historical_Simulation!C838)</f>
        <v>-1.8300000000001546</v>
      </c>
      <c r="G836">
        <f>-(Historical_Simulation!D837-Historical_Simulation!D838)</f>
        <v>-0.39000000000001478</v>
      </c>
      <c r="J836" s="23">
        <v>42940</v>
      </c>
      <c r="K836" s="24">
        <f t="shared" si="48"/>
        <v>-7.3729816045729706</v>
      </c>
      <c r="L836" s="25"/>
      <c r="M836" s="25"/>
      <c r="N836" s="27"/>
      <c r="Q836" s="23">
        <v>42940</v>
      </c>
      <c r="R836" s="24">
        <f t="shared" si="49"/>
        <v>-5.1970370257539855</v>
      </c>
      <c r="S836" s="25"/>
      <c r="T836" s="25"/>
      <c r="U836" s="27"/>
      <c r="X836" s="47">
        <v>42940</v>
      </c>
      <c r="Y836" s="48">
        <f t="shared" si="50"/>
        <v>-6.7024161593143576</v>
      </c>
      <c r="Z836" s="49"/>
      <c r="AA836" s="49"/>
      <c r="AB836" s="51"/>
      <c r="AE836" s="47">
        <v>42940</v>
      </c>
      <c r="AF836" s="48">
        <f t="shared" si="51"/>
        <v>-4.8102581360124077</v>
      </c>
      <c r="AG836" s="49"/>
      <c r="AH836" s="49"/>
      <c r="AI836" s="51"/>
    </row>
    <row r="837" spans="1:35" x14ac:dyDescent="0.3">
      <c r="A837" s="20">
        <v>42935</v>
      </c>
      <c r="C837">
        <f>-(Historical_Simulation!B838-Historical_Simulation!B839)</f>
        <v>-0.23499999999999943</v>
      </c>
      <c r="E837">
        <f>-(Historical_Simulation!C838-Historical_Simulation!C839)</f>
        <v>-2.4199999999998454</v>
      </c>
      <c r="G837">
        <f>-(Historical_Simulation!D838-Historical_Simulation!D839)</f>
        <v>-1.2799999999999727</v>
      </c>
      <c r="J837" s="23">
        <v>42937</v>
      </c>
      <c r="K837" s="24">
        <f t="shared" si="48"/>
        <v>1.6424839831404228</v>
      </c>
      <c r="L837" s="25"/>
      <c r="M837" s="25"/>
      <c r="N837" s="27"/>
      <c r="Q837" s="23">
        <v>42937</v>
      </c>
      <c r="R837" s="24">
        <f t="shared" si="49"/>
        <v>1.1313702955231011</v>
      </c>
      <c r="S837" s="25"/>
      <c r="T837" s="25"/>
      <c r="U837" s="27"/>
      <c r="X837" s="47">
        <v>42937</v>
      </c>
      <c r="Y837" s="48">
        <f t="shared" si="50"/>
        <v>0.47975276515104059</v>
      </c>
      <c r="Z837" s="49"/>
      <c r="AA837" s="49"/>
      <c r="AB837" s="51"/>
      <c r="AE837" s="47">
        <v>42937</v>
      </c>
      <c r="AF837" s="48">
        <f t="shared" si="51"/>
        <v>0.33975004145381726</v>
      </c>
      <c r="AG837" s="49"/>
      <c r="AH837" s="49"/>
      <c r="AI837" s="51"/>
    </row>
    <row r="838" spans="1:35" x14ac:dyDescent="0.3">
      <c r="A838" s="20">
        <v>42934</v>
      </c>
      <c r="C838">
        <f>-(Historical_Simulation!B839-Historical_Simulation!B840)</f>
        <v>-0.13000000000000256</v>
      </c>
      <c r="E838">
        <f>-(Historical_Simulation!C839-Historical_Simulation!C840)</f>
        <v>-14.410000000000082</v>
      </c>
      <c r="G838">
        <f>-(Historical_Simulation!D839-Historical_Simulation!D840)</f>
        <v>-3.1300000000000239</v>
      </c>
      <c r="J838" s="23">
        <v>42936</v>
      </c>
      <c r="K838" s="24">
        <f t="shared" ref="K838:K901" si="52">C836*$K$3+E836*(1-$K$3)</f>
        <v>-0.90882754067423255</v>
      </c>
      <c r="L838" s="25"/>
      <c r="M838" s="25"/>
      <c r="N838" s="27"/>
      <c r="Q838" s="23">
        <v>42936</v>
      </c>
      <c r="R838" s="24">
        <f t="shared" si="49"/>
        <v>-0.56949895138469486</v>
      </c>
      <c r="S838" s="25"/>
      <c r="T838" s="25"/>
      <c r="U838" s="27"/>
      <c r="X838" s="47">
        <v>42936</v>
      </c>
      <c r="Y838" s="48">
        <f t="shared" si="50"/>
        <v>-2.9677157392073168</v>
      </c>
      <c r="Z838" s="49"/>
      <c r="AA838" s="49"/>
      <c r="AB838" s="51"/>
      <c r="AE838" s="47">
        <v>42936</v>
      </c>
      <c r="AF838" s="48">
        <f t="shared" si="51"/>
        <v>-2.0173942207776059</v>
      </c>
      <c r="AG838" s="49"/>
      <c r="AH838" s="49"/>
      <c r="AI838" s="51"/>
    </row>
    <row r="839" spans="1:35" x14ac:dyDescent="0.3">
      <c r="A839" s="20">
        <v>42933</v>
      </c>
      <c r="C839">
        <f>-(Historical_Simulation!B840-Historical_Simulation!B841)</f>
        <v>-0.13000000000000256</v>
      </c>
      <c r="E839">
        <f>-(Historical_Simulation!C840-Historical_Simulation!C841)</f>
        <v>-8.2300000000000182</v>
      </c>
      <c r="G839">
        <f>-(Historical_Simulation!D840-Historical_Simulation!D841)</f>
        <v>0.24000000000000909</v>
      </c>
      <c r="J839" s="23">
        <v>42935</v>
      </c>
      <c r="K839" s="24">
        <f t="shared" si="52"/>
        <v>-1.4136190881864252</v>
      </c>
      <c r="L839" s="25"/>
      <c r="M839" s="25"/>
      <c r="N839" s="27"/>
      <c r="Q839" s="23">
        <v>42935</v>
      </c>
      <c r="R839" s="24">
        <f t="shared" ref="R839:R902" si="53">C837*$R$3+E837*(1-$R$3)</f>
        <v>-1.0429026043876604</v>
      </c>
      <c r="S839" s="25"/>
      <c r="T839" s="25"/>
      <c r="U839" s="27"/>
      <c r="X839" s="47">
        <v>42935</v>
      </c>
      <c r="Y839" s="48">
        <f t="shared" ref="Y839:Y902" si="54">C837*$Y$3+G837*(1-$Y$3)</f>
        <v>-6.090201691913335</v>
      </c>
      <c r="Z839" s="49"/>
      <c r="AA839" s="49"/>
      <c r="AB839" s="51"/>
      <c r="AE839" s="47">
        <v>42935</v>
      </c>
      <c r="AF839" s="48">
        <f t="shared" ref="AF839:AF902" si="55">C837*$AF$3+G837*(1-$AF$3)</f>
        <v>-4.3168338584151318</v>
      </c>
      <c r="AG839" s="49"/>
      <c r="AH839" s="49"/>
      <c r="AI839" s="51"/>
    </row>
    <row r="840" spans="1:35" x14ac:dyDescent="0.3">
      <c r="A840" s="20">
        <v>42930</v>
      </c>
      <c r="C840">
        <f>-(Historical_Simulation!B841-Historical_Simulation!B842)</f>
        <v>-0.31749999999999545</v>
      </c>
      <c r="E840">
        <f>-(Historical_Simulation!C841-Historical_Simulation!C842)</f>
        <v>-1.17999999999995</v>
      </c>
      <c r="G840">
        <f>-(Historical_Simulation!D841-Historical_Simulation!D842)</f>
        <v>-0.71000000000000796</v>
      </c>
      <c r="J840" s="23">
        <v>42934</v>
      </c>
      <c r="K840" s="24">
        <f t="shared" si="52"/>
        <v>-7.8328286404134753</v>
      </c>
      <c r="L840" s="25"/>
      <c r="M840" s="25"/>
      <c r="N840" s="27"/>
      <c r="Q840" s="23">
        <v>42934</v>
      </c>
      <c r="R840" s="24">
        <f t="shared" si="53"/>
        <v>-5.4100225128863535</v>
      </c>
      <c r="S840" s="25"/>
      <c r="T840" s="25"/>
      <c r="U840" s="27"/>
      <c r="X840" s="47">
        <v>42934</v>
      </c>
      <c r="Y840" s="48">
        <f t="shared" si="54"/>
        <v>-16.939191460038835</v>
      </c>
      <c r="Z840" s="49"/>
      <c r="AA840" s="49"/>
      <c r="AB840" s="51"/>
      <c r="AE840" s="47">
        <v>42934</v>
      </c>
      <c r="AF840" s="48">
        <f t="shared" si="55"/>
        <v>-11.848183325594068</v>
      </c>
      <c r="AG840" s="49"/>
      <c r="AH840" s="49"/>
      <c r="AI840" s="51"/>
    </row>
    <row r="841" spans="1:35" x14ac:dyDescent="0.3">
      <c r="A841" s="20">
        <v>42929</v>
      </c>
      <c r="C841">
        <f>-(Historical_Simulation!B842-Historical_Simulation!B843)</f>
        <v>-0.50750000000000028</v>
      </c>
      <c r="E841">
        <f>-(Historical_Simulation!C842-Historical_Simulation!C843)</f>
        <v>5.8799999999999955</v>
      </c>
      <c r="G841">
        <f>-(Historical_Simulation!D842-Historical_Simulation!D843)</f>
        <v>-0.35999999999998522</v>
      </c>
      <c r="J841" s="23">
        <v>42933</v>
      </c>
      <c r="K841" s="24">
        <f t="shared" si="52"/>
        <v>-4.4992515397303183</v>
      </c>
      <c r="L841" s="25"/>
      <c r="M841" s="25"/>
      <c r="N841" s="27"/>
      <c r="Q841" s="23">
        <v>42933</v>
      </c>
      <c r="R841" s="24">
        <f t="shared" si="53"/>
        <v>-3.1249707531077955</v>
      </c>
      <c r="S841" s="25"/>
      <c r="T841" s="25"/>
      <c r="U841" s="27"/>
      <c r="X841" s="47">
        <v>42933</v>
      </c>
      <c r="Y841" s="48">
        <f t="shared" si="54"/>
        <v>1.9431336134048371</v>
      </c>
      <c r="Z841" s="49"/>
      <c r="AA841" s="49"/>
      <c r="AB841" s="51"/>
      <c r="AE841" s="47">
        <v>42933</v>
      </c>
      <c r="AF841" s="48">
        <f t="shared" si="55"/>
        <v>1.3152426101566341</v>
      </c>
      <c r="AG841" s="49"/>
      <c r="AH841" s="49"/>
      <c r="AI841" s="51"/>
    </row>
    <row r="842" spans="1:35" x14ac:dyDescent="0.3">
      <c r="A842" s="20">
        <v>42928</v>
      </c>
      <c r="C842">
        <f>-(Historical_Simulation!B843-Historical_Simulation!B844)</f>
        <v>-5.250000000000199E-2</v>
      </c>
      <c r="E842">
        <f>-(Historical_Simulation!C843-Historical_Simulation!C844)</f>
        <v>-12.38009999999997</v>
      </c>
      <c r="G842">
        <f>-(Historical_Simulation!D843-Historical_Simulation!D844)</f>
        <v>-3.6299999999999955</v>
      </c>
      <c r="J842" s="23">
        <v>42930</v>
      </c>
      <c r="K842" s="24">
        <f t="shared" si="52"/>
        <v>-0.78274437691569798</v>
      </c>
      <c r="L842" s="25"/>
      <c r="M842" s="25"/>
      <c r="N842" s="27"/>
      <c r="Q842" s="23">
        <v>42930</v>
      </c>
      <c r="R842" s="24">
        <f t="shared" si="53"/>
        <v>-0.63640892278460415</v>
      </c>
      <c r="S842" s="25"/>
      <c r="T842" s="25"/>
      <c r="U842" s="27"/>
      <c r="X842" s="47">
        <v>42930</v>
      </c>
      <c r="Y842" s="48">
        <f t="shared" si="54"/>
        <v>-2.5167025493551307</v>
      </c>
      <c r="Z842" s="49"/>
      <c r="AA842" s="49"/>
      <c r="AB842" s="51"/>
      <c r="AE842" s="47">
        <v>42930</v>
      </c>
      <c r="AF842" s="48">
        <f t="shared" si="55"/>
        <v>-1.8506289850985904</v>
      </c>
      <c r="AG842" s="49"/>
      <c r="AH842" s="49"/>
      <c r="AI842" s="51"/>
    </row>
    <row r="843" spans="1:35" x14ac:dyDescent="0.3">
      <c r="A843" s="20">
        <v>42927</v>
      </c>
      <c r="C843">
        <f>-(Historical_Simulation!B844-Historical_Simulation!B845)</f>
        <v>-0.11749999999999972</v>
      </c>
      <c r="E843">
        <f>-(Historical_Simulation!C844-Historical_Simulation!C845)</f>
        <v>2.3401000000000067</v>
      </c>
      <c r="G843">
        <f>-(Historical_Simulation!D844-Historical_Simulation!D845)</f>
        <v>-1.7700000000000102</v>
      </c>
      <c r="J843" s="23">
        <v>42929</v>
      </c>
      <c r="K843" s="24">
        <f t="shared" si="52"/>
        <v>2.9380054580280639</v>
      </c>
      <c r="L843" s="25"/>
      <c r="M843" s="25"/>
      <c r="N843" s="27"/>
      <c r="Q843" s="23">
        <v>42929</v>
      </c>
      <c r="R843" s="24">
        <f t="shared" si="53"/>
        <v>1.8542747759846883</v>
      </c>
      <c r="S843" s="25"/>
      <c r="T843" s="25"/>
      <c r="U843" s="27"/>
      <c r="X843" s="47">
        <v>42929</v>
      </c>
      <c r="Y843" s="48">
        <f t="shared" si="54"/>
        <v>0.31895191345198759</v>
      </c>
      <c r="Z843" s="49"/>
      <c r="AA843" s="49"/>
      <c r="AB843" s="51"/>
      <c r="AE843" s="47">
        <v>42929</v>
      </c>
      <c r="AF843" s="48">
        <f t="shared" si="55"/>
        <v>6.8644013508429413E-2</v>
      </c>
      <c r="AG843" s="49"/>
      <c r="AH843" s="49"/>
      <c r="AI843" s="51"/>
    </row>
    <row r="844" spans="1:35" x14ac:dyDescent="0.3">
      <c r="A844" s="20">
        <v>42926</v>
      </c>
      <c r="C844">
        <f>-(Historical_Simulation!B845-Historical_Simulation!B846)</f>
        <v>-0.21999999999999886</v>
      </c>
      <c r="E844">
        <f>-(Historical_Simulation!C845-Historical_Simulation!C846)</f>
        <v>-17.710000000000036</v>
      </c>
      <c r="G844">
        <f>-(Historical_Simulation!D845-Historical_Simulation!D846)</f>
        <v>-2.0600000000000023</v>
      </c>
      <c r="J844" s="23">
        <v>42928</v>
      </c>
      <c r="K844" s="24">
        <f t="shared" si="52"/>
        <v>-6.7021771952073097</v>
      </c>
      <c r="L844" s="25"/>
      <c r="M844" s="25"/>
      <c r="N844" s="27"/>
      <c r="Q844" s="23">
        <v>42928</v>
      </c>
      <c r="R844" s="24">
        <f t="shared" si="53"/>
        <v>-4.6106236365446271</v>
      </c>
      <c r="S844" s="25"/>
      <c r="T844" s="25"/>
      <c r="U844" s="27"/>
      <c r="X844" s="47">
        <v>42928</v>
      </c>
      <c r="Y844" s="48">
        <f t="shared" si="54"/>
        <v>-20.097460816096131</v>
      </c>
      <c r="Z844" s="49"/>
      <c r="AA844" s="49"/>
      <c r="AB844" s="51"/>
      <c r="AE844" s="47">
        <v>42928</v>
      </c>
      <c r="AF844" s="48">
        <f t="shared" si="55"/>
        <v>-14.026433615770801</v>
      </c>
      <c r="AG844" s="49"/>
      <c r="AH844" s="49"/>
      <c r="AI844" s="51"/>
    </row>
    <row r="845" spans="1:35" x14ac:dyDescent="0.3">
      <c r="A845" s="20">
        <v>42923</v>
      </c>
      <c r="C845">
        <f>-(Historical_Simulation!B846-Historical_Simulation!B847)</f>
        <v>-0.36250000000000426</v>
      </c>
      <c r="E845">
        <f>-(Historical_Simulation!C846-Historical_Simulation!C847)</f>
        <v>-13.620099999999979</v>
      </c>
      <c r="G845">
        <f>-(Historical_Simulation!D846-Historical_Simulation!D847)</f>
        <v>-2.6200000000000045</v>
      </c>
      <c r="J845" s="23">
        <v>42927</v>
      </c>
      <c r="K845" s="24">
        <f t="shared" si="52"/>
        <v>1.2081632819803991</v>
      </c>
      <c r="L845" s="25"/>
      <c r="M845" s="25"/>
      <c r="N845" s="27"/>
      <c r="Q845" s="23">
        <v>42927</v>
      </c>
      <c r="R845" s="24">
        <f t="shared" si="53"/>
        <v>0.79119631146144687</v>
      </c>
      <c r="S845" s="25"/>
      <c r="T845" s="25"/>
      <c r="U845" s="27"/>
      <c r="X845" s="47">
        <v>42927</v>
      </c>
      <c r="Y845" s="48">
        <f t="shared" si="54"/>
        <v>-9.3765629625713842</v>
      </c>
      <c r="Z845" s="49"/>
      <c r="AA845" s="49"/>
      <c r="AB845" s="51"/>
      <c r="AE845" s="47">
        <v>42927</v>
      </c>
      <c r="AF845" s="48">
        <f t="shared" si="55"/>
        <v>-6.5722659818480595</v>
      </c>
      <c r="AG845" s="49"/>
      <c r="AH845" s="49"/>
      <c r="AI845" s="51"/>
    </row>
    <row r="846" spans="1:35" x14ac:dyDescent="0.3">
      <c r="A846" s="20">
        <v>42922</v>
      </c>
      <c r="C846">
        <f>-(Historical_Simulation!B847-Historical_Simulation!B848)</f>
        <v>0.34000000000000341</v>
      </c>
      <c r="E846">
        <f>-(Historical_Simulation!C847-Historical_Simulation!C848)</f>
        <v>6.2599999999999909</v>
      </c>
      <c r="G846">
        <f>-(Historical_Simulation!D847-Historical_Simulation!D848)</f>
        <v>1.5200000000000102</v>
      </c>
      <c r="J846" s="23">
        <v>42926</v>
      </c>
      <c r="K846" s="24">
        <f t="shared" si="52"/>
        <v>-9.6543468431954604</v>
      </c>
      <c r="L846" s="25"/>
      <c r="M846" s="25"/>
      <c r="N846" s="27"/>
      <c r="Q846" s="23">
        <v>42926</v>
      </c>
      <c r="R846" s="24">
        <f t="shared" si="53"/>
        <v>-6.6869183298586794</v>
      </c>
      <c r="S846" s="25"/>
      <c r="T846" s="25"/>
      <c r="U846" s="27"/>
      <c r="X846" s="47">
        <v>42926</v>
      </c>
      <c r="Y846" s="48">
        <f t="shared" si="54"/>
        <v>-10.529637428823762</v>
      </c>
      <c r="Z846" s="49"/>
      <c r="AA846" s="49"/>
      <c r="AB846" s="51"/>
      <c r="AE846" s="47">
        <v>42926</v>
      </c>
      <c r="AF846" s="48">
        <f t="shared" si="55"/>
        <v>-7.4071524396976551</v>
      </c>
      <c r="AG846" s="49"/>
      <c r="AH846" s="49"/>
      <c r="AI846" s="51"/>
    </row>
    <row r="847" spans="1:35" x14ac:dyDescent="0.3">
      <c r="A847" s="20">
        <v>42921</v>
      </c>
      <c r="C847">
        <f>-(Historical_Simulation!B848-Historical_Simulation!B849)</f>
        <v>-0.14750000000000085</v>
      </c>
      <c r="E847">
        <f>-(Historical_Simulation!C848-Historical_Simulation!C849)</f>
        <v>-17.740000000000009</v>
      </c>
      <c r="G847">
        <f>-(Historical_Simulation!D848-Historical_Simulation!D849)</f>
        <v>-1.9099999999999966</v>
      </c>
      <c r="J847" s="23">
        <v>42923</v>
      </c>
      <c r="K847" s="24">
        <f t="shared" si="52"/>
        <v>-7.5138320016207958</v>
      </c>
      <c r="L847" s="25"/>
      <c r="M847" s="25"/>
      <c r="N847" s="27"/>
      <c r="Q847" s="23">
        <v>42923</v>
      </c>
      <c r="R847" s="24">
        <f t="shared" si="53"/>
        <v>-5.2644906489384891</v>
      </c>
      <c r="S847" s="25"/>
      <c r="T847" s="25"/>
      <c r="U847" s="27"/>
      <c r="X847" s="47">
        <v>42923</v>
      </c>
      <c r="Y847" s="48">
        <f t="shared" si="54"/>
        <v>-13.011416573679137</v>
      </c>
      <c r="Z847" s="49"/>
      <c r="AA847" s="49"/>
      <c r="AB847" s="51"/>
      <c r="AE847" s="47">
        <v>42923</v>
      </c>
      <c r="AF847" s="48">
        <f t="shared" si="55"/>
        <v>-9.1804329525094772</v>
      </c>
      <c r="AG847" s="49"/>
      <c r="AH847" s="49"/>
      <c r="AI847" s="51"/>
    </row>
    <row r="848" spans="1:35" x14ac:dyDescent="0.3">
      <c r="A848" s="20">
        <v>42920</v>
      </c>
      <c r="C848">
        <f>-(Historical_Simulation!B849-Historical_Simulation!B850)</f>
        <v>0</v>
      </c>
      <c r="E848">
        <f>-(Historical_Simulation!C849-Historical_Simulation!C850)</f>
        <v>0</v>
      </c>
      <c r="G848">
        <f>-(Historical_Simulation!D849-Historical_Simulation!D850)</f>
        <v>0</v>
      </c>
      <c r="J848" s="23">
        <v>42922</v>
      </c>
      <c r="K848" s="24">
        <f t="shared" si="52"/>
        <v>3.5333295203954802</v>
      </c>
      <c r="L848" s="25"/>
      <c r="M848" s="25"/>
      <c r="N848" s="27"/>
      <c r="Q848" s="23">
        <v>42922</v>
      </c>
      <c r="R848" s="24">
        <f t="shared" si="53"/>
        <v>2.5289168960985298</v>
      </c>
      <c r="S848" s="25"/>
      <c r="T848" s="25"/>
      <c r="U848" s="27"/>
      <c r="X848" s="47">
        <v>42922</v>
      </c>
      <c r="Y848" s="48">
        <f t="shared" si="54"/>
        <v>6.9516153076152687</v>
      </c>
      <c r="Z848" s="49"/>
      <c r="AA848" s="49"/>
      <c r="AB848" s="51"/>
      <c r="AE848" s="47">
        <v>42922</v>
      </c>
      <c r="AF848" s="48">
        <f t="shared" si="55"/>
        <v>4.949152108066996</v>
      </c>
      <c r="AG848" s="49"/>
      <c r="AH848" s="49"/>
      <c r="AI848" s="51"/>
    </row>
    <row r="849" spans="1:35" x14ac:dyDescent="0.3">
      <c r="A849" s="20">
        <v>42919</v>
      </c>
      <c r="C849">
        <f>-(Historical_Simulation!B850-Historical_Simulation!B851)</f>
        <v>0.13000000000000256</v>
      </c>
      <c r="E849">
        <f>-(Historical_Simulation!C850-Historical_Simulation!C851)</f>
        <v>14.340100000000007</v>
      </c>
      <c r="G849">
        <f>-(Historical_Simulation!D850-Historical_Simulation!D851)</f>
        <v>2.5499999999999829</v>
      </c>
      <c r="J849" s="23">
        <v>42921</v>
      </c>
      <c r="K849" s="24">
        <f t="shared" si="52"/>
        <v>-9.6371367546549962</v>
      </c>
      <c r="L849" s="25"/>
      <c r="M849" s="25"/>
      <c r="N849" s="27"/>
      <c r="Q849" s="23">
        <v>42921</v>
      </c>
      <c r="R849" s="24">
        <f t="shared" si="53"/>
        <v>-6.6523176511171336</v>
      </c>
      <c r="S849" s="25"/>
      <c r="T849" s="25"/>
      <c r="U849" s="27"/>
      <c r="X849" s="47">
        <v>42921</v>
      </c>
      <c r="Y849" s="48">
        <f t="shared" si="54"/>
        <v>-10.022899982772721</v>
      </c>
      <c r="Z849" s="49"/>
      <c r="AA849" s="49"/>
      <c r="AB849" s="51"/>
      <c r="AE849" s="47">
        <v>42921</v>
      </c>
      <c r="AF849" s="48">
        <f t="shared" si="55"/>
        <v>-7.0319327037864481</v>
      </c>
      <c r="AG849" s="49"/>
      <c r="AH849" s="49"/>
      <c r="AI849" s="51"/>
    </row>
    <row r="850" spans="1:35" x14ac:dyDescent="0.3">
      <c r="A850" s="20">
        <v>42916</v>
      </c>
      <c r="C850">
        <f>-(Historical_Simulation!B851-Historical_Simulation!B852)</f>
        <v>-8.5000000000000853E-2</v>
      </c>
      <c r="E850">
        <f>-(Historical_Simulation!C851-Historical_Simulation!C852)</f>
        <v>7.9298999999999751</v>
      </c>
      <c r="G850">
        <f>-(Historical_Simulation!D851-Historical_Simulation!D852)</f>
        <v>6.0000000000002274E-2</v>
      </c>
      <c r="J850" s="23">
        <v>42920</v>
      </c>
      <c r="K850" s="24">
        <f t="shared" si="52"/>
        <v>0</v>
      </c>
      <c r="L850" s="25"/>
      <c r="M850" s="25"/>
      <c r="N850" s="27"/>
      <c r="Q850" s="23">
        <v>42920</v>
      </c>
      <c r="R850" s="24">
        <f t="shared" si="53"/>
        <v>0</v>
      </c>
      <c r="S850" s="25"/>
      <c r="T850" s="25"/>
      <c r="U850" s="27"/>
      <c r="X850" s="47">
        <v>42920</v>
      </c>
      <c r="Y850" s="48">
        <f t="shared" si="54"/>
        <v>0</v>
      </c>
      <c r="Z850" s="49"/>
      <c r="AA850" s="49"/>
      <c r="AB850" s="51"/>
      <c r="AE850" s="47">
        <v>42920</v>
      </c>
      <c r="AF850" s="48">
        <f t="shared" si="55"/>
        <v>0</v>
      </c>
      <c r="AG850" s="49"/>
      <c r="AH850" s="49"/>
      <c r="AI850" s="51"/>
    </row>
    <row r="851" spans="1:35" x14ac:dyDescent="0.3">
      <c r="A851" s="20">
        <v>42915</v>
      </c>
      <c r="C851">
        <f>-(Historical_Simulation!B852-Historical_Simulation!B853)</f>
        <v>0.53750000000000142</v>
      </c>
      <c r="E851">
        <f>-(Historical_Simulation!C852-Historical_Simulation!C853)</f>
        <v>14.400200000000041</v>
      </c>
      <c r="G851">
        <f>-(Historical_Simulation!D852-Historical_Simulation!D853)</f>
        <v>2.2000000000000171</v>
      </c>
      <c r="J851" s="23">
        <v>42919</v>
      </c>
      <c r="K851" s="24">
        <f t="shared" si="52"/>
        <v>7.7951236178668735</v>
      </c>
      <c r="L851" s="25"/>
      <c r="M851" s="25"/>
      <c r="N851" s="27"/>
      <c r="Q851" s="23">
        <v>42919</v>
      </c>
      <c r="R851" s="24">
        <f t="shared" si="53"/>
        <v>5.3841770245354326</v>
      </c>
      <c r="S851" s="25"/>
      <c r="T851" s="25"/>
      <c r="U851" s="27"/>
      <c r="X851" s="47">
        <v>42919</v>
      </c>
      <c r="Y851" s="48">
        <f t="shared" si="54"/>
        <v>13.689414444431122</v>
      </c>
      <c r="Z851" s="49"/>
      <c r="AA851" s="49"/>
      <c r="AB851" s="51"/>
      <c r="AE851" s="47">
        <v>42919</v>
      </c>
      <c r="AF851" s="48">
        <f t="shared" si="55"/>
        <v>9.5826678826457368</v>
      </c>
      <c r="AG851" s="49"/>
      <c r="AH851" s="49"/>
      <c r="AI851" s="51"/>
    </row>
    <row r="852" spans="1:35" x14ac:dyDescent="0.3">
      <c r="A852" s="20">
        <v>42914</v>
      </c>
      <c r="C852">
        <f>-(Historical_Simulation!B853-Historical_Simulation!B854)</f>
        <v>-0.52500000000000568</v>
      </c>
      <c r="E852">
        <f>-(Historical_Simulation!C853-Historical_Simulation!C854)</f>
        <v>-13.550100000000043</v>
      </c>
      <c r="G852">
        <f>-(Historical_Simulation!D853-Historical_Simulation!D854)</f>
        <v>-2.6599999999999966</v>
      </c>
      <c r="J852" s="23">
        <v>42916</v>
      </c>
      <c r="K852" s="24">
        <f t="shared" si="52"/>
        <v>4.2383474278746087</v>
      </c>
      <c r="L852" s="25"/>
      <c r="M852" s="25"/>
      <c r="N852" s="27"/>
      <c r="Q852" s="23">
        <v>42916</v>
      </c>
      <c r="R852" s="24">
        <f t="shared" si="53"/>
        <v>2.878505072726361</v>
      </c>
      <c r="S852" s="25"/>
      <c r="T852" s="25"/>
      <c r="U852" s="27"/>
      <c r="X852" s="47">
        <v>42916</v>
      </c>
      <c r="Y852" s="48">
        <f t="shared" si="54"/>
        <v>0.72744425390188772</v>
      </c>
      <c r="Z852" s="49"/>
      <c r="AA852" s="49"/>
      <c r="AB852" s="51"/>
      <c r="AE852" s="47">
        <v>42916</v>
      </c>
      <c r="AF852" s="48">
        <f t="shared" si="55"/>
        <v>0.48137886073705383</v>
      </c>
      <c r="AG852" s="49"/>
      <c r="AH852" s="49"/>
      <c r="AI852" s="51"/>
    </row>
    <row r="853" spans="1:35" x14ac:dyDescent="0.3">
      <c r="A853" s="20">
        <v>42913</v>
      </c>
      <c r="C853">
        <f>-(Historical_Simulation!B854-Historical_Simulation!B855)</f>
        <v>0.52250000000000085</v>
      </c>
      <c r="E853">
        <f>-(Historical_Simulation!C854-Historical_Simulation!C855)</f>
        <v>17.200000000000045</v>
      </c>
      <c r="G853">
        <f>-(Historical_Simulation!D854-Historical_Simulation!D855)</f>
        <v>3.0099999999999909</v>
      </c>
      <c r="J853" s="23">
        <v>42915</v>
      </c>
      <c r="K853" s="24">
        <f t="shared" si="52"/>
        <v>8.015231274051791</v>
      </c>
      <c r="L853" s="25"/>
      <c r="M853" s="25"/>
      <c r="N853" s="27"/>
      <c r="Q853" s="23">
        <v>42915</v>
      </c>
      <c r="R853" s="24">
        <f t="shared" si="53"/>
        <v>5.6632260566799326</v>
      </c>
      <c r="S853" s="25"/>
      <c r="T853" s="25"/>
      <c r="U853" s="27"/>
      <c r="X853" s="47">
        <v>42915</v>
      </c>
      <c r="Y853" s="48">
        <f t="shared" si="54"/>
        <v>9.8525936007715416</v>
      </c>
      <c r="Z853" s="49"/>
      <c r="AA853" s="49"/>
      <c r="AB853" s="51"/>
      <c r="AE853" s="47">
        <v>42915</v>
      </c>
      <c r="AF853" s="48">
        <f t="shared" si="55"/>
        <v>7.031326592933393</v>
      </c>
      <c r="AG853" s="49"/>
      <c r="AH853" s="49"/>
      <c r="AI853" s="51"/>
    </row>
    <row r="854" spans="1:35" x14ac:dyDescent="0.3">
      <c r="A854" s="20">
        <v>42912</v>
      </c>
      <c r="C854">
        <f>-(Historical_Simulation!B855-Historical_Simulation!B856)</f>
        <v>0.11500000000000199</v>
      </c>
      <c r="E854">
        <f>-(Historical_Simulation!C855-Historical_Simulation!C856)</f>
        <v>9.7599999999999909</v>
      </c>
      <c r="G854">
        <f>-(Historical_Simulation!D855-Historical_Simulation!D856)</f>
        <v>1.4799999999999898</v>
      </c>
      <c r="J854" s="23">
        <v>42914</v>
      </c>
      <c r="K854" s="24">
        <f t="shared" si="52"/>
        <v>-7.55091830001746</v>
      </c>
      <c r="L854" s="25"/>
      <c r="M854" s="25"/>
      <c r="N854" s="27"/>
      <c r="Q854" s="23">
        <v>42914</v>
      </c>
      <c r="R854" s="24">
        <f t="shared" si="53"/>
        <v>-5.3410238958400491</v>
      </c>
      <c r="S854" s="25"/>
      <c r="T854" s="25"/>
      <c r="U854" s="27"/>
      <c r="X854" s="47">
        <v>42914</v>
      </c>
      <c r="Y854" s="48">
        <f t="shared" si="54"/>
        <v>-12.487541255727505</v>
      </c>
      <c r="Z854" s="49"/>
      <c r="AA854" s="49"/>
      <c r="AB854" s="51"/>
      <c r="AE854" s="47">
        <v>42914</v>
      </c>
      <c r="AF854" s="48">
        <f t="shared" si="55"/>
        <v>-8.8644404667143526</v>
      </c>
      <c r="AG854" s="49"/>
      <c r="AH854" s="49"/>
      <c r="AI854" s="51"/>
    </row>
    <row r="855" spans="1:35" x14ac:dyDescent="0.3">
      <c r="A855" s="20">
        <v>42909</v>
      </c>
      <c r="C855">
        <f>-(Historical_Simulation!B856-Historical_Simulation!B857)</f>
        <v>-0.16250000000000142</v>
      </c>
      <c r="E855">
        <f>-(Historical_Simulation!C856-Historical_Simulation!C857)</f>
        <v>-2.4400000000000546</v>
      </c>
      <c r="G855">
        <f>-(Historical_Simulation!D856-Historical_Simulation!D857)</f>
        <v>-1.6699999999999875</v>
      </c>
      <c r="J855" s="23">
        <v>42913</v>
      </c>
      <c r="K855" s="24">
        <f t="shared" si="52"/>
        <v>9.5185731547965933</v>
      </c>
      <c r="L855" s="25"/>
      <c r="M855" s="25"/>
      <c r="N855" s="27"/>
      <c r="Q855" s="23">
        <v>42913</v>
      </c>
      <c r="R855" s="24">
        <f t="shared" si="53"/>
        <v>6.6889968808586744</v>
      </c>
      <c r="S855" s="25"/>
      <c r="T855" s="25"/>
      <c r="U855" s="27"/>
      <c r="X855" s="47">
        <v>42913</v>
      </c>
      <c r="Y855" s="48">
        <f t="shared" si="54"/>
        <v>14.460121252282047</v>
      </c>
      <c r="Z855" s="49"/>
      <c r="AA855" s="49"/>
      <c r="AB855" s="51"/>
      <c r="AE855" s="47">
        <v>42913</v>
      </c>
      <c r="AF855" s="48">
        <f t="shared" si="55"/>
        <v>10.238827007471638</v>
      </c>
      <c r="AG855" s="49"/>
      <c r="AH855" s="49"/>
      <c r="AI855" s="51"/>
    </row>
    <row r="856" spans="1:35" x14ac:dyDescent="0.3">
      <c r="A856" s="20">
        <v>42908</v>
      </c>
      <c r="C856">
        <f>-(Historical_Simulation!B857-Historical_Simulation!B858)</f>
        <v>6.0000000000002274E-2</v>
      </c>
      <c r="E856">
        <f>-(Historical_Simulation!C857-Historical_Simulation!C858)</f>
        <v>0.93000000000006366</v>
      </c>
      <c r="G856">
        <f>-(Historical_Simulation!D857-Historical_Simulation!D858)</f>
        <v>0.50999999999999091</v>
      </c>
      <c r="J856" s="23">
        <v>42912</v>
      </c>
      <c r="K856" s="24">
        <f t="shared" si="52"/>
        <v>5.3176458149010841</v>
      </c>
      <c r="L856" s="25"/>
      <c r="M856" s="25"/>
      <c r="N856" s="27"/>
      <c r="Q856" s="23">
        <v>42912</v>
      </c>
      <c r="R856" s="24">
        <f t="shared" si="53"/>
        <v>3.6812336930524188</v>
      </c>
      <c r="S856" s="25"/>
      <c r="T856" s="25"/>
      <c r="U856" s="27"/>
      <c r="X856" s="47">
        <v>42912</v>
      </c>
      <c r="Y856" s="48">
        <f t="shared" si="54"/>
        <v>7.7631821143175479</v>
      </c>
      <c r="Z856" s="49"/>
      <c r="AA856" s="49"/>
      <c r="AB856" s="51"/>
      <c r="AE856" s="47">
        <v>42912</v>
      </c>
      <c r="AF856" s="48">
        <f t="shared" si="55"/>
        <v>5.4467734131452161</v>
      </c>
      <c r="AG856" s="49"/>
      <c r="AH856" s="49"/>
      <c r="AI856" s="51"/>
    </row>
    <row r="857" spans="1:35" x14ac:dyDescent="0.3">
      <c r="A857" s="20">
        <v>42907</v>
      </c>
      <c r="C857">
        <f>-(Historical_Simulation!B858-Historical_Simulation!B859)</f>
        <v>-0.21500000000000341</v>
      </c>
      <c r="E857">
        <f>-(Historical_Simulation!C858-Historical_Simulation!C859)</f>
        <v>-9.6399000000000115</v>
      </c>
      <c r="G857">
        <f>-(Historical_Simulation!D858-Historical_Simulation!D859)</f>
        <v>-1.6599999999999966</v>
      </c>
      <c r="J857" s="23">
        <v>42909</v>
      </c>
      <c r="K857" s="24">
        <f t="shared" si="52"/>
        <v>-1.3910148619427183</v>
      </c>
      <c r="L857" s="25"/>
      <c r="M857" s="25"/>
      <c r="N857" s="27"/>
      <c r="Q857" s="23">
        <v>42909</v>
      </c>
      <c r="R857" s="24">
        <f t="shared" si="53"/>
        <v>-1.0046044308892785</v>
      </c>
      <c r="S857" s="25"/>
      <c r="T857" s="25"/>
      <c r="U857" s="27"/>
      <c r="X857" s="47">
        <v>42909</v>
      </c>
      <c r="Y857" s="48">
        <f t="shared" si="54"/>
        <v>-8.6091187086693779</v>
      </c>
      <c r="Z857" s="49"/>
      <c r="AA857" s="49"/>
      <c r="AB857" s="51"/>
      <c r="AE857" s="47">
        <v>42909</v>
      </c>
      <c r="AF857" s="48">
        <f t="shared" si="55"/>
        <v>-6.0508871211109225</v>
      </c>
      <c r="AG857" s="49"/>
      <c r="AH857" s="49"/>
      <c r="AI857" s="51"/>
    </row>
    <row r="858" spans="1:35" x14ac:dyDescent="0.3">
      <c r="A858" s="20">
        <v>42906</v>
      </c>
      <c r="C858">
        <f>-(Historical_Simulation!B859-Historical_Simulation!B860)</f>
        <v>0.33250000000000313</v>
      </c>
      <c r="E858">
        <f>-(Historical_Simulation!C859-Historical_Simulation!C860)</f>
        <v>2.5797999999999774</v>
      </c>
      <c r="G858">
        <f>-(Historical_Simulation!D859-Historical_Simulation!D860)</f>
        <v>0.62000000000000455</v>
      </c>
      <c r="J858" s="23">
        <v>42908</v>
      </c>
      <c r="K858" s="24">
        <f t="shared" si="52"/>
        <v>0.52928998019329054</v>
      </c>
      <c r="L858" s="25"/>
      <c r="M858" s="25"/>
      <c r="N858" s="27"/>
      <c r="Q858" s="23">
        <v>42908</v>
      </c>
      <c r="R858" s="24">
        <f t="shared" si="53"/>
        <v>0.38168204385234289</v>
      </c>
      <c r="S858" s="25"/>
      <c r="T858" s="25"/>
      <c r="U858" s="27"/>
      <c r="X858" s="47">
        <v>42908</v>
      </c>
      <c r="Y858" s="48">
        <f t="shared" si="54"/>
        <v>2.5813787190057456</v>
      </c>
      <c r="Z858" s="49"/>
      <c r="AA858" s="49"/>
      <c r="AB858" s="51"/>
      <c r="AE858" s="47">
        <v>42908</v>
      </c>
      <c r="AF858" s="48">
        <f t="shared" si="55"/>
        <v>1.8177274988390553</v>
      </c>
      <c r="AG858" s="49"/>
      <c r="AH858" s="49"/>
      <c r="AI858" s="51"/>
    </row>
    <row r="859" spans="1:35" x14ac:dyDescent="0.3">
      <c r="A859" s="20">
        <v>42905</v>
      </c>
      <c r="C859">
        <f>-(Historical_Simulation!B860-Historical_Simulation!B861)</f>
        <v>-1.0174999999999983</v>
      </c>
      <c r="E859">
        <f>-(Historical_Simulation!C860-Historical_Simulation!C861)</f>
        <v>-7.4598999999999478</v>
      </c>
      <c r="G859">
        <f>-(Historical_Simulation!D860-Historical_Simulation!D861)</f>
        <v>-2.2300000000000182</v>
      </c>
      <c r="J859" s="23">
        <v>42907</v>
      </c>
      <c r="K859" s="24">
        <f t="shared" si="52"/>
        <v>-5.2989208440499054</v>
      </c>
      <c r="L859" s="25"/>
      <c r="M859" s="25"/>
      <c r="N859" s="27"/>
      <c r="Q859" s="23">
        <v>42907</v>
      </c>
      <c r="R859" s="24">
        <f t="shared" si="53"/>
        <v>-3.6998518334525476</v>
      </c>
      <c r="S859" s="25"/>
      <c r="T859" s="25"/>
      <c r="U859" s="27"/>
      <c r="X859" s="47">
        <v>42907</v>
      </c>
      <c r="Y859" s="48">
        <f t="shared" si="54"/>
        <v>-8.3114272199186114</v>
      </c>
      <c r="Z859" s="49"/>
      <c r="AA859" s="49"/>
      <c r="AB859" s="51"/>
      <c r="AE859" s="47">
        <v>42907</v>
      </c>
      <c r="AF859" s="48">
        <f t="shared" si="55"/>
        <v>-5.8592583018277447</v>
      </c>
      <c r="AG859" s="49"/>
      <c r="AH859" s="49"/>
      <c r="AI859" s="51"/>
    </row>
    <row r="860" spans="1:35" x14ac:dyDescent="0.3">
      <c r="A860" s="20">
        <v>42902</v>
      </c>
      <c r="C860">
        <f>-(Historical_Simulation!B861-Historical_Simulation!B862)</f>
        <v>0.50499999999999545</v>
      </c>
      <c r="E860">
        <f>-(Historical_Simulation!C861-Historical_Simulation!C862)</f>
        <v>-23.540100000000052</v>
      </c>
      <c r="G860">
        <f>-(Historical_Simulation!D861-Historical_Simulation!D862)</f>
        <v>-0.83999999999997499</v>
      </c>
      <c r="J860" s="23">
        <v>42906</v>
      </c>
      <c r="K860" s="24">
        <f t="shared" si="52"/>
        <v>1.5447245660784978</v>
      </c>
      <c r="L860" s="25"/>
      <c r="M860" s="25"/>
      <c r="N860" s="27"/>
      <c r="Q860" s="23">
        <v>42906</v>
      </c>
      <c r="R860" s="24">
        <f t="shared" si="53"/>
        <v>1.163437996723343</v>
      </c>
      <c r="S860" s="25"/>
      <c r="T860" s="25"/>
      <c r="U860" s="27"/>
      <c r="X860" s="47">
        <v>42906</v>
      </c>
      <c r="Y860" s="48">
        <f t="shared" si="54"/>
        <v>1.9433808482537211</v>
      </c>
      <c r="Z860" s="49"/>
      <c r="AA860" s="49"/>
      <c r="AB860" s="51"/>
      <c r="AE860" s="47">
        <v>42906</v>
      </c>
      <c r="AF860" s="48">
        <f t="shared" si="55"/>
        <v>1.4554925687027651</v>
      </c>
      <c r="AG860" s="49"/>
      <c r="AH860" s="49"/>
      <c r="AI860" s="51"/>
    </row>
    <row r="861" spans="1:35" x14ac:dyDescent="0.3">
      <c r="A861" s="20">
        <v>42901</v>
      </c>
      <c r="C861">
        <f>-(Historical_Simulation!B862-Historical_Simulation!B863)</f>
        <v>0.21750000000000114</v>
      </c>
      <c r="E861">
        <f>-(Historical_Simulation!C862-Historical_Simulation!C863)</f>
        <v>12.300100000000043</v>
      </c>
      <c r="G861">
        <f>-(Historical_Simulation!D862-Historical_Simulation!D863)</f>
        <v>0.44999999999998863</v>
      </c>
      <c r="J861" s="23">
        <v>42905</v>
      </c>
      <c r="K861" s="24">
        <f t="shared" si="52"/>
        <v>-4.4926192740195425</v>
      </c>
      <c r="L861" s="25"/>
      <c r="M861" s="25"/>
      <c r="N861" s="27"/>
      <c r="Q861" s="23">
        <v>42905</v>
      </c>
      <c r="R861" s="24">
        <f t="shared" si="53"/>
        <v>-3.399574022200178</v>
      </c>
      <c r="S861" s="25"/>
      <c r="T861" s="25"/>
      <c r="U861" s="27"/>
      <c r="X861" s="47">
        <v>42905</v>
      </c>
      <c r="Y861" s="48">
        <f t="shared" si="54"/>
        <v>-7.8112148817657561</v>
      </c>
      <c r="Z861" s="49"/>
      <c r="AA861" s="49"/>
      <c r="AB861" s="51"/>
      <c r="AE861" s="47">
        <v>42905</v>
      </c>
      <c r="AF861" s="48">
        <f t="shared" si="55"/>
        <v>-5.7535990940943105</v>
      </c>
      <c r="AG861" s="49"/>
      <c r="AH861" s="49"/>
      <c r="AI861" s="51"/>
    </row>
    <row r="862" spans="1:35" x14ac:dyDescent="0.3">
      <c r="A862" s="20">
        <v>42900</v>
      </c>
      <c r="C862">
        <f>-(Historical_Simulation!B863-Historical_Simulation!B864)</f>
        <v>0.35750000000000171</v>
      </c>
      <c r="E862">
        <f>-(Historical_Simulation!C863-Historical_Simulation!C864)</f>
        <v>4.3199999999999363</v>
      </c>
      <c r="G862">
        <f>-(Historical_Simulation!D863-Historical_Simulation!D864)</f>
        <v>0.43000000000000682</v>
      </c>
      <c r="J862" s="23">
        <v>42902</v>
      </c>
      <c r="K862" s="24">
        <f t="shared" si="52"/>
        <v>-12.46525804913203</v>
      </c>
      <c r="L862" s="25"/>
      <c r="M862" s="25"/>
      <c r="N862" s="27"/>
      <c r="Q862" s="23">
        <v>42902</v>
      </c>
      <c r="R862" s="24">
        <f t="shared" si="53"/>
        <v>-8.385663117969413</v>
      </c>
      <c r="S862" s="25"/>
      <c r="T862" s="25"/>
      <c r="U862" s="27"/>
      <c r="X862" s="47">
        <v>42902</v>
      </c>
      <c r="Y862" s="48">
        <f t="shared" si="54"/>
        <v>-7.0311208379171948</v>
      </c>
      <c r="Z862" s="49"/>
      <c r="AA862" s="49"/>
      <c r="AB862" s="51"/>
      <c r="AE862" s="47">
        <v>42902</v>
      </c>
      <c r="AF862" s="48">
        <f t="shared" si="55"/>
        <v>-4.7486521909745241</v>
      </c>
      <c r="AG862" s="49"/>
      <c r="AH862" s="49"/>
      <c r="AI862" s="51"/>
    </row>
    <row r="863" spans="1:35" x14ac:dyDescent="0.3">
      <c r="A863" s="20">
        <v>42899</v>
      </c>
      <c r="C863">
        <f>-(Historical_Simulation!B864-Historical_Simulation!B865)</f>
        <v>-0.29250000000000398</v>
      </c>
      <c r="E863">
        <f>-(Historical_Simulation!C864-Historical_Simulation!C865)</f>
        <v>-15.88009999999997</v>
      </c>
      <c r="G863">
        <f>-(Historical_Simulation!D864-Historical_Simulation!D865)</f>
        <v>-2.2400000000000091</v>
      </c>
      <c r="J863" s="23">
        <v>42901</v>
      </c>
      <c r="K863" s="24">
        <f t="shared" si="52"/>
        <v>6.735020821474766</v>
      </c>
      <c r="L863" s="25"/>
      <c r="M863" s="25"/>
      <c r="N863" s="27"/>
      <c r="Q863" s="23">
        <v>42901</v>
      </c>
      <c r="R863" s="24">
        <f t="shared" si="53"/>
        <v>4.6850350150000351</v>
      </c>
      <c r="S863" s="25"/>
      <c r="T863" s="25"/>
      <c r="U863" s="27"/>
      <c r="X863" s="47">
        <v>42901</v>
      </c>
      <c r="Y863" s="48">
        <f t="shared" si="54"/>
        <v>1.5202123381529313</v>
      </c>
      <c r="Z863" s="49"/>
      <c r="AA863" s="49"/>
      <c r="AB863" s="51"/>
      <c r="AE863" s="47">
        <v>42901</v>
      </c>
      <c r="AF863" s="48">
        <f t="shared" si="55"/>
        <v>1.1256592077334857</v>
      </c>
      <c r="AG863" s="49"/>
      <c r="AH863" s="49"/>
      <c r="AI863" s="51"/>
    </row>
    <row r="864" spans="1:35" x14ac:dyDescent="0.3">
      <c r="A864" s="20">
        <v>42898</v>
      </c>
      <c r="C864">
        <f>-(Historical_Simulation!B865-Historical_Simulation!B866)</f>
        <v>0.89000000000000057</v>
      </c>
      <c r="E864">
        <f>-(Historical_Simulation!C865-Historical_Simulation!C866)</f>
        <v>13.400200000000041</v>
      </c>
      <c r="G864">
        <f>-(Historical_Simulation!D865-Historical_Simulation!D866)</f>
        <v>1.1599999999999966</v>
      </c>
      <c r="J864" s="23">
        <v>42900</v>
      </c>
      <c r="K864" s="24">
        <f t="shared" si="52"/>
        <v>2.4949270649606259</v>
      </c>
      <c r="L864" s="25"/>
      <c r="M864" s="25"/>
      <c r="N864" s="27"/>
      <c r="Q864" s="23">
        <v>42900</v>
      </c>
      <c r="R864" s="24">
        <f t="shared" si="53"/>
        <v>1.8226322974307931</v>
      </c>
      <c r="S864" s="25"/>
      <c r="T864" s="25"/>
      <c r="U864" s="27"/>
      <c r="X864" s="47">
        <v>42900</v>
      </c>
      <c r="Y864" s="48">
        <f t="shared" si="54"/>
        <v>0.76372212695096575</v>
      </c>
      <c r="Z864" s="49"/>
      <c r="AA864" s="49"/>
      <c r="AB864" s="51"/>
      <c r="AE864" s="47">
        <v>42900</v>
      </c>
      <c r="AF864" s="48">
        <f t="shared" si="55"/>
        <v>0.64068943036854287</v>
      </c>
      <c r="AG864" s="49"/>
      <c r="AH864" s="49"/>
      <c r="AI864" s="51"/>
    </row>
    <row r="865" spans="1:35" x14ac:dyDescent="0.3">
      <c r="A865" s="20">
        <v>42895</v>
      </c>
      <c r="C865">
        <f>-(Historical_Simulation!B866-Historical_Simulation!B867)</f>
        <v>1.5025000000000048</v>
      </c>
      <c r="E865">
        <f>-(Historical_Simulation!C866-Historical_Simulation!C867)</f>
        <v>31.959899999999948</v>
      </c>
      <c r="G865">
        <f>-(Historical_Simulation!D866-Historical_Simulation!D867)</f>
        <v>5.1100000000000136</v>
      </c>
      <c r="J865" s="23">
        <v>42899</v>
      </c>
      <c r="K865" s="24">
        <f t="shared" si="52"/>
        <v>-8.7006660865061747</v>
      </c>
      <c r="L865" s="25"/>
      <c r="M865" s="25"/>
      <c r="N865" s="27"/>
      <c r="Q865" s="23">
        <v>42899</v>
      </c>
      <c r="R865" s="24">
        <f t="shared" si="53"/>
        <v>-6.0560069273015893</v>
      </c>
      <c r="S865" s="25"/>
      <c r="T865" s="25"/>
      <c r="U865" s="27"/>
      <c r="X865" s="47">
        <v>42899</v>
      </c>
      <c r="Y865" s="48">
        <f t="shared" si="54"/>
        <v>-11.204466789475163</v>
      </c>
      <c r="Z865" s="49"/>
      <c r="AA865" s="49"/>
      <c r="AB865" s="51"/>
      <c r="AE865" s="47">
        <v>42899</v>
      </c>
      <c r="AF865" s="48">
        <f t="shared" si="55"/>
        <v>-7.8995540088647838</v>
      </c>
      <c r="AG865" s="49"/>
      <c r="AH865" s="49"/>
      <c r="AI865" s="51"/>
    </row>
    <row r="866" spans="1:35" x14ac:dyDescent="0.3">
      <c r="A866" s="20">
        <v>42894</v>
      </c>
      <c r="C866">
        <f>-(Historical_Simulation!B867-Historical_Simulation!B868)</f>
        <v>9.4999999999998863E-2</v>
      </c>
      <c r="E866">
        <f>-(Historical_Simulation!C867-Historical_Simulation!C868)</f>
        <v>-0.19999999999993179</v>
      </c>
      <c r="G866">
        <f>-(Historical_Simulation!D867-Historical_Simulation!D868)</f>
        <v>-1.5900000000000034</v>
      </c>
      <c r="J866" s="23">
        <v>42898</v>
      </c>
      <c r="K866" s="24">
        <f t="shared" si="52"/>
        <v>7.6381741496708973</v>
      </c>
      <c r="L866" s="25"/>
      <c r="M866" s="25"/>
      <c r="N866" s="27"/>
      <c r="Q866" s="23">
        <v>42898</v>
      </c>
      <c r="R866" s="24">
        <f t="shared" si="53"/>
        <v>5.5156398908060691</v>
      </c>
      <c r="S866" s="25"/>
      <c r="T866" s="25"/>
      <c r="U866" s="27"/>
      <c r="X866" s="47">
        <v>42898</v>
      </c>
      <c r="Y866" s="48">
        <f t="shared" si="54"/>
        <v>2.402827231403462</v>
      </c>
      <c r="Z866" s="49"/>
      <c r="AA866" s="49"/>
      <c r="AB866" s="51"/>
      <c r="AE866" s="47">
        <v>42898</v>
      </c>
      <c r="AF866" s="48">
        <f t="shared" si="55"/>
        <v>1.9446364993034435</v>
      </c>
      <c r="AG866" s="49"/>
      <c r="AH866" s="49"/>
      <c r="AI866" s="51"/>
    </row>
    <row r="867" spans="1:35" x14ac:dyDescent="0.3">
      <c r="A867" s="20">
        <v>42893</v>
      </c>
      <c r="C867">
        <f>-(Historical_Simulation!B868-Historical_Simulation!B869)</f>
        <v>-0.23000000000000398</v>
      </c>
      <c r="E867">
        <f>-(Historical_Simulation!C868-Historical_Simulation!C869)</f>
        <v>-7.07000000000005</v>
      </c>
      <c r="G867">
        <f>-(Historical_Simulation!D868-Historical_Simulation!D869)</f>
        <v>-0.31000000000000227</v>
      </c>
      <c r="J867" s="23">
        <v>42895</v>
      </c>
      <c r="K867" s="24">
        <f t="shared" si="52"/>
        <v>17.9316409686644</v>
      </c>
      <c r="L867" s="25"/>
      <c r="M867" s="25"/>
      <c r="N867" s="27"/>
      <c r="Q867" s="23">
        <v>42895</v>
      </c>
      <c r="R867" s="24">
        <f t="shared" si="53"/>
        <v>12.764107680951232</v>
      </c>
      <c r="S867" s="25"/>
      <c r="T867" s="25"/>
      <c r="U867" s="27"/>
      <c r="X867" s="47">
        <v>42895</v>
      </c>
      <c r="Y867" s="48">
        <f t="shared" si="54"/>
        <v>21.715552730696608</v>
      </c>
      <c r="Z867" s="49"/>
      <c r="AA867" s="49"/>
      <c r="AB867" s="51"/>
      <c r="AE867" s="47">
        <v>42895</v>
      </c>
      <c r="AF867" s="48">
        <f t="shared" si="55"/>
        <v>15.5936154490268</v>
      </c>
      <c r="AG867" s="49"/>
      <c r="AH867" s="49"/>
      <c r="AI867" s="51"/>
    </row>
    <row r="868" spans="1:35" x14ac:dyDescent="0.3">
      <c r="A868" s="20">
        <v>42892</v>
      </c>
      <c r="C868">
        <f>-(Historical_Simulation!B869-Historical_Simulation!B870)</f>
        <v>-0.12999999999999545</v>
      </c>
      <c r="E868">
        <f>-(Historical_Simulation!C869-Historical_Simulation!C870)</f>
        <v>8.3400000000000318</v>
      </c>
      <c r="G868">
        <f>-(Historical_Simulation!D869-Historical_Simulation!D870)</f>
        <v>0.81999999999999318</v>
      </c>
      <c r="J868" s="23">
        <v>42894</v>
      </c>
      <c r="K868" s="24">
        <f t="shared" si="52"/>
        <v>-6.4127062249400846E-2</v>
      </c>
      <c r="L868" s="25"/>
      <c r="M868" s="25"/>
      <c r="N868" s="27"/>
      <c r="Q868" s="23">
        <v>42894</v>
      </c>
      <c r="R868" s="24">
        <f t="shared" si="53"/>
        <v>-1.4076095329209726E-2</v>
      </c>
      <c r="S868" s="25"/>
      <c r="T868" s="25"/>
      <c r="U868" s="27"/>
      <c r="X868" s="47">
        <v>42894</v>
      </c>
      <c r="Y868" s="48">
        <f t="shared" si="54"/>
        <v>-9.3461625367217582</v>
      </c>
      <c r="Z868" s="49"/>
      <c r="AA868" s="49"/>
      <c r="AB868" s="51"/>
      <c r="AE868" s="47">
        <v>42894</v>
      </c>
      <c r="AF868" s="48">
        <f t="shared" si="55"/>
        <v>-6.4867129678752971</v>
      </c>
      <c r="AG868" s="49"/>
      <c r="AH868" s="49"/>
      <c r="AI868" s="51"/>
    </row>
    <row r="869" spans="1:35" x14ac:dyDescent="0.3">
      <c r="A869" s="20">
        <v>42891</v>
      </c>
      <c r="C869">
        <f>-(Historical_Simulation!B870-Historical_Simulation!B871)</f>
        <v>0.37999999999999545</v>
      </c>
      <c r="E869">
        <f>-(Historical_Simulation!C870-Historical_Simulation!C871)</f>
        <v>-4.6100000000000136</v>
      </c>
      <c r="G869">
        <f>-(Historical_Simulation!D870-Historical_Simulation!D871)</f>
        <v>-1.999999999998181E-2</v>
      </c>
      <c r="J869" s="23">
        <v>42893</v>
      </c>
      <c r="K869" s="24">
        <f t="shared" si="52"/>
        <v>-3.9195901891056213</v>
      </c>
      <c r="L869" s="25"/>
      <c r="M869" s="25"/>
      <c r="N869" s="27"/>
      <c r="Q869" s="23">
        <v>42893</v>
      </c>
      <c r="R869" s="24">
        <f t="shared" si="53"/>
        <v>-2.7590864137354858</v>
      </c>
      <c r="S869" s="25"/>
      <c r="T869" s="25"/>
      <c r="U869" s="27"/>
      <c r="X869" s="47">
        <v>42893</v>
      </c>
      <c r="Y869" s="48">
        <f t="shared" si="54"/>
        <v>-0.6782451056010268</v>
      </c>
      <c r="Z869" s="49"/>
      <c r="AA869" s="49"/>
      <c r="AB869" s="51"/>
      <c r="AE869" s="47">
        <v>42893</v>
      </c>
      <c r="AF869" s="48">
        <f t="shared" si="55"/>
        <v>-0.54248488868250344</v>
      </c>
      <c r="AG869" s="49"/>
      <c r="AH869" s="49"/>
      <c r="AI869" s="51"/>
    </row>
    <row r="870" spans="1:35" x14ac:dyDescent="0.3">
      <c r="A870" s="20">
        <v>42888</v>
      </c>
      <c r="C870">
        <f>-(Historical_Simulation!B871-Historical_Simulation!B872)</f>
        <v>-0.56749999999999545</v>
      </c>
      <c r="E870">
        <f>-(Historical_Simulation!C871-Historical_Simulation!C872)</f>
        <v>-10.779999999999973</v>
      </c>
      <c r="G870">
        <f>-(Historical_Simulation!D871-Historical_Simulation!D872)</f>
        <v>-2.0800000000000125</v>
      </c>
      <c r="J870" s="23">
        <v>42892</v>
      </c>
      <c r="K870" s="24">
        <f t="shared" si="52"/>
        <v>4.438834634755044</v>
      </c>
      <c r="L870" s="25"/>
      <c r="M870" s="25"/>
      <c r="N870" s="27"/>
      <c r="Q870" s="23">
        <v>42892</v>
      </c>
      <c r="R870" s="24">
        <f t="shared" si="53"/>
        <v>3.0017780591139602</v>
      </c>
      <c r="S870" s="25"/>
      <c r="T870" s="25"/>
      <c r="U870" s="27"/>
      <c r="X870" s="47">
        <v>42892</v>
      </c>
      <c r="Y870" s="48">
        <f t="shared" si="54"/>
        <v>5.1929106290122</v>
      </c>
      <c r="Z870" s="49"/>
      <c r="AA870" s="49"/>
      <c r="AB870" s="51"/>
      <c r="AE870" s="47">
        <v>42892</v>
      </c>
      <c r="AF870" s="48">
        <f t="shared" si="55"/>
        <v>3.5807580531047214</v>
      </c>
      <c r="AG870" s="49"/>
      <c r="AH870" s="49"/>
      <c r="AI870" s="51"/>
    </row>
    <row r="871" spans="1:35" x14ac:dyDescent="0.3">
      <c r="A871" s="20">
        <v>42887</v>
      </c>
      <c r="C871">
        <f>-(Historical_Simulation!B872-Historical_Simulation!B873)</f>
        <v>-0.10500000000000398</v>
      </c>
      <c r="E871">
        <f>-(Historical_Simulation!C872-Historical_Simulation!C873)</f>
        <v>-1.329900000000066</v>
      </c>
      <c r="G871">
        <f>-(Historical_Simulation!D872-Historical_Simulation!D873)</f>
        <v>-6.9999999999993179E-2</v>
      </c>
      <c r="J871" s="23">
        <v>42891</v>
      </c>
      <c r="K871" s="24">
        <f t="shared" si="52"/>
        <v>-2.3116747139820135</v>
      </c>
      <c r="L871" s="25"/>
      <c r="M871" s="25"/>
      <c r="N871" s="27"/>
      <c r="Q871" s="23">
        <v>42891</v>
      </c>
      <c r="R871" s="24">
        <f t="shared" si="53"/>
        <v>-1.4650498837046819</v>
      </c>
      <c r="S871" s="25"/>
      <c r="T871" s="25"/>
      <c r="U871" s="27"/>
      <c r="X871" s="47">
        <v>42891</v>
      </c>
      <c r="Y871" s="48">
        <f t="shared" si="54"/>
        <v>-1.8612255280050389</v>
      </c>
      <c r="Z871" s="49"/>
      <c r="AA871" s="49"/>
      <c r="AB871" s="51"/>
      <c r="AE871" s="47">
        <v>42891</v>
      </c>
      <c r="AF871" s="48">
        <f t="shared" si="55"/>
        <v>-1.1824244434124465</v>
      </c>
      <c r="AG871" s="49"/>
      <c r="AH871" s="49"/>
      <c r="AI871" s="51"/>
    </row>
    <row r="872" spans="1:35" x14ac:dyDescent="0.3">
      <c r="A872" s="20">
        <v>42886</v>
      </c>
      <c r="C872">
        <f>-(Historical_Simulation!B873-Historical_Simulation!B874)</f>
        <v>0.22749999999999915</v>
      </c>
      <c r="E872">
        <f>-(Historical_Simulation!C873-Historical_Simulation!C874)</f>
        <v>2.079900000000066</v>
      </c>
      <c r="G872">
        <f>-(Historical_Simulation!D873-Historical_Simulation!D874)</f>
        <v>0.91999999999998749</v>
      </c>
      <c r="J872" s="23">
        <v>42888</v>
      </c>
      <c r="K872" s="24">
        <f t="shared" si="52"/>
        <v>-6.0762631295673613</v>
      </c>
      <c r="L872" s="25"/>
      <c r="M872" s="25"/>
      <c r="N872" s="27"/>
      <c r="Q872" s="23">
        <v>42888</v>
      </c>
      <c r="R872" s="24">
        <f t="shared" si="53"/>
        <v>-4.3435665205077987</v>
      </c>
      <c r="S872" s="25"/>
      <c r="T872" s="25"/>
      <c r="U872" s="27"/>
      <c r="X872" s="47">
        <v>42888</v>
      </c>
      <c r="Y872" s="48">
        <f t="shared" si="54"/>
        <v>-9.0421340277696096</v>
      </c>
      <c r="Z872" s="49"/>
      <c r="AA872" s="49"/>
      <c r="AB872" s="51"/>
      <c r="AE872" s="47">
        <v>42888</v>
      </c>
      <c r="AF872" s="48">
        <f t="shared" si="55"/>
        <v>-6.4754174266536939</v>
      </c>
      <c r="AG872" s="49"/>
      <c r="AH872" s="49"/>
      <c r="AI872" s="51"/>
    </row>
    <row r="873" spans="1:35" x14ac:dyDescent="0.3">
      <c r="A873" s="20">
        <v>42885</v>
      </c>
      <c r="C873">
        <f>-(Historical_Simulation!B874-Historical_Simulation!B875)</f>
        <v>-1.4999999999993463E-2</v>
      </c>
      <c r="E873">
        <f>-(Historical_Simulation!C874-Historical_Simulation!C875)</f>
        <v>-0.92000000000007276</v>
      </c>
      <c r="G873">
        <f>-(Historical_Simulation!D874-Historical_Simulation!D875)</f>
        <v>-0.25</v>
      </c>
      <c r="J873" s="23">
        <v>42887</v>
      </c>
      <c r="K873" s="24">
        <f t="shared" si="52"/>
        <v>-0.76572792728592054</v>
      </c>
      <c r="L873" s="25"/>
      <c r="M873" s="25"/>
      <c r="N873" s="27"/>
      <c r="Q873" s="23">
        <v>42887</v>
      </c>
      <c r="R873" s="24">
        <f t="shared" si="53"/>
        <v>-0.55790613277554901</v>
      </c>
      <c r="S873" s="25"/>
      <c r="T873" s="25"/>
      <c r="U873" s="27"/>
      <c r="X873" s="47">
        <v>42887</v>
      </c>
      <c r="Y873" s="48">
        <f t="shared" si="54"/>
        <v>9.1107233700508217E-2</v>
      </c>
      <c r="Z873" s="49"/>
      <c r="AA873" s="49"/>
      <c r="AB873" s="51"/>
      <c r="AE873" s="47">
        <v>42887</v>
      </c>
      <c r="AF873" s="48">
        <f t="shared" si="55"/>
        <v>3.1712138798634659E-2</v>
      </c>
      <c r="AG873" s="49"/>
      <c r="AH873" s="49"/>
      <c r="AI873" s="51"/>
    </row>
    <row r="874" spans="1:35" x14ac:dyDescent="0.3">
      <c r="A874" s="20">
        <v>42884</v>
      </c>
      <c r="C874">
        <f>-(Historical_Simulation!B875-Historical_Simulation!B876)</f>
        <v>0</v>
      </c>
      <c r="E874">
        <f>-(Historical_Simulation!C875-Historical_Simulation!C876)</f>
        <v>0</v>
      </c>
      <c r="G874">
        <f>-(Historical_Simulation!D875-Historical_Simulation!D876)</f>
        <v>0</v>
      </c>
      <c r="J874" s="23">
        <v>42886</v>
      </c>
      <c r="K874" s="24">
        <f t="shared" si="52"/>
        <v>1.2267100681724328</v>
      </c>
      <c r="L874" s="25"/>
      <c r="M874" s="25"/>
      <c r="N874" s="27"/>
      <c r="Q874" s="23">
        <v>42886</v>
      </c>
      <c r="R874" s="24">
        <f t="shared" si="53"/>
        <v>0.91242392877247636</v>
      </c>
      <c r="S874" s="25"/>
      <c r="T874" s="25"/>
      <c r="U874" s="27"/>
      <c r="X874" s="47">
        <v>42886</v>
      </c>
      <c r="Y874" s="48">
        <f t="shared" si="54"/>
        <v>4.1076216953588709</v>
      </c>
      <c r="Z874" s="49"/>
      <c r="AA874" s="49"/>
      <c r="AB874" s="51"/>
      <c r="AE874" s="47">
        <v>42886</v>
      </c>
      <c r="AF874" s="48">
        <f t="shared" si="55"/>
        <v>2.9324473176578976</v>
      </c>
      <c r="AG874" s="49"/>
      <c r="AH874" s="49"/>
      <c r="AI874" s="51"/>
    </row>
    <row r="875" spans="1:35" x14ac:dyDescent="0.3">
      <c r="A875" s="20">
        <v>42881</v>
      </c>
      <c r="C875">
        <f>-(Historical_Simulation!B876-Historical_Simulation!B877)</f>
        <v>6.4999999999997726E-2</v>
      </c>
      <c r="E875">
        <f>-(Historical_Simulation!C876-Historical_Simulation!C877)</f>
        <v>-2.4000999999999522</v>
      </c>
      <c r="G875">
        <f>-(Historical_Simulation!D876-Historical_Simulation!D877)</f>
        <v>-0.16999999999998749</v>
      </c>
      <c r="J875" s="23">
        <v>42885</v>
      </c>
      <c r="K875" s="24">
        <f t="shared" si="52"/>
        <v>-0.50316946215508906</v>
      </c>
      <c r="L875" s="25"/>
      <c r="M875" s="25"/>
      <c r="N875" s="27"/>
      <c r="Q875" s="23">
        <v>42885</v>
      </c>
      <c r="R875" s="24">
        <f t="shared" si="53"/>
        <v>-0.34962327550157191</v>
      </c>
      <c r="S875" s="25"/>
      <c r="T875" s="25"/>
      <c r="U875" s="27"/>
      <c r="X875" s="47">
        <v>42885</v>
      </c>
      <c r="Y875" s="48">
        <f t="shared" si="54"/>
        <v>-1.3317199977030627</v>
      </c>
      <c r="Z875" s="49"/>
      <c r="AA875" s="49"/>
      <c r="AB875" s="51"/>
      <c r="AE875" s="47">
        <v>42885</v>
      </c>
      <c r="AF875" s="48">
        <f t="shared" si="55"/>
        <v>-0.93292436050488092</v>
      </c>
      <c r="AG875" s="49"/>
      <c r="AH875" s="49"/>
      <c r="AI875" s="51"/>
    </row>
    <row r="876" spans="1:35" x14ac:dyDescent="0.3">
      <c r="A876" s="20">
        <v>42880</v>
      </c>
      <c r="C876">
        <f>-(Historical_Simulation!B877-Historical_Simulation!B878)</f>
        <v>-0.13250000000000028</v>
      </c>
      <c r="E876">
        <f>-(Historical_Simulation!C877-Historical_Simulation!C878)</f>
        <v>-13.029800000000023</v>
      </c>
      <c r="G876">
        <f>-(Historical_Simulation!D877-Historical_Simulation!D878)</f>
        <v>-1.9200000000000159</v>
      </c>
      <c r="J876" s="23">
        <v>42884</v>
      </c>
      <c r="K876" s="24">
        <f t="shared" si="52"/>
        <v>0</v>
      </c>
      <c r="L876" s="25"/>
      <c r="M876" s="25"/>
      <c r="N876" s="27"/>
      <c r="Q876" s="23">
        <v>42884</v>
      </c>
      <c r="R876" s="24">
        <f t="shared" si="53"/>
        <v>0</v>
      </c>
      <c r="S876" s="25"/>
      <c r="T876" s="25"/>
      <c r="U876" s="27"/>
      <c r="X876" s="47">
        <v>42884</v>
      </c>
      <c r="Y876" s="48">
        <f t="shared" si="54"/>
        <v>0</v>
      </c>
      <c r="Z876" s="49"/>
      <c r="AA876" s="49"/>
      <c r="AB876" s="51"/>
      <c r="AE876" s="47">
        <v>42884</v>
      </c>
      <c r="AF876" s="48">
        <f t="shared" si="55"/>
        <v>0</v>
      </c>
      <c r="AG876" s="49"/>
      <c r="AH876" s="49"/>
      <c r="AI876" s="51"/>
    </row>
    <row r="877" spans="1:35" x14ac:dyDescent="0.3">
      <c r="A877" s="20">
        <v>42879</v>
      </c>
      <c r="C877">
        <f>-(Historical_Simulation!B878-Historical_Simulation!B879)</f>
        <v>0.11500000000000199</v>
      </c>
      <c r="E877">
        <f>-(Historical_Simulation!C878-Historical_Simulation!C879)</f>
        <v>-8.810100000000034</v>
      </c>
      <c r="G877">
        <f>-(Historical_Simulation!D878-Historical_Simulation!D879)</f>
        <v>-1.9699999999999989</v>
      </c>
      <c r="J877" s="23">
        <v>42881</v>
      </c>
      <c r="K877" s="24">
        <f t="shared" si="52"/>
        <v>-1.2647088852578987</v>
      </c>
      <c r="L877" s="25"/>
      <c r="M877" s="25"/>
      <c r="N877" s="27"/>
      <c r="Q877" s="23">
        <v>42881</v>
      </c>
      <c r="R877" s="24">
        <f t="shared" si="53"/>
        <v>-0.84646943252912032</v>
      </c>
      <c r="S877" s="25"/>
      <c r="T877" s="25"/>
      <c r="U877" s="27"/>
      <c r="X877" s="47">
        <v>42881</v>
      </c>
      <c r="Y877" s="48">
        <f t="shared" si="54"/>
        <v>-1.2517199977029521</v>
      </c>
      <c r="Z877" s="49"/>
      <c r="AA877" s="49"/>
      <c r="AB877" s="51"/>
      <c r="AE877" s="47">
        <v>42881</v>
      </c>
      <c r="AF877" s="48">
        <f t="shared" si="55"/>
        <v>-0.85292436050480647</v>
      </c>
      <c r="AG877" s="49"/>
      <c r="AH877" s="49"/>
      <c r="AI877" s="51"/>
    </row>
    <row r="878" spans="1:35" x14ac:dyDescent="0.3">
      <c r="A878" s="20">
        <v>42878</v>
      </c>
      <c r="C878">
        <f>-(Historical_Simulation!B879-Historical_Simulation!B880)</f>
        <v>4.7499999999999432E-2</v>
      </c>
      <c r="E878">
        <f>-(Historical_Simulation!C879-Historical_Simulation!C880)</f>
        <v>-0.87009999999997945</v>
      </c>
      <c r="G878">
        <f>-(Historical_Simulation!D879-Historical_Simulation!D880)</f>
        <v>0.17000000000001592</v>
      </c>
      <c r="J878" s="23">
        <v>42880</v>
      </c>
      <c r="K878" s="24">
        <f t="shared" si="52"/>
        <v>-7.089481220168369</v>
      </c>
      <c r="L878" s="25"/>
      <c r="M878" s="25"/>
      <c r="N878" s="27"/>
      <c r="Q878" s="23">
        <v>42880</v>
      </c>
      <c r="R878" s="24">
        <f t="shared" si="53"/>
        <v>-4.9012699128465593</v>
      </c>
      <c r="S878" s="25"/>
      <c r="T878" s="25"/>
      <c r="U878" s="27"/>
      <c r="X878" s="47">
        <v>42880</v>
      </c>
      <c r="Y878" s="48">
        <f t="shared" si="54"/>
        <v>-10.147976578273154</v>
      </c>
      <c r="Z878" s="49"/>
      <c r="AA878" s="49"/>
      <c r="AB878" s="51"/>
      <c r="AE878" s="47">
        <v>42880</v>
      </c>
      <c r="AF878" s="48">
        <f t="shared" si="55"/>
        <v>-7.1145842314998093</v>
      </c>
      <c r="AG878" s="49"/>
      <c r="AH878" s="49"/>
      <c r="AI878" s="51"/>
    </row>
    <row r="879" spans="1:35" x14ac:dyDescent="0.3">
      <c r="A879" s="20">
        <v>42877</v>
      </c>
      <c r="C879">
        <f>-(Historical_Simulation!B880-Historical_Simulation!B881)</f>
        <v>-0.23250000000000171</v>
      </c>
      <c r="E879">
        <f>-(Historical_Simulation!C880-Historical_Simulation!C881)</f>
        <v>-10.829799999999977</v>
      </c>
      <c r="G879">
        <f>-(Historical_Simulation!D880-Historical_Simulation!D881)</f>
        <v>-0.18000000000000682</v>
      </c>
      <c r="J879" s="23">
        <v>42879</v>
      </c>
      <c r="K879" s="24">
        <f t="shared" si="52"/>
        <v>-4.6993218416354443</v>
      </c>
      <c r="L879" s="25"/>
      <c r="M879" s="25"/>
      <c r="N879" s="27"/>
      <c r="Q879" s="23">
        <v>42879</v>
      </c>
      <c r="R879" s="24">
        <f t="shared" si="53"/>
        <v>-3.1850510455015315</v>
      </c>
      <c r="S879" s="25"/>
      <c r="T879" s="25"/>
      <c r="U879" s="27"/>
      <c r="X879" s="47">
        <v>42879</v>
      </c>
      <c r="Y879" s="48">
        <f t="shared" si="54"/>
        <v>-11.567388064726908</v>
      </c>
      <c r="Z879" s="49"/>
      <c r="AA879" s="49"/>
      <c r="AB879" s="51"/>
      <c r="AE879" s="47">
        <v>42879</v>
      </c>
      <c r="AF879" s="48">
        <f t="shared" si="55"/>
        <v>-8.0291374112878184</v>
      </c>
      <c r="AG879" s="49"/>
      <c r="AH879" s="49"/>
      <c r="AI879" s="51"/>
    </row>
    <row r="880" spans="1:35" x14ac:dyDescent="0.3">
      <c r="A880" s="20">
        <v>42874</v>
      </c>
      <c r="C880">
        <f>-(Historical_Simulation!B881-Historical_Simulation!B882)</f>
        <v>-0.13000000000000256</v>
      </c>
      <c r="E880">
        <f>-(Historical_Simulation!C881-Historical_Simulation!C882)</f>
        <v>-1.3500999999999976</v>
      </c>
      <c r="G880">
        <f>-(Historical_Simulation!D881-Historical_Simulation!D882)</f>
        <v>-0.40000000000000568</v>
      </c>
      <c r="J880" s="23">
        <v>42878</v>
      </c>
      <c r="K880" s="24">
        <f t="shared" si="52"/>
        <v>-0.44746607566128915</v>
      </c>
      <c r="L880" s="25"/>
      <c r="M880" s="25"/>
      <c r="N880" s="27"/>
      <c r="Q880" s="23">
        <v>42878</v>
      </c>
      <c r="R880" s="24">
        <f t="shared" si="53"/>
        <v>-0.29178211889526506</v>
      </c>
      <c r="S880" s="25"/>
      <c r="T880" s="25"/>
      <c r="U880" s="27"/>
      <c r="X880" s="47">
        <v>42878</v>
      </c>
      <c r="Y880" s="48">
        <f t="shared" si="54"/>
        <v>0.7338753179516726</v>
      </c>
      <c r="Z880" s="49"/>
      <c r="AA880" s="49"/>
      <c r="AB880" s="51"/>
      <c r="AE880" s="47">
        <v>42878</v>
      </c>
      <c r="AF880" s="48">
        <f t="shared" si="55"/>
        <v>0.52599248579515134</v>
      </c>
      <c r="AG880" s="49"/>
      <c r="AH880" s="49"/>
      <c r="AI880" s="51"/>
    </row>
    <row r="881" spans="1:35" x14ac:dyDescent="0.3">
      <c r="A881" s="20">
        <v>42873</v>
      </c>
      <c r="C881">
        <f>-(Historical_Simulation!B882-Historical_Simulation!B883)</f>
        <v>-0.57249999999999801</v>
      </c>
      <c r="E881">
        <f>-(Historical_Simulation!C882-Historical_Simulation!C883)</f>
        <v>-13.730000000000018</v>
      </c>
      <c r="G881">
        <f>-(Historical_Simulation!D882-Historical_Simulation!D883)</f>
        <v>-2.8100000000000023</v>
      </c>
      <c r="J881" s="23">
        <v>42877</v>
      </c>
      <c r="K881" s="24">
        <f t="shared" si="52"/>
        <v>-5.9488295483930731</v>
      </c>
      <c r="L881" s="25"/>
      <c r="M881" s="25"/>
      <c r="N881" s="27"/>
      <c r="Q881" s="23">
        <v>42877</v>
      </c>
      <c r="R881" s="24">
        <f t="shared" si="53"/>
        <v>-4.1508461187542096</v>
      </c>
      <c r="S881" s="25"/>
      <c r="T881" s="25"/>
      <c r="U881" s="27"/>
      <c r="X881" s="47">
        <v>42877</v>
      </c>
      <c r="Y881" s="48">
        <f t="shared" si="54"/>
        <v>6.1660850550647295E-2</v>
      </c>
      <c r="Z881" s="49"/>
      <c r="AA881" s="49"/>
      <c r="AB881" s="51"/>
      <c r="AE881" s="47">
        <v>42877</v>
      </c>
      <c r="AF881" s="48">
        <f t="shared" si="55"/>
        <v>-2.743179180212707E-2</v>
      </c>
      <c r="AG881" s="49"/>
      <c r="AH881" s="49"/>
      <c r="AI881" s="51"/>
    </row>
    <row r="882" spans="1:35" x14ac:dyDescent="0.3">
      <c r="A882" s="20">
        <v>42872</v>
      </c>
      <c r="C882">
        <f>-(Historical_Simulation!B883-Historical_Simulation!B884)</f>
        <v>1.3049999999999997</v>
      </c>
      <c r="E882">
        <f>-(Historical_Simulation!C883-Historical_Simulation!C884)</f>
        <v>21.310100000000034</v>
      </c>
      <c r="G882">
        <f>-(Historical_Simulation!D883-Historical_Simulation!D884)</f>
        <v>4.9300000000000068</v>
      </c>
      <c r="J882" s="23">
        <v>42874</v>
      </c>
      <c r="K882" s="24">
        <f t="shared" si="52"/>
        <v>-0.7881387411882651</v>
      </c>
      <c r="L882" s="25"/>
      <c r="M882" s="25"/>
      <c r="N882" s="27"/>
      <c r="Q882" s="23">
        <v>42874</v>
      </c>
      <c r="R882" s="24">
        <f t="shared" si="53"/>
        <v>-0.58113133529219962</v>
      </c>
      <c r="S882" s="25"/>
      <c r="T882" s="25"/>
      <c r="U882" s="27"/>
      <c r="X882" s="47">
        <v>42874</v>
      </c>
      <c r="Y882" s="48">
        <f t="shared" si="54"/>
        <v>-1.6428272314035044</v>
      </c>
      <c r="Z882" s="49"/>
      <c r="AA882" s="49"/>
      <c r="AB882" s="51"/>
      <c r="AE882" s="47">
        <v>42874</v>
      </c>
      <c r="AF882" s="48">
        <f t="shared" si="55"/>
        <v>-1.1846364993034733</v>
      </c>
      <c r="AG882" s="49"/>
      <c r="AH882" s="49"/>
      <c r="AI882" s="51"/>
    </row>
    <row r="883" spans="1:35" x14ac:dyDescent="0.3">
      <c r="A883" s="20">
        <v>42871</v>
      </c>
      <c r="C883">
        <f>-(Historical_Simulation!B884-Historical_Simulation!B885)</f>
        <v>5.7499999999997442E-2</v>
      </c>
      <c r="E883">
        <f>-(Historical_Simulation!C884-Historical_Simulation!C885)</f>
        <v>-8.1000999999999976</v>
      </c>
      <c r="G883">
        <f>-(Historical_Simulation!D884-Historical_Simulation!D885)</f>
        <v>0.40999999999999659</v>
      </c>
      <c r="J883" s="23">
        <v>42873</v>
      </c>
      <c r="K883" s="24">
        <f t="shared" si="52"/>
        <v>-7.6698366832100717</v>
      </c>
      <c r="L883" s="25"/>
      <c r="M883" s="25"/>
      <c r="N883" s="27"/>
      <c r="Q883" s="23">
        <v>42873</v>
      </c>
      <c r="R883" s="24">
        <f t="shared" si="53"/>
        <v>-5.4374787264216984</v>
      </c>
      <c r="S883" s="25"/>
      <c r="T883" s="25"/>
      <c r="U883" s="27"/>
      <c r="X883" s="47">
        <v>42873</v>
      </c>
      <c r="Y883" s="48">
        <f t="shared" si="54"/>
        <v>-13.109355297278896</v>
      </c>
      <c r="Z883" s="49"/>
      <c r="AA883" s="49"/>
      <c r="AB883" s="51"/>
      <c r="AE883" s="47">
        <v>42873</v>
      </c>
      <c r="AF883" s="48">
        <f t="shared" si="55"/>
        <v>-9.312311730338859</v>
      </c>
      <c r="AG883" s="49"/>
      <c r="AH883" s="49"/>
      <c r="AI883" s="51"/>
    </row>
    <row r="884" spans="1:35" x14ac:dyDescent="0.3">
      <c r="A884" s="20">
        <v>42870</v>
      </c>
      <c r="C884">
        <f>-(Historical_Simulation!B885-Historical_Simulation!B886)</f>
        <v>0.10000000000000142</v>
      </c>
      <c r="E884">
        <f>-(Historical_Simulation!C885-Historical_Simulation!C886)</f>
        <v>3.3800999999999704</v>
      </c>
      <c r="G884">
        <f>-(Historical_Simulation!D885-Historical_Simulation!D886)</f>
        <v>0.14000000000001478</v>
      </c>
      <c r="J884" s="23">
        <v>42872</v>
      </c>
      <c r="K884" s="24">
        <f t="shared" si="52"/>
        <v>12.096026416970236</v>
      </c>
      <c r="L884" s="25"/>
      <c r="M884" s="25"/>
      <c r="N884" s="27"/>
      <c r="Q884" s="23">
        <v>42872</v>
      </c>
      <c r="R884" s="24">
        <f t="shared" si="53"/>
        <v>8.7018752361724321</v>
      </c>
      <c r="S884" s="25"/>
      <c r="T884" s="25"/>
      <c r="U884" s="27"/>
      <c r="X884" s="47">
        <v>42872</v>
      </c>
      <c r="Y884" s="48">
        <f t="shared" si="54"/>
        <v>21.616106347546818</v>
      </c>
      <c r="Z884" s="49"/>
      <c r="AA884" s="49"/>
      <c r="AB884" s="51"/>
      <c r="AE884" s="47">
        <v>42872</v>
      </c>
      <c r="AF884" s="48">
        <f t="shared" si="55"/>
        <v>15.464471518426087</v>
      </c>
      <c r="AG884" s="49"/>
      <c r="AH884" s="49"/>
      <c r="AI884" s="51"/>
    </row>
    <row r="885" spans="1:35" x14ac:dyDescent="0.3">
      <c r="A885" s="20">
        <v>42867</v>
      </c>
      <c r="C885">
        <f>-(Historical_Simulation!B886-Historical_Simulation!B887)</f>
        <v>-0.53750000000000142</v>
      </c>
      <c r="E885">
        <f>-(Historical_Simulation!C886-Historical_Simulation!C887)</f>
        <v>-13.730000000000018</v>
      </c>
      <c r="G885">
        <f>-(Historical_Simulation!D886-Historical_Simulation!D887)</f>
        <v>-0.29000000000002046</v>
      </c>
      <c r="J885" s="23">
        <v>42871</v>
      </c>
      <c r="K885" s="24">
        <f t="shared" si="52"/>
        <v>-4.3428217729017229</v>
      </c>
      <c r="L885" s="25"/>
      <c r="M885" s="25"/>
      <c r="N885" s="27"/>
      <c r="Q885" s="23">
        <v>42871</v>
      </c>
      <c r="R885" s="24">
        <f t="shared" si="53"/>
        <v>-2.9587683229076656</v>
      </c>
      <c r="S885" s="25"/>
      <c r="T885" s="25"/>
      <c r="U885" s="27"/>
      <c r="X885" s="47">
        <v>42871</v>
      </c>
      <c r="Y885" s="48">
        <f t="shared" si="54"/>
        <v>2.0325799965545417</v>
      </c>
      <c r="Z885" s="49"/>
      <c r="AA885" s="49"/>
      <c r="AB885" s="51"/>
      <c r="AE885" s="47">
        <v>42871</v>
      </c>
      <c r="AF885" s="48">
        <f t="shared" si="55"/>
        <v>1.4343865407572871</v>
      </c>
      <c r="AG885" s="49"/>
      <c r="AH885" s="49"/>
      <c r="AI885" s="51"/>
    </row>
    <row r="886" spans="1:35" x14ac:dyDescent="0.3">
      <c r="A886" s="20">
        <v>42866</v>
      </c>
      <c r="C886">
        <f>-(Historical_Simulation!B887-Historical_Simulation!B888)</f>
        <v>-0.17249999999999943</v>
      </c>
      <c r="E886">
        <f>-(Historical_Simulation!C887-Historical_Simulation!C888)</f>
        <v>1.329900000000066</v>
      </c>
      <c r="G886">
        <f>-(Historical_Simulation!D887-Historical_Simulation!D888)</f>
        <v>0.25</v>
      </c>
      <c r="J886" s="23">
        <v>42870</v>
      </c>
      <c r="K886" s="24">
        <f t="shared" si="52"/>
        <v>1.8693311080826243</v>
      </c>
      <c r="L886" s="25"/>
      <c r="M886" s="25"/>
      <c r="N886" s="27"/>
      <c r="Q886" s="23">
        <v>42870</v>
      </c>
      <c r="R886" s="24">
        <f t="shared" si="53"/>
        <v>1.3128152552183669</v>
      </c>
      <c r="S886" s="25"/>
      <c r="T886" s="25"/>
      <c r="U886" s="27"/>
      <c r="X886" s="47">
        <v>42870</v>
      </c>
      <c r="Y886" s="48">
        <f t="shared" si="54"/>
        <v>0.32412255280059249</v>
      </c>
      <c r="Z886" s="49"/>
      <c r="AA886" s="49"/>
      <c r="AB886" s="51"/>
      <c r="AE886" s="47">
        <v>42870</v>
      </c>
      <c r="AF886" s="48">
        <f t="shared" si="55"/>
        <v>0.25624244434130666</v>
      </c>
      <c r="AG886" s="49"/>
      <c r="AH886" s="49"/>
      <c r="AI886" s="51"/>
    </row>
    <row r="887" spans="1:35" x14ac:dyDescent="0.3">
      <c r="A887" s="20">
        <v>42865</v>
      </c>
      <c r="C887">
        <f>-(Historical_Simulation!B888-Historical_Simulation!B889)</f>
        <v>0.18250000000000455</v>
      </c>
      <c r="E887">
        <f>-(Historical_Simulation!C888-Historical_Simulation!C889)</f>
        <v>3.8700999999999794</v>
      </c>
      <c r="G887">
        <f>-(Historical_Simulation!D888-Historical_Simulation!D889)</f>
        <v>0.18999999999999773</v>
      </c>
      <c r="J887" s="23">
        <v>42867</v>
      </c>
      <c r="K887" s="24">
        <f t="shared" si="52"/>
        <v>-7.653716165171871</v>
      </c>
      <c r="L887" s="25"/>
      <c r="M887" s="25"/>
      <c r="N887" s="27"/>
      <c r="Q887" s="23">
        <v>42867</v>
      </c>
      <c r="R887" s="24">
        <f t="shared" si="53"/>
        <v>-5.4154199580709319</v>
      </c>
      <c r="S887" s="25"/>
      <c r="T887" s="25"/>
      <c r="U887" s="27"/>
      <c r="X887" s="47">
        <v>42867</v>
      </c>
      <c r="Y887" s="48">
        <f t="shared" si="54"/>
        <v>0.84925829545308562</v>
      </c>
      <c r="Z887" s="49"/>
      <c r="AA887" s="49"/>
      <c r="AB887" s="51"/>
      <c r="AE887" s="47">
        <v>42867</v>
      </c>
      <c r="AF887" s="48">
        <f t="shared" si="55"/>
        <v>0.42925012436142773</v>
      </c>
      <c r="AG887" s="49"/>
      <c r="AH887" s="49"/>
      <c r="AI887" s="51"/>
    </row>
    <row r="888" spans="1:35" x14ac:dyDescent="0.3">
      <c r="A888" s="20">
        <v>42864</v>
      </c>
      <c r="C888">
        <f>-(Historical_Simulation!B889-Historical_Simulation!B890)</f>
        <v>-0.24500000000000455</v>
      </c>
      <c r="E888">
        <f>-(Historical_Simulation!C889-Historical_Simulation!C890)</f>
        <v>-3.7801000000000613</v>
      </c>
      <c r="G888">
        <f>-(Historical_Simulation!D889-Historical_Simulation!D890)</f>
        <v>0.58000000000001251</v>
      </c>
      <c r="J888" s="23">
        <v>42866</v>
      </c>
      <c r="K888" s="24">
        <f t="shared" si="52"/>
        <v>0.63791524855445725</v>
      </c>
      <c r="L888" s="25"/>
      <c r="M888" s="25"/>
      <c r="N888" s="27"/>
      <c r="Q888" s="23">
        <v>42866</v>
      </c>
      <c r="R888" s="24">
        <f t="shared" si="53"/>
        <v>0.3830116122801655</v>
      </c>
      <c r="S888" s="25"/>
      <c r="T888" s="25"/>
      <c r="U888" s="27"/>
      <c r="X888" s="47">
        <v>42866</v>
      </c>
      <c r="Y888" s="48">
        <f t="shared" si="54"/>
        <v>2.1947944639554495</v>
      </c>
      <c r="Z888" s="49"/>
      <c r="AA888" s="49"/>
      <c r="AB888" s="51"/>
      <c r="AE888" s="47">
        <v>42866</v>
      </c>
      <c r="AF888" s="48">
        <f t="shared" si="55"/>
        <v>1.477810818354484</v>
      </c>
      <c r="AG888" s="49"/>
      <c r="AH888" s="49"/>
      <c r="AI888" s="51"/>
    </row>
    <row r="889" spans="1:35" x14ac:dyDescent="0.3">
      <c r="A889" s="20">
        <v>42863</v>
      </c>
      <c r="C889">
        <f>-(Historical_Simulation!B890-Historical_Simulation!B891)</f>
        <v>-1.0124999999999957</v>
      </c>
      <c r="E889">
        <f>-(Historical_Simulation!C890-Historical_Simulation!C891)</f>
        <v>-14.890099999999961</v>
      </c>
      <c r="G889">
        <f>-(Historical_Simulation!D890-Historical_Simulation!D891)</f>
        <v>-0.81999999999999318</v>
      </c>
      <c r="J889" s="23">
        <v>42865</v>
      </c>
      <c r="K889" s="24">
        <f t="shared" si="52"/>
        <v>2.1716422194949887</v>
      </c>
      <c r="L889" s="25"/>
      <c r="M889" s="25"/>
      <c r="N889" s="27"/>
      <c r="Q889" s="23">
        <v>42865</v>
      </c>
      <c r="R889" s="24">
        <f t="shared" si="53"/>
        <v>1.5459881665629924</v>
      </c>
      <c r="S889" s="25"/>
      <c r="T889" s="25"/>
      <c r="U889" s="27"/>
      <c r="X889" s="47">
        <v>42865</v>
      </c>
      <c r="Y889" s="48">
        <f t="shared" si="54"/>
        <v>0.2245229786500631</v>
      </c>
      <c r="Z889" s="49"/>
      <c r="AA889" s="49"/>
      <c r="AB889" s="51"/>
      <c r="AE889" s="47">
        <v>42865</v>
      </c>
      <c r="AF889" s="48">
        <f t="shared" si="55"/>
        <v>0.21179545831396285</v>
      </c>
      <c r="AG889" s="49"/>
      <c r="AH889" s="49"/>
      <c r="AI889" s="51"/>
    </row>
    <row r="890" spans="1:35" x14ac:dyDescent="0.3">
      <c r="A890" s="20">
        <v>42860</v>
      </c>
      <c r="C890">
        <f>-(Historical_Simulation!B891-Historical_Simulation!B892)</f>
        <v>-0.60750000000000171</v>
      </c>
      <c r="E890">
        <f>-(Historical_Simulation!C891-Historical_Simulation!C892)</f>
        <v>3.3800999999999704</v>
      </c>
      <c r="G890">
        <f>-(Historical_Simulation!D891-Historical_Simulation!D892)</f>
        <v>0.60999999999998522</v>
      </c>
      <c r="J890" s="23">
        <v>42864</v>
      </c>
      <c r="K890" s="24">
        <f t="shared" si="52"/>
        <v>-2.1518816195186288</v>
      </c>
      <c r="L890" s="25"/>
      <c r="M890" s="25"/>
      <c r="N890" s="27"/>
      <c r="Q890" s="23">
        <v>42864</v>
      </c>
      <c r="R890" s="24">
        <f t="shared" si="53"/>
        <v>-1.5521013715199439</v>
      </c>
      <c r="S890" s="25"/>
      <c r="T890" s="25"/>
      <c r="U890" s="27"/>
      <c r="X890" s="47">
        <v>42864</v>
      </c>
      <c r="Y890" s="48">
        <f t="shared" si="54"/>
        <v>4.3775276515107375</v>
      </c>
      <c r="Z890" s="49"/>
      <c r="AA890" s="49"/>
      <c r="AB890" s="51"/>
      <c r="AE890" s="47">
        <v>42864</v>
      </c>
      <c r="AF890" s="48">
        <f t="shared" si="55"/>
        <v>2.9775004145384072</v>
      </c>
      <c r="AG890" s="49"/>
      <c r="AH890" s="49"/>
      <c r="AI890" s="51"/>
    </row>
    <row r="891" spans="1:35" x14ac:dyDescent="0.3">
      <c r="A891" s="20">
        <v>42859</v>
      </c>
      <c r="C891">
        <f>-(Historical_Simulation!B892-Historical_Simulation!B893)</f>
        <v>0.13250000000000028</v>
      </c>
      <c r="E891">
        <f>-(Historical_Simulation!C892-Historical_Simulation!C893)</f>
        <v>3.5</v>
      </c>
      <c r="G891">
        <f>-(Historical_Simulation!D892-Historical_Simulation!D893)</f>
        <v>0.95000000000001705</v>
      </c>
      <c r="J891" s="23">
        <v>42863</v>
      </c>
      <c r="K891" s="24">
        <f t="shared" si="52"/>
        <v>-8.4982685392297679</v>
      </c>
      <c r="L891" s="25"/>
      <c r="M891" s="25"/>
      <c r="N891" s="27"/>
      <c r="Q891" s="23">
        <v>42863</v>
      </c>
      <c r="R891" s="24">
        <f t="shared" si="53"/>
        <v>-6.1437353238677153</v>
      </c>
      <c r="S891" s="25"/>
      <c r="T891" s="25"/>
      <c r="U891" s="27"/>
      <c r="X891" s="47">
        <v>42863</v>
      </c>
      <c r="Y891" s="48">
        <f t="shared" si="54"/>
        <v>6.6089785352502872E-2</v>
      </c>
      <c r="Z891" s="49"/>
      <c r="AA891" s="49"/>
      <c r="AB891" s="51"/>
      <c r="AE891" s="47">
        <v>42863</v>
      </c>
      <c r="AF891" s="48">
        <f t="shared" si="55"/>
        <v>-0.26058323660770544</v>
      </c>
      <c r="AG891" s="49"/>
      <c r="AH891" s="49"/>
      <c r="AI891" s="51"/>
    </row>
    <row r="892" spans="1:35" x14ac:dyDescent="0.3">
      <c r="A892" s="20">
        <v>42858</v>
      </c>
      <c r="C892">
        <f>-(Historical_Simulation!B893-Historical_Simulation!B894)</f>
        <v>0.11249999999999716</v>
      </c>
      <c r="E892">
        <f>-(Historical_Simulation!C893-Historical_Simulation!C894)</f>
        <v>5.9098999999999933</v>
      </c>
      <c r="G892">
        <f>-(Historical_Simulation!D893-Historical_Simulation!D894)</f>
        <v>0.97999999999998977</v>
      </c>
      <c r="J892" s="23">
        <v>42860</v>
      </c>
      <c r="K892" s="24">
        <f t="shared" si="52"/>
        <v>1.5434663505961033</v>
      </c>
      <c r="L892" s="25"/>
      <c r="M892" s="25"/>
      <c r="N892" s="27"/>
      <c r="Q892" s="23">
        <v>42860</v>
      </c>
      <c r="R892" s="24">
        <f t="shared" si="53"/>
        <v>0.86691300927068093</v>
      </c>
      <c r="S892" s="25"/>
      <c r="T892" s="25"/>
      <c r="U892" s="27"/>
      <c r="X892" s="47">
        <v>42860</v>
      </c>
      <c r="Y892" s="48">
        <f t="shared" si="54"/>
        <v>6.2142302008656358</v>
      </c>
      <c r="Z892" s="49"/>
      <c r="AA892" s="49"/>
      <c r="AB892" s="51"/>
      <c r="AE892" s="47">
        <v>42860</v>
      </c>
      <c r="AF892" s="48">
        <f t="shared" si="55"/>
        <v>4.1481293996368382</v>
      </c>
      <c r="AG892" s="49"/>
      <c r="AH892" s="49"/>
      <c r="AI892" s="51"/>
    </row>
    <row r="893" spans="1:35" x14ac:dyDescent="0.3">
      <c r="A893" s="20">
        <v>42857</v>
      </c>
      <c r="C893">
        <f>-(Historical_Simulation!B894-Historical_Simulation!B895)</f>
        <v>-0.2324999999999946</v>
      </c>
      <c r="E893">
        <f>-(Historical_Simulation!C894-Historical_Simulation!C895)</f>
        <v>1.2901000000000522</v>
      </c>
      <c r="G893">
        <f>-(Historical_Simulation!D894-Historical_Simulation!D895)</f>
        <v>-0.31999999999999318</v>
      </c>
      <c r="J893" s="23">
        <v>42859</v>
      </c>
      <c r="K893" s="24">
        <f t="shared" si="52"/>
        <v>1.9489758716101</v>
      </c>
      <c r="L893" s="25"/>
      <c r="M893" s="25"/>
      <c r="N893" s="27"/>
      <c r="Q893" s="23">
        <v>42859</v>
      </c>
      <c r="R893" s="24">
        <f t="shared" si="53"/>
        <v>1.3776313593938858</v>
      </c>
      <c r="S893" s="25"/>
      <c r="T893" s="25"/>
      <c r="U893" s="27"/>
      <c r="X893" s="47">
        <v>42859</v>
      </c>
      <c r="Y893" s="48">
        <f t="shared" si="54"/>
        <v>4.7130046728606434</v>
      </c>
      <c r="Z893" s="49"/>
      <c r="AA893" s="49"/>
      <c r="AB893" s="51"/>
      <c r="AE893" s="47">
        <v>42859</v>
      </c>
      <c r="AF893" s="48">
        <f t="shared" si="55"/>
        <v>3.3257049562244259</v>
      </c>
      <c r="AG893" s="49"/>
      <c r="AH893" s="49"/>
      <c r="AI893" s="51"/>
    </row>
    <row r="894" spans="1:35" x14ac:dyDescent="0.3">
      <c r="A894" s="20">
        <v>42856</v>
      </c>
      <c r="C894">
        <f>-(Historical_Simulation!B895-Historical_Simulation!B896)</f>
        <v>-0.73250000000000171</v>
      </c>
      <c r="E894">
        <f>-(Historical_Simulation!C895-Historical_Simulation!C896)</f>
        <v>-23.240000000000009</v>
      </c>
      <c r="G894">
        <f>-(Historical_Simulation!D895-Historical_Simulation!D896)</f>
        <v>-2.210000000000008</v>
      </c>
      <c r="J894" s="23">
        <v>42858</v>
      </c>
      <c r="K894" s="24">
        <f t="shared" si="52"/>
        <v>3.2396973921521535</v>
      </c>
      <c r="L894" s="25"/>
      <c r="M894" s="25"/>
      <c r="N894" s="27"/>
      <c r="Q894" s="23">
        <v>42858</v>
      </c>
      <c r="R894" s="24">
        <f t="shared" si="53"/>
        <v>2.2560856103786486</v>
      </c>
      <c r="S894" s="25"/>
      <c r="T894" s="25"/>
      <c r="U894" s="27"/>
      <c r="X894" s="47">
        <v>42858</v>
      </c>
      <c r="Y894" s="48">
        <f t="shared" si="54"/>
        <v>4.9731578638611502</v>
      </c>
      <c r="Z894" s="49"/>
      <c r="AA894" s="49"/>
      <c r="AB894" s="51"/>
      <c r="AE894" s="47">
        <v>42858</v>
      </c>
      <c r="AF894" s="48">
        <f t="shared" si="55"/>
        <v>3.5010080116508946</v>
      </c>
      <c r="AG894" s="49"/>
      <c r="AH894" s="49"/>
      <c r="AI894" s="51"/>
    </row>
    <row r="895" spans="1:35" x14ac:dyDescent="0.3">
      <c r="A895" s="20">
        <v>42853</v>
      </c>
      <c r="C895">
        <f>-(Historical_Simulation!B896-Historical_Simulation!B897)</f>
        <v>3.4999999999996589E-2</v>
      </c>
      <c r="E895">
        <f>-(Historical_Simulation!C896-Historical_Simulation!C897)</f>
        <v>-6.6100999999999885</v>
      </c>
      <c r="G895">
        <f>-(Historical_Simulation!D896-Historical_Simulation!D897)</f>
        <v>-2.5500000000000114</v>
      </c>
      <c r="J895" s="23">
        <v>42857</v>
      </c>
      <c r="K895" s="24">
        <f t="shared" si="52"/>
        <v>0.588811406715261</v>
      </c>
      <c r="L895" s="25"/>
      <c r="M895" s="25"/>
      <c r="N895" s="27"/>
      <c r="Q895" s="23">
        <v>42857</v>
      </c>
      <c r="R895" s="24">
        <f t="shared" si="53"/>
        <v>0.33048055168914825</v>
      </c>
      <c r="S895" s="25"/>
      <c r="T895" s="25"/>
      <c r="U895" s="27"/>
      <c r="X895" s="47">
        <v>42857</v>
      </c>
      <c r="Y895" s="48">
        <f t="shared" si="54"/>
        <v>-0.72276808425111594</v>
      </c>
      <c r="Z895" s="49"/>
      <c r="AA895" s="49"/>
      <c r="AB895" s="51"/>
      <c r="AE895" s="47">
        <v>42857</v>
      </c>
      <c r="AF895" s="48">
        <f t="shared" si="55"/>
        <v>-0.57428034699648023</v>
      </c>
      <c r="AG895" s="49"/>
      <c r="AH895" s="49"/>
      <c r="AI895" s="51"/>
    </row>
    <row r="896" spans="1:35" x14ac:dyDescent="0.3">
      <c r="A896" s="20">
        <v>42852</v>
      </c>
      <c r="C896">
        <f>-(Historical_Simulation!B897-Historical_Simulation!B898)</f>
        <v>-2.7499999999996305E-2</v>
      </c>
      <c r="E896">
        <f>-(Historical_Simulation!C897-Historical_Simulation!C898)</f>
        <v>-9.0899000000000569</v>
      </c>
      <c r="G896">
        <f>-(Historical_Simulation!D897-Historical_Simulation!D898)</f>
        <v>-1.1399999999999864</v>
      </c>
      <c r="J896" s="23">
        <v>42856</v>
      </c>
      <c r="K896" s="24">
        <f t="shared" si="52"/>
        <v>-12.87335543586172</v>
      </c>
      <c r="L896" s="25"/>
      <c r="M896" s="25"/>
      <c r="N896" s="27"/>
      <c r="Q896" s="23">
        <v>42856</v>
      </c>
      <c r="R896" s="24">
        <f t="shared" si="53"/>
        <v>-9.0546363241448837</v>
      </c>
      <c r="S896" s="25"/>
      <c r="T896" s="25"/>
      <c r="U896" s="27"/>
      <c r="X896" s="47">
        <v>42856</v>
      </c>
      <c r="Y896" s="48">
        <f t="shared" si="54"/>
        <v>-9.0110267940691031</v>
      </c>
      <c r="Z896" s="49"/>
      <c r="AA896" s="49"/>
      <c r="AB896" s="51"/>
      <c r="AE896" s="47">
        <v>42856</v>
      </c>
      <c r="AF896" s="48">
        <f t="shared" si="55"/>
        <v>-6.5037052878550616</v>
      </c>
      <c r="AG896" s="49"/>
      <c r="AH896" s="49"/>
      <c r="AI896" s="51"/>
    </row>
    <row r="897" spans="1:35" x14ac:dyDescent="0.3">
      <c r="A897" s="20">
        <v>42851</v>
      </c>
      <c r="C897">
        <f>-(Historical_Simulation!B898-Historical_Simulation!B899)</f>
        <v>0.21249999999999858</v>
      </c>
      <c r="E897">
        <f>-(Historical_Simulation!C898-Historical_Simulation!C899)</f>
        <v>-1.6698999999999842</v>
      </c>
      <c r="G897">
        <f>-(Historical_Simulation!D898-Historical_Simulation!D899)</f>
        <v>-6.9999999999993179E-2</v>
      </c>
      <c r="J897" s="23">
        <v>42853</v>
      </c>
      <c r="K897" s="24">
        <f t="shared" si="52"/>
        <v>-3.5494584452668922</v>
      </c>
      <c r="L897" s="25"/>
      <c r="M897" s="25"/>
      <c r="N897" s="27"/>
      <c r="Q897" s="23">
        <v>42853</v>
      </c>
      <c r="R897" s="24">
        <f t="shared" si="53"/>
        <v>-2.4220222409230301</v>
      </c>
      <c r="S897" s="25"/>
      <c r="T897" s="25"/>
      <c r="U897" s="27"/>
      <c r="X897" s="47">
        <v>42853</v>
      </c>
      <c r="Y897" s="48">
        <f t="shared" si="54"/>
        <v>-14.448919974733407</v>
      </c>
      <c r="Z897" s="49"/>
      <c r="AA897" s="49"/>
      <c r="AB897" s="51"/>
      <c r="AE897" s="47">
        <v>42853</v>
      </c>
      <c r="AF897" s="48">
        <f t="shared" si="55"/>
        <v>-10.062167965553515</v>
      </c>
      <c r="AG897" s="49"/>
      <c r="AH897" s="49"/>
      <c r="AI897" s="51"/>
    </row>
    <row r="898" spans="1:35" x14ac:dyDescent="0.3">
      <c r="A898" s="20">
        <v>42850</v>
      </c>
      <c r="C898">
        <f>-(Historical_Simulation!B899-Historical_Simulation!B900)</f>
        <v>-0.22250000000000369</v>
      </c>
      <c r="E898">
        <f>-(Historical_Simulation!C899-Historical_Simulation!C900)</f>
        <v>-0.21019999999998618</v>
      </c>
      <c r="G898">
        <f>-(Historical_Simulation!D899-Historical_Simulation!D900)</f>
        <v>-1.0200000000000102</v>
      </c>
      <c r="J898" s="23">
        <v>42852</v>
      </c>
      <c r="K898" s="24">
        <f t="shared" si="52"/>
        <v>-4.9158833523027363</v>
      </c>
      <c r="L898" s="25"/>
      <c r="M898" s="25"/>
      <c r="N898" s="27"/>
      <c r="Q898" s="23">
        <v>42852</v>
      </c>
      <c r="R898" s="24">
        <f t="shared" si="53"/>
        <v>-3.378317648514094</v>
      </c>
      <c r="S898" s="25"/>
      <c r="T898" s="25"/>
      <c r="U898" s="27"/>
      <c r="X898" s="47">
        <v>42852</v>
      </c>
      <c r="Y898" s="48">
        <f t="shared" si="54"/>
        <v>-6.2609084997642972</v>
      </c>
      <c r="Z898" s="49"/>
      <c r="AA898" s="49"/>
      <c r="AB898" s="51"/>
      <c r="AE898" s="47">
        <v>42852</v>
      </c>
      <c r="AF898" s="48">
        <f t="shared" si="55"/>
        <v>-4.3729929832410592</v>
      </c>
      <c r="AG898" s="49"/>
      <c r="AH898" s="49"/>
      <c r="AI898" s="51"/>
    </row>
    <row r="899" spans="1:35" x14ac:dyDescent="0.3">
      <c r="A899" s="20">
        <v>42849</v>
      </c>
      <c r="C899">
        <f>-(Historical_Simulation!B900-Historical_Simulation!B901)</f>
        <v>-0.34249999999999403</v>
      </c>
      <c r="E899">
        <f>-(Historical_Simulation!C900-Historical_Simulation!C901)</f>
        <v>-8.8799000000000206</v>
      </c>
      <c r="G899">
        <f>-(Historical_Simulation!D900-Historical_Simulation!D901)</f>
        <v>-1.789999999999992</v>
      </c>
      <c r="J899" s="23">
        <v>42851</v>
      </c>
      <c r="K899" s="24">
        <f t="shared" si="52"/>
        <v>-0.8028924812825019</v>
      </c>
      <c r="L899" s="25"/>
      <c r="M899" s="25"/>
      <c r="N899" s="27"/>
      <c r="Q899" s="23">
        <v>42851</v>
      </c>
      <c r="R899" s="24">
        <f t="shared" si="53"/>
        <v>-0.48351641304321713</v>
      </c>
      <c r="S899" s="25"/>
      <c r="T899" s="25"/>
      <c r="U899" s="27"/>
      <c r="X899" s="47">
        <v>42851</v>
      </c>
      <c r="Y899" s="48">
        <f t="shared" si="54"/>
        <v>-1.3703655291536005</v>
      </c>
      <c r="Z899" s="49"/>
      <c r="AA899" s="49"/>
      <c r="AB899" s="51"/>
      <c r="AE899" s="47">
        <v>42851</v>
      </c>
      <c r="AF899" s="48">
        <f t="shared" si="55"/>
        <v>-0.89096226316006921</v>
      </c>
      <c r="AG899" s="49"/>
      <c r="AH899" s="49"/>
      <c r="AI899" s="51"/>
    </row>
    <row r="900" spans="1:35" x14ac:dyDescent="0.3">
      <c r="A900" s="20">
        <v>42846</v>
      </c>
      <c r="C900">
        <f>-(Historical_Simulation!B901-Historical_Simulation!B902)</f>
        <v>4.2499999999996874E-2</v>
      </c>
      <c r="E900">
        <f>-(Historical_Simulation!C901-Historical_Simulation!C902)</f>
        <v>3.5301000000000613</v>
      </c>
      <c r="G900">
        <f>-(Historical_Simulation!D901-Historical_Simulation!D902)</f>
        <v>0.12000000000000455</v>
      </c>
      <c r="J900" s="23">
        <v>42850</v>
      </c>
      <c r="K900" s="24">
        <f t="shared" si="52"/>
        <v>-0.2158652106248482</v>
      </c>
      <c r="L900" s="25"/>
      <c r="M900" s="25"/>
      <c r="N900" s="27"/>
      <c r="Q900" s="23">
        <v>42850</v>
      </c>
      <c r="R900" s="24">
        <f t="shared" si="53"/>
        <v>-0.21795208144898168</v>
      </c>
      <c r="S900" s="25"/>
      <c r="T900" s="25"/>
      <c r="U900" s="27"/>
      <c r="X900" s="47">
        <v>42850</v>
      </c>
      <c r="Y900" s="48">
        <f t="shared" si="54"/>
        <v>-4.690943396460332</v>
      </c>
      <c r="Z900" s="49"/>
      <c r="AA900" s="49"/>
      <c r="AB900" s="51"/>
      <c r="AE900" s="47">
        <v>42850</v>
      </c>
      <c r="AF900" s="48">
        <f t="shared" si="55"/>
        <v>-3.3375837340537631</v>
      </c>
      <c r="AG900" s="49"/>
      <c r="AH900" s="49"/>
      <c r="AI900" s="51"/>
    </row>
    <row r="901" spans="1:35" x14ac:dyDescent="0.3">
      <c r="A901" s="20">
        <v>42845</v>
      </c>
      <c r="C901">
        <f>-(Historical_Simulation!B902-Historical_Simulation!B903)</f>
        <v>-0.43999999999999773</v>
      </c>
      <c r="E901">
        <f>-(Historical_Simulation!C902-Historical_Simulation!C903)</f>
        <v>-2.8600999999999885</v>
      </c>
      <c r="G901">
        <f>-(Historical_Simulation!D902-Historical_Simulation!D903)</f>
        <v>-1.5300000000000011</v>
      </c>
      <c r="J901" s="23">
        <v>42849</v>
      </c>
      <c r="K901" s="24">
        <f t="shared" si="52"/>
        <v>-4.9476911228757521</v>
      </c>
      <c r="L901" s="25"/>
      <c r="M901" s="25"/>
      <c r="N901" s="27"/>
      <c r="Q901" s="23">
        <v>42849</v>
      </c>
      <c r="R901" s="24">
        <f t="shared" si="53"/>
        <v>-3.4991991737756116</v>
      </c>
      <c r="S901" s="25"/>
      <c r="T901" s="25"/>
      <c r="U901" s="27"/>
      <c r="X901" s="47">
        <v>42849</v>
      </c>
      <c r="Y901" s="48">
        <f t="shared" si="54"/>
        <v>-8.4529348794686605</v>
      </c>
      <c r="Z901" s="49"/>
      <c r="AA901" s="49"/>
      <c r="AB901" s="51"/>
      <c r="AE901" s="47">
        <v>42849</v>
      </c>
      <c r="AF901" s="48">
        <f t="shared" si="55"/>
        <v>-5.9965234545990826</v>
      </c>
      <c r="AG901" s="49"/>
      <c r="AH901" s="49"/>
      <c r="AI901" s="51"/>
    </row>
    <row r="902" spans="1:35" x14ac:dyDescent="0.3">
      <c r="A902" s="20">
        <v>42844</v>
      </c>
      <c r="C902">
        <f>-(Historical_Simulation!B903-Historical_Simulation!B904)</f>
        <v>0.12999999999999545</v>
      </c>
      <c r="E902">
        <f>-(Historical_Simulation!C903-Historical_Simulation!C904)</f>
        <v>4.5799999999999272</v>
      </c>
      <c r="G902">
        <f>-(Historical_Simulation!D903-Historical_Simulation!D904)</f>
        <v>-1.3100000000000023</v>
      </c>
      <c r="J902" s="23">
        <v>42846</v>
      </c>
      <c r="K902" s="24">
        <f t="shared" ref="K902:K965" si="56">C900*$K$3+E900*(1-$K$3)</f>
        <v>1.9237594654276142</v>
      </c>
      <c r="L902" s="25"/>
      <c r="M902" s="25"/>
      <c r="N902" s="27"/>
      <c r="Q902" s="23">
        <v>42846</v>
      </c>
      <c r="R902" s="24">
        <f t="shared" si="53"/>
        <v>1.332038271424554</v>
      </c>
      <c r="S902" s="25"/>
      <c r="T902" s="25"/>
      <c r="U902" s="27"/>
      <c r="X902" s="47">
        <v>42846</v>
      </c>
      <c r="Y902" s="48">
        <f t="shared" si="54"/>
        <v>0.47673744605103996</v>
      </c>
      <c r="Z902" s="49"/>
      <c r="AA902" s="49"/>
      <c r="AB902" s="51"/>
      <c r="AE902" s="47">
        <v>42846</v>
      </c>
      <c r="AF902" s="48">
        <f t="shared" si="55"/>
        <v>0.34521973591120475</v>
      </c>
      <c r="AG902" s="49"/>
      <c r="AH902" s="49"/>
      <c r="AI902" s="51"/>
    </row>
    <row r="903" spans="1:35" x14ac:dyDescent="0.3">
      <c r="A903" s="20">
        <v>42843</v>
      </c>
      <c r="C903">
        <f>-(Historical_Simulation!B904-Historical_Simulation!B905)</f>
        <v>0.15750000000000597</v>
      </c>
      <c r="E903">
        <f>-(Historical_Simulation!C904-Historical_Simulation!C905)</f>
        <v>-1.7899999999999636</v>
      </c>
      <c r="G903">
        <f>-(Historical_Simulation!D904-Historical_Simulation!D905)</f>
        <v>0.45999999999997954</v>
      </c>
      <c r="J903" s="23">
        <v>42845</v>
      </c>
      <c r="K903" s="24">
        <f t="shared" si="56"/>
        <v>-1.7454352655927479</v>
      </c>
      <c r="L903" s="25"/>
      <c r="M903" s="25"/>
      <c r="N903" s="27"/>
      <c r="Q903" s="23">
        <v>42845</v>
      </c>
      <c r="R903" s="24">
        <f t="shared" ref="R903:R966" si="57">C901*$R$3+E901*(1-$R$3)</f>
        <v>-1.3348307061229767</v>
      </c>
      <c r="S903" s="25"/>
      <c r="T903" s="25"/>
      <c r="U903" s="27"/>
      <c r="X903" s="47">
        <v>42845</v>
      </c>
      <c r="Y903" s="48">
        <f t="shared" ref="Y903:Y966" si="58">C901*$Y$3+G901*(1-$Y$3)</f>
        <v>-6.5473395638140826</v>
      </c>
      <c r="Z903" s="49"/>
      <c r="AA903" s="49"/>
      <c r="AB903" s="51"/>
      <c r="AE903" s="47">
        <v>42845</v>
      </c>
      <c r="AF903" s="48">
        <f t="shared" ref="AF903:AF966" si="59">C901*$AF$3+G901*(1-$AF$3)</f>
        <v>-4.6976066082991581</v>
      </c>
      <c r="AG903" s="49"/>
      <c r="AH903" s="49"/>
      <c r="AI903" s="51"/>
    </row>
    <row r="904" spans="1:35" x14ac:dyDescent="0.3">
      <c r="A904" s="20">
        <v>42842</v>
      </c>
      <c r="C904">
        <f>-(Historical_Simulation!B905-Historical_Simulation!B906)</f>
        <v>-0.19500000000000028</v>
      </c>
      <c r="E904">
        <f>-(Historical_Simulation!C905-Historical_Simulation!C906)</f>
        <v>-17.320100000000025</v>
      </c>
      <c r="G904">
        <f>-(Historical_Simulation!D905-Historical_Simulation!D906)</f>
        <v>-2.0300000000000011</v>
      </c>
      <c r="J904" s="23">
        <v>42844</v>
      </c>
      <c r="K904" s="24">
        <f t="shared" si="56"/>
        <v>2.530391277999942</v>
      </c>
      <c r="L904" s="25"/>
      <c r="M904" s="25"/>
      <c r="N904" s="27"/>
      <c r="Q904" s="23">
        <v>42844</v>
      </c>
      <c r="R904" s="24">
        <f t="shared" si="57"/>
        <v>1.7753851668307916</v>
      </c>
      <c r="S904" s="25"/>
      <c r="T904" s="25"/>
      <c r="U904" s="27"/>
      <c r="X904" s="47">
        <v>42844</v>
      </c>
      <c r="Y904" s="48">
        <f t="shared" si="58"/>
        <v>-7.9384119008185738</v>
      </c>
      <c r="Z904" s="49"/>
      <c r="AA904" s="49"/>
      <c r="AB904" s="51"/>
      <c r="AE904" s="47">
        <v>42844</v>
      </c>
      <c r="AF904" s="48">
        <f t="shared" si="59"/>
        <v>-5.494727996285107</v>
      </c>
      <c r="AG904" s="49"/>
      <c r="AH904" s="49"/>
      <c r="AI904" s="51"/>
    </row>
    <row r="905" spans="1:35" x14ac:dyDescent="0.3">
      <c r="A905" s="20">
        <v>42839</v>
      </c>
      <c r="C905">
        <f>-(Historical_Simulation!B906-Historical_Simulation!B907)</f>
        <v>0</v>
      </c>
      <c r="E905">
        <f>-(Historical_Simulation!C906-Historical_Simulation!C907)</f>
        <v>0</v>
      </c>
      <c r="G905">
        <f>-(Historical_Simulation!D906-Historical_Simulation!D907)</f>
        <v>0</v>
      </c>
      <c r="J905" s="23">
        <v>42843</v>
      </c>
      <c r="K905" s="24">
        <f t="shared" si="56"/>
        <v>-0.89300831773143108</v>
      </c>
      <c r="L905" s="25"/>
      <c r="M905" s="25"/>
      <c r="N905" s="27"/>
      <c r="Q905" s="23">
        <v>42843</v>
      </c>
      <c r="R905" s="24">
        <f t="shared" si="57"/>
        <v>-0.56258710391077482</v>
      </c>
      <c r="S905" s="25"/>
      <c r="T905" s="25"/>
      <c r="U905" s="27"/>
      <c r="X905" s="47">
        <v>42843</v>
      </c>
      <c r="Y905" s="48">
        <f t="shared" si="58"/>
        <v>1.8524268055537614</v>
      </c>
      <c r="Z905" s="49"/>
      <c r="AA905" s="49"/>
      <c r="AB905" s="51"/>
      <c r="AE905" s="47">
        <v>42843</v>
      </c>
      <c r="AF905" s="48">
        <f t="shared" si="59"/>
        <v>1.3390834853306293</v>
      </c>
      <c r="AG905" s="49"/>
      <c r="AH905" s="49"/>
      <c r="AI905" s="51"/>
    </row>
    <row r="906" spans="1:35" x14ac:dyDescent="0.3">
      <c r="A906" s="20">
        <v>42838</v>
      </c>
      <c r="C906">
        <f>-(Historical_Simulation!B907-Historical_Simulation!B908)</f>
        <v>0.1875</v>
      </c>
      <c r="E906">
        <f>-(Historical_Simulation!C907-Historical_Simulation!C908)</f>
        <v>11.560100000000034</v>
      </c>
      <c r="G906">
        <f>-(Historical_Simulation!D907-Historical_Simulation!D908)</f>
        <v>0.19000000000002615</v>
      </c>
      <c r="J906" s="23">
        <v>42842</v>
      </c>
      <c r="K906" s="24">
        <f t="shared" si="56"/>
        <v>-9.4325147583994546</v>
      </c>
      <c r="L906" s="25"/>
      <c r="M906" s="25"/>
      <c r="N906" s="27"/>
      <c r="Q906" s="23">
        <v>42842</v>
      </c>
      <c r="R906" s="24">
        <f t="shared" si="57"/>
        <v>-6.5269967461785487</v>
      </c>
      <c r="S906" s="25"/>
      <c r="T906" s="25"/>
      <c r="U906" s="27"/>
      <c r="X906" s="47">
        <v>42842</v>
      </c>
      <c r="Y906" s="48">
        <f t="shared" si="58"/>
        <v>-10.476622109723685</v>
      </c>
      <c r="Z906" s="49"/>
      <c r="AA906" s="49"/>
      <c r="AB906" s="51"/>
      <c r="AE906" s="47">
        <v>42842</v>
      </c>
      <c r="AF906" s="48">
        <f t="shared" si="59"/>
        <v>-7.3626221341549893</v>
      </c>
      <c r="AG906" s="49"/>
      <c r="AH906" s="49"/>
      <c r="AI906" s="51"/>
    </row>
    <row r="907" spans="1:35" x14ac:dyDescent="0.3">
      <c r="A907" s="20">
        <v>42837</v>
      </c>
      <c r="C907">
        <f>-(Historical_Simulation!B908-Historical_Simulation!B909)</f>
        <v>-4.2500000000003979E-2</v>
      </c>
      <c r="E907">
        <f>-(Historical_Simulation!C908-Historical_Simulation!C909)</f>
        <v>6.1300999999999704</v>
      </c>
      <c r="G907">
        <f>-(Historical_Simulation!D908-Historical_Simulation!D909)</f>
        <v>0.33999999999997499</v>
      </c>
      <c r="J907" s="23">
        <v>42839</v>
      </c>
      <c r="K907" s="24">
        <f t="shared" si="56"/>
        <v>0</v>
      </c>
      <c r="L907" s="25"/>
      <c r="M907" s="25"/>
      <c r="N907" s="27"/>
      <c r="Q907" s="23">
        <v>42839</v>
      </c>
      <c r="R907" s="24">
        <f t="shared" si="57"/>
        <v>0</v>
      </c>
      <c r="S907" s="25"/>
      <c r="T907" s="25"/>
      <c r="U907" s="27"/>
      <c r="X907" s="47">
        <v>42839</v>
      </c>
      <c r="Y907" s="48">
        <f t="shared" si="58"/>
        <v>0</v>
      </c>
      <c r="Z907" s="49"/>
      <c r="AA907" s="49"/>
      <c r="AB907" s="51"/>
      <c r="AE907" s="47">
        <v>42839</v>
      </c>
      <c r="AF907" s="48">
        <f t="shared" si="59"/>
        <v>0</v>
      </c>
      <c r="AG907" s="49"/>
      <c r="AH907" s="49"/>
      <c r="AI907" s="51"/>
    </row>
    <row r="908" spans="1:35" x14ac:dyDescent="0.3">
      <c r="A908" s="20">
        <v>42836</v>
      </c>
      <c r="C908">
        <f>-(Historical_Simulation!B909-Historical_Simulation!B910)</f>
        <v>0.38499999999999801</v>
      </c>
      <c r="E908">
        <f>-(Historical_Simulation!C909-Historical_Simulation!C910)</f>
        <v>4.6798999999999751</v>
      </c>
      <c r="G908">
        <f>-(Historical_Simulation!D909-Historical_Simulation!D910)</f>
        <v>1.1200000000000045</v>
      </c>
      <c r="J908" s="23">
        <v>42838</v>
      </c>
      <c r="K908" s="24">
        <f t="shared" si="56"/>
        <v>6.3220370445354366</v>
      </c>
      <c r="L908" s="25"/>
      <c r="M908" s="25"/>
      <c r="N908" s="27"/>
      <c r="Q908" s="23">
        <v>42838</v>
      </c>
      <c r="R908" s="24">
        <f t="shared" si="57"/>
        <v>4.3925128872584844</v>
      </c>
      <c r="S908" s="25"/>
      <c r="T908" s="25"/>
      <c r="U908" s="27"/>
      <c r="X908" s="47">
        <v>42838</v>
      </c>
      <c r="Y908" s="48">
        <f t="shared" si="58"/>
        <v>0.20150765955017869</v>
      </c>
      <c r="Z908" s="49"/>
      <c r="AA908" s="49"/>
      <c r="AB908" s="51"/>
      <c r="AE908" s="47">
        <v>42838</v>
      </c>
      <c r="AF908" s="48">
        <f t="shared" si="59"/>
        <v>0.19726515277143042</v>
      </c>
      <c r="AG908" s="49"/>
      <c r="AH908" s="49"/>
      <c r="AI908" s="51"/>
    </row>
    <row r="909" spans="1:35" x14ac:dyDescent="0.3">
      <c r="A909" s="20">
        <v>42835</v>
      </c>
      <c r="C909">
        <f>-(Historical_Simulation!B910-Historical_Simulation!B911)</f>
        <v>4.2500000000003979E-2</v>
      </c>
      <c r="E909">
        <f>-(Historical_Simulation!C910-Historical_Simulation!C911)</f>
        <v>-12.160099999999943</v>
      </c>
      <c r="G909">
        <f>-(Historical_Simulation!D910-Historical_Simulation!D911)</f>
        <v>-0.25999999999999091</v>
      </c>
      <c r="J909" s="23">
        <v>42837</v>
      </c>
      <c r="K909" s="24">
        <f t="shared" si="56"/>
        <v>3.2870854387826109</v>
      </c>
      <c r="L909" s="25"/>
      <c r="M909" s="25"/>
      <c r="N909" s="27"/>
      <c r="Q909" s="23">
        <v>42837</v>
      </c>
      <c r="R909" s="24">
        <f t="shared" si="57"/>
        <v>2.2398156136583975</v>
      </c>
      <c r="S909" s="25"/>
      <c r="T909" s="25"/>
      <c r="U909" s="27"/>
      <c r="X909" s="47">
        <v>42837</v>
      </c>
      <c r="Y909" s="48">
        <f t="shared" si="58"/>
        <v>2.100671911154814</v>
      </c>
      <c r="Z909" s="49"/>
      <c r="AA909" s="49"/>
      <c r="AB909" s="51"/>
      <c r="AE909" s="47">
        <v>42837</v>
      </c>
      <c r="AF909" s="48">
        <f t="shared" si="59"/>
        <v>1.4515683740131466</v>
      </c>
      <c r="AG909" s="49"/>
      <c r="AH909" s="49"/>
      <c r="AI909" s="51"/>
    </row>
    <row r="910" spans="1:35" x14ac:dyDescent="0.3">
      <c r="A910" s="20">
        <v>42832</v>
      </c>
      <c r="C910">
        <f>-(Historical_Simulation!B911-Historical_Simulation!B912)</f>
        <v>7.9999999999998295E-2</v>
      </c>
      <c r="E910">
        <f>-(Historical_Simulation!C911-Historical_Simulation!C912)</f>
        <v>3.4000999999999522</v>
      </c>
      <c r="G910">
        <f>-(Historical_Simulation!D911-Historical_Simulation!D912)</f>
        <v>0.38999999999998636</v>
      </c>
      <c r="J910" s="23">
        <v>42836</v>
      </c>
      <c r="K910" s="24">
        <f t="shared" si="56"/>
        <v>2.7017282022206888</v>
      </c>
      <c r="L910" s="25"/>
      <c r="M910" s="25"/>
      <c r="N910" s="27"/>
      <c r="Q910" s="23">
        <v>42836</v>
      </c>
      <c r="R910" s="24">
        <f t="shared" si="57"/>
        <v>1.9730370231509322</v>
      </c>
      <c r="S910" s="25"/>
      <c r="T910" s="25"/>
      <c r="U910" s="27"/>
      <c r="X910" s="47">
        <v>42836</v>
      </c>
      <c r="Y910" s="48">
        <f t="shared" si="58"/>
        <v>4.5032519077095188</v>
      </c>
      <c r="Z910" s="49"/>
      <c r="AA910" s="49"/>
      <c r="AB910" s="51"/>
      <c r="AE910" s="47">
        <v>42836</v>
      </c>
      <c r="AF910" s="48">
        <f t="shared" si="59"/>
        <v>3.2559549147705491</v>
      </c>
      <c r="AG910" s="49"/>
      <c r="AH910" s="49"/>
      <c r="AI910" s="51"/>
    </row>
    <row r="911" spans="1:35" x14ac:dyDescent="0.3">
      <c r="A911" s="20">
        <v>42831</v>
      </c>
      <c r="C911">
        <f>-(Historical_Simulation!B912-Historical_Simulation!B913)</f>
        <v>9.0000000000003411E-2</v>
      </c>
      <c r="E911">
        <f>-(Historical_Simulation!C912-Historical_Simulation!C913)</f>
        <v>11</v>
      </c>
      <c r="G911">
        <f>-(Historical_Simulation!D912-Historical_Simulation!D913)</f>
        <v>0.68000000000000682</v>
      </c>
      <c r="J911" s="23">
        <v>42835</v>
      </c>
      <c r="K911" s="24">
        <f t="shared" si="56"/>
        <v>-6.5397504739151575</v>
      </c>
      <c r="L911" s="25"/>
      <c r="M911" s="25"/>
      <c r="N911" s="27"/>
      <c r="Q911" s="23">
        <v>42835</v>
      </c>
      <c r="R911" s="24">
        <f t="shared" si="57"/>
        <v>-4.4694049520830736</v>
      </c>
      <c r="S911" s="25"/>
      <c r="T911" s="25"/>
      <c r="U911" s="27"/>
      <c r="X911" s="47">
        <v>42835</v>
      </c>
      <c r="Y911" s="48">
        <f t="shared" si="58"/>
        <v>-1.6524268055538709</v>
      </c>
      <c r="Z911" s="49"/>
      <c r="AA911" s="49"/>
      <c r="AB911" s="51"/>
      <c r="AE911" s="47">
        <v>42835</v>
      </c>
      <c r="AF911" s="48">
        <f t="shared" si="59"/>
        <v>-1.1390834853307026</v>
      </c>
      <c r="AG911" s="49"/>
      <c r="AH911" s="49"/>
      <c r="AI911" s="51"/>
    </row>
    <row r="912" spans="1:35" x14ac:dyDescent="0.3">
      <c r="A912" s="20">
        <v>42830</v>
      </c>
      <c r="C912">
        <f>-(Historical_Simulation!B913-Historical_Simulation!B914)</f>
        <v>0.1875</v>
      </c>
      <c r="E912">
        <f>-(Historical_Simulation!C913-Historical_Simulation!C914)</f>
        <v>-2.4498999999999569</v>
      </c>
      <c r="G912">
        <f>-(Historical_Simulation!D913-Historical_Simulation!D914)</f>
        <v>-0.12000000000000455</v>
      </c>
      <c r="J912" s="23">
        <v>42832</v>
      </c>
      <c r="K912" s="24">
        <f t="shared" si="56"/>
        <v>1.870907658896096</v>
      </c>
      <c r="L912" s="25"/>
      <c r="M912" s="25"/>
      <c r="N912" s="27"/>
      <c r="Q912" s="23">
        <v>42832</v>
      </c>
      <c r="R912" s="24">
        <f t="shared" si="57"/>
        <v>1.3076052342460511</v>
      </c>
      <c r="S912" s="25"/>
      <c r="T912" s="25"/>
      <c r="U912" s="27"/>
      <c r="X912" s="47">
        <v>42832</v>
      </c>
      <c r="Y912" s="48">
        <f t="shared" si="58"/>
        <v>1.8169497842039319</v>
      </c>
      <c r="Z912" s="49"/>
      <c r="AA912" s="49"/>
      <c r="AB912" s="51"/>
      <c r="AE912" s="47">
        <v>42832</v>
      </c>
      <c r="AF912" s="48">
        <f t="shared" si="59"/>
        <v>1.290878943644663</v>
      </c>
      <c r="AG912" s="49"/>
      <c r="AH912" s="49"/>
      <c r="AI912" s="51"/>
    </row>
    <row r="913" spans="1:35" x14ac:dyDescent="0.3">
      <c r="A913" s="20">
        <v>42829</v>
      </c>
      <c r="C913">
        <f>-(Historical_Simulation!B914-Historical_Simulation!B915)</f>
        <v>-0.2675000000000054</v>
      </c>
      <c r="E913">
        <f>-(Historical_Simulation!C914-Historical_Simulation!C915)</f>
        <v>-15.320100000000025</v>
      </c>
      <c r="G913">
        <f>-(Historical_Simulation!D914-Historical_Simulation!D915)</f>
        <v>0.55000000000001137</v>
      </c>
      <c r="J913" s="23">
        <v>42831</v>
      </c>
      <c r="K913" s="24">
        <f t="shared" si="56"/>
        <v>5.9750042343774892</v>
      </c>
      <c r="L913" s="25"/>
      <c r="M913" s="25"/>
      <c r="N913" s="27"/>
      <c r="Q913" s="23">
        <v>42831</v>
      </c>
      <c r="R913" s="24">
        <f t="shared" si="57"/>
        <v>4.1239667798032063</v>
      </c>
      <c r="S913" s="25"/>
      <c r="T913" s="25"/>
      <c r="U913" s="27"/>
      <c r="X913" s="47">
        <v>42831</v>
      </c>
      <c r="Y913" s="48">
        <f t="shared" si="58"/>
        <v>3.3958076538076361</v>
      </c>
      <c r="Z913" s="49"/>
      <c r="AA913" s="49"/>
      <c r="AB913" s="51"/>
      <c r="AE913" s="47">
        <v>42831</v>
      </c>
      <c r="AF913" s="48">
        <f t="shared" si="59"/>
        <v>2.3945760540334997</v>
      </c>
      <c r="AG913" s="49"/>
      <c r="AH913" s="49"/>
      <c r="AI913" s="51"/>
    </row>
    <row r="914" spans="1:35" x14ac:dyDescent="0.3">
      <c r="A914" s="20">
        <v>42828</v>
      </c>
      <c r="C914">
        <f>-(Historical_Simulation!B915-Historical_Simulation!B916)</f>
        <v>-9.9999999999980105E-3</v>
      </c>
      <c r="E914">
        <f>-(Historical_Simulation!C915-Historical_Simulation!C916)</f>
        <v>-4.9700000000000273</v>
      </c>
      <c r="G914">
        <f>-(Historical_Simulation!D915-Historical_Simulation!D916)</f>
        <v>-0.22999999999998977</v>
      </c>
      <c r="J914" s="23">
        <v>42830</v>
      </c>
      <c r="K914" s="24">
        <f t="shared" si="56"/>
        <v>-1.2351498778869783</v>
      </c>
      <c r="L914" s="25"/>
      <c r="M914" s="25"/>
      <c r="N914" s="27"/>
      <c r="Q914" s="23">
        <v>42830</v>
      </c>
      <c r="R914" s="24">
        <f t="shared" si="57"/>
        <v>-0.78767726719090725</v>
      </c>
      <c r="S914" s="25"/>
      <c r="T914" s="25"/>
      <c r="U914" s="27"/>
      <c r="X914" s="47">
        <v>42830</v>
      </c>
      <c r="Y914" s="48">
        <f t="shared" si="58"/>
        <v>-1.5354421246539935</v>
      </c>
      <c r="Z914" s="49"/>
      <c r="AA914" s="49"/>
      <c r="AB914" s="51"/>
      <c r="AE914" s="47">
        <v>42830</v>
      </c>
      <c r="AF914" s="48">
        <f t="shared" si="59"/>
        <v>-1.0136137908734009</v>
      </c>
      <c r="AG914" s="49"/>
      <c r="AH914" s="49"/>
      <c r="AI914" s="51"/>
    </row>
    <row r="915" spans="1:35" x14ac:dyDescent="0.3">
      <c r="A915" s="20">
        <v>42825</v>
      </c>
      <c r="C915">
        <f>-(Historical_Simulation!B916-Historical_Simulation!B917)</f>
        <v>6.7500000000002558E-2</v>
      </c>
      <c r="E915">
        <f>-(Historical_Simulation!C916-Historical_Simulation!C917)</f>
        <v>-10.199899999999957</v>
      </c>
      <c r="G915">
        <f>-(Historical_Simulation!D916-Historical_Simulation!D917)</f>
        <v>0.35999999999998522</v>
      </c>
      <c r="J915" s="23">
        <v>42829</v>
      </c>
      <c r="K915" s="24">
        <f t="shared" si="56"/>
        <v>-8.387079719375869</v>
      </c>
      <c r="L915" s="25"/>
      <c r="M915" s="25"/>
      <c r="N915" s="27"/>
      <c r="Q915" s="23">
        <v>42829</v>
      </c>
      <c r="R915" s="24">
        <f t="shared" si="57"/>
        <v>-5.8331909578062202</v>
      </c>
      <c r="S915" s="25"/>
      <c r="T915" s="25"/>
      <c r="U915" s="27"/>
      <c r="X915" s="47">
        <v>42829</v>
      </c>
      <c r="Y915" s="48">
        <f t="shared" si="58"/>
        <v>4.3130046728606377</v>
      </c>
      <c r="Z915" s="49"/>
      <c r="AA915" s="49"/>
      <c r="AB915" s="51"/>
      <c r="AE915" s="47">
        <v>42829</v>
      </c>
      <c r="AF915" s="48">
        <f t="shared" si="59"/>
        <v>2.9257049562244202</v>
      </c>
      <c r="AG915" s="49"/>
      <c r="AH915" s="49"/>
      <c r="AI915" s="51"/>
    </row>
    <row r="916" spans="1:35" x14ac:dyDescent="0.3">
      <c r="A916" s="20">
        <v>42824</v>
      </c>
      <c r="C916">
        <f>-(Historical_Simulation!B917-Historical_Simulation!B918)</f>
        <v>4.7499999999999432E-2</v>
      </c>
      <c r="E916">
        <f>-(Historical_Simulation!C917-Historical_Simulation!C918)</f>
        <v>-2.0199999999999818</v>
      </c>
      <c r="G916">
        <f>-(Historical_Simulation!D917-Historical_Simulation!D918)</f>
        <v>0.24000000000000909</v>
      </c>
      <c r="J916" s="23">
        <v>42828</v>
      </c>
      <c r="K916" s="24">
        <f t="shared" si="56"/>
        <v>-2.6854923008719056</v>
      </c>
      <c r="L916" s="25"/>
      <c r="M916" s="25"/>
      <c r="N916" s="27"/>
      <c r="Q916" s="23">
        <v>42828</v>
      </c>
      <c r="R916" s="24">
        <f t="shared" si="57"/>
        <v>-1.8439573994339131</v>
      </c>
      <c r="S916" s="25"/>
      <c r="T916" s="25"/>
      <c r="U916" s="27"/>
      <c r="X916" s="47">
        <v>42828</v>
      </c>
      <c r="Y916" s="48">
        <f t="shared" si="58"/>
        <v>-1.2426740404027907</v>
      </c>
      <c r="Z916" s="49"/>
      <c r="AA916" s="49"/>
      <c r="AB916" s="51"/>
      <c r="AE916" s="47">
        <v>42828</v>
      </c>
      <c r="AF916" s="48">
        <f t="shared" si="59"/>
        <v>-0.86933344387685785</v>
      </c>
      <c r="AG916" s="49"/>
      <c r="AH916" s="49"/>
      <c r="AI916" s="51"/>
    </row>
    <row r="917" spans="1:35" x14ac:dyDescent="0.3">
      <c r="A917" s="20">
        <v>42823</v>
      </c>
      <c r="C917">
        <f>-(Historical_Simulation!B918-Historical_Simulation!B919)</f>
        <v>-7.9999999999998295E-2</v>
      </c>
      <c r="E917">
        <f>-(Historical_Simulation!C918-Historical_Simulation!C919)</f>
        <v>-18.320100000000025</v>
      </c>
      <c r="G917">
        <f>-(Historical_Simulation!D918-Historical_Simulation!D919)</f>
        <v>-0.89000000000001478</v>
      </c>
      <c r="J917" s="23">
        <v>42825</v>
      </c>
      <c r="K917" s="24">
        <f t="shared" si="56"/>
        <v>-5.4708769455588584</v>
      </c>
      <c r="L917" s="25"/>
      <c r="M917" s="25"/>
      <c r="N917" s="27"/>
      <c r="Q917" s="23">
        <v>42825</v>
      </c>
      <c r="R917" s="24">
        <f t="shared" si="57"/>
        <v>-3.7288657667233025</v>
      </c>
      <c r="S917" s="25"/>
      <c r="T917" s="25"/>
      <c r="U917" s="27"/>
      <c r="X917" s="47">
        <v>42825</v>
      </c>
      <c r="Y917" s="48">
        <f t="shared" si="58"/>
        <v>1.70639616735368</v>
      </c>
      <c r="Z917" s="49"/>
      <c r="AA917" s="49"/>
      <c r="AB917" s="51"/>
      <c r="AE917" s="47">
        <v>42825</v>
      </c>
      <c r="AF917" s="48">
        <f t="shared" si="59"/>
        <v>1.210022874245348</v>
      </c>
      <c r="AG917" s="49"/>
      <c r="AH917" s="49"/>
      <c r="AI917" s="51"/>
    </row>
    <row r="918" spans="1:35" x14ac:dyDescent="0.3">
      <c r="A918" s="20">
        <v>42822</v>
      </c>
      <c r="C918">
        <f>-(Historical_Simulation!B919-Historical_Simulation!B920)</f>
        <v>-0.73000000000000398</v>
      </c>
      <c r="E918">
        <f>-(Historical_Simulation!C919-Historical_Simulation!C920)</f>
        <v>-9.1798999999999751</v>
      </c>
      <c r="G918">
        <f>-(Historical_Simulation!D919-Historical_Simulation!D920)</f>
        <v>-1.4399999999999977</v>
      </c>
      <c r="J918" s="23">
        <v>42824</v>
      </c>
      <c r="K918" s="24">
        <f t="shared" si="56"/>
        <v>-1.0677379701718928</v>
      </c>
      <c r="L918" s="25"/>
      <c r="M918" s="25"/>
      <c r="N918" s="27"/>
      <c r="Q918" s="23">
        <v>42824</v>
      </c>
      <c r="R918" s="24">
        <f t="shared" si="57"/>
        <v>-0.71695704099386404</v>
      </c>
      <c r="S918" s="25"/>
      <c r="T918" s="25"/>
      <c r="U918" s="27"/>
      <c r="X918" s="47">
        <v>42824</v>
      </c>
      <c r="Y918" s="48">
        <f t="shared" si="58"/>
        <v>1.1260897853525376</v>
      </c>
      <c r="Z918" s="49"/>
      <c r="AA918" s="49"/>
      <c r="AB918" s="51"/>
      <c r="AE918" s="47">
        <v>42824</v>
      </c>
      <c r="AF918" s="48">
        <f t="shared" si="59"/>
        <v>0.79941676339231771</v>
      </c>
      <c r="AG918" s="49"/>
      <c r="AH918" s="49"/>
      <c r="AI918" s="51"/>
    </row>
    <row r="919" spans="1:35" x14ac:dyDescent="0.3">
      <c r="A919" s="20">
        <v>42821</v>
      </c>
      <c r="C919">
        <f>-(Historical_Simulation!B920-Historical_Simulation!B921)</f>
        <v>-6.0000000000002274E-2</v>
      </c>
      <c r="E919">
        <f>-(Historical_Simulation!C920-Historical_Simulation!C921)</f>
        <v>-1.2100000000000364</v>
      </c>
      <c r="G919">
        <f>-(Historical_Simulation!D920-Historical_Simulation!D921)</f>
        <v>2.0000000000010232E-2</v>
      </c>
      <c r="J919" s="23">
        <v>42823</v>
      </c>
      <c r="K919" s="24">
        <f t="shared" si="56"/>
        <v>-9.9189611123252934</v>
      </c>
      <c r="L919" s="25"/>
      <c r="M919" s="25"/>
      <c r="N919" s="27"/>
      <c r="Q919" s="23">
        <v>42823</v>
      </c>
      <c r="R919" s="24">
        <f t="shared" si="57"/>
        <v>-6.8242674115754829</v>
      </c>
      <c r="S919" s="25"/>
      <c r="T919" s="25"/>
      <c r="U919" s="27"/>
      <c r="X919" s="47">
        <v>42823</v>
      </c>
      <c r="Y919" s="48">
        <f t="shared" si="58"/>
        <v>-4.6184816942105433</v>
      </c>
      <c r="Z919" s="49"/>
      <c r="AA919" s="49"/>
      <c r="AB919" s="51"/>
      <c r="AE919" s="47">
        <v>42823</v>
      </c>
      <c r="AF919" s="48">
        <f t="shared" si="59"/>
        <v>-3.2439094979104377</v>
      </c>
      <c r="AG919" s="49"/>
      <c r="AH919" s="49"/>
      <c r="AI919" s="51"/>
    </row>
    <row r="920" spans="1:35" x14ac:dyDescent="0.3">
      <c r="A920" s="20">
        <v>42818</v>
      </c>
      <c r="C920">
        <f>-(Historical_Simulation!B921-Historical_Simulation!B922)</f>
        <v>7.0000000000000284E-2</v>
      </c>
      <c r="E920">
        <f>-(Historical_Simulation!C921-Historical_Simulation!C922)</f>
        <v>1.769800000000032</v>
      </c>
      <c r="G920">
        <f>-(Historical_Simulation!D921-Historical_Simulation!D922)</f>
        <v>-0.81000000000000227</v>
      </c>
      <c r="J920" s="23">
        <v>42822</v>
      </c>
      <c r="K920" s="24">
        <f t="shared" si="56"/>
        <v>-5.2879924179712372</v>
      </c>
      <c r="L920" s="25"/>
      <c r="M920" s="25"/>
      <c r="N920" s="27"/>
      <c r="Q920" s="23">
        <v>42822</v>
      </c>
      <c r="R920" s="24">
        <f t="shared" si="57"/>
        <v>-3.8543460946525232</v>
      </c>
      <c r="S920" s="25"/>
      <c r="T920" s="25"/>
      <c r="U920" s="27"/>
      <c r="X920" s="47">
        <v>42822</v>
      </c>
      <c r="Y920" s="48">
        <f t="shared" si="58"/>
        <v>-4.7081753122091303</v>
      </c>
      <c r="Z920" s="49"/>
      <c r="AA920" s="49"/>
      <c r="AB920" s="51"/>
      <c r="AE920" s="47">
        <v>42822</v>
      </c>
      <c r="AF920" s="48">
        <f t="shared" si="59"/>
        <v>-3.5033033870572221</v>
      </c>
      <c r="AG920" s="49"/>
      <c r="AH920" s="49"/>
      <c r="AI920" s="51"/>
    </row>
    <row r="921" spans="1:35" x14ac:dyDescent="0.3">
      <c r="A921" s="20">
        <v>42817</v>
      </c>
      <c r="C921">
        <f>-(Historical_Simulation!B922-Historical_Simulation!B923)</f>
        <v>0.125</v>
      </c>
      <c r="E921">
        <f>-(Historical_Simulation!C922-Historical_Simulation!C923)</f>
        <v>0.68020000000001346</v>
      </c>
      <c r="G921">
        <f>-(Historical_Simulation!D922-Historical_Simulation!D923)</f>
        <v>6.0000000000002274E-2</v>
      </c>
      <c r="J921" s="23">
        <v>42821</v>
      </c>
      <c r="K921" s="24">
        <f t="shared" si="56"/>
        <v>-0.68032583588765683</v>
      </c>
      <c r="L921" s="25"/>
      <c r="M921" s="25"/>
      <c r="N921" s="27"/>
      <c r="Q921" s="23">
        <v>42821</v>
      </c>
      <c r="R921" s="24">
        <f t="shared" si="57"/>
        <v>-0.48521189704618223</v>
      </c>
      <c r="S921" s="25"/>
      <c r="T921" s="25"/>
      <c r="U921" s="27"/>
      <c r="X921" s="47">
        <v>42821</v>
      </c>
      <c r="Y921" s="48">
        <f t="shared" si="58"/>
        <v>0.38824510560110015</v>
      </c>
      <c r="Z921" s="49"/>
      <c r="AA921" s="49"/>
      <c r="AB921" s="51"/>
      <c r="AE921" s="47">
        <v>42821</v>
      </c>
      <c r="AF921" s="48">
        <f t="shared" si="59"/>
        <v>0.25248488868255275</v>
      </c>
      <c r="AG921" s="49"/>
      <c r="AH921" s="49"/>
      <c r="AI921" s="51"/>
    </row>
    <row r="922" spans="1:35" x14ac:dyDescent="0.3">
      <c r="A922" s="20">
        <v>42816</v>
      </c>
      <c r="C922">
        <f>-(Historical_Simulation!B923-Historical_Simulation!B924)</f>
        <v>-0.39499999999999602</v>
      </c>
      <c r="E922">
        <f>-(Historical_Simulation!C923-Historical_Simulation!C924)</f>
        <v>-4.8600999999999885</v>
      </c>
      <c r="G922">
        <f>-(Historical_Simulation!D923-Historical_Simulation!D924)</f>
        <v>-1.0800000000000125</v>
      </c>
      <c r="J922" s="23">
        <v>42818</v>
      </c>
      <c r="K922" s="24">
        <f t="shared" si="56"/>
        <v>0.98689552681897741</v>
      </c>
      <c r="L922" s="25"/>
      <c r="M922" s="25"/>
      <c r="N922" s="27"/>
      <c r="Q922" s="23">
        <v>42818</v>
      </c>
      <c r="R922" s="24">
        <f t="shared" si="57"/>
        <v>0.69850015878181659</v>
      </c>
      <c r="S922" s="25"/>
      <c r="T922" s="25"/>
      <c r="U922" s="27"/>
      <c r="X922" s="47">
        <v>42818</v>
      </c>
      <c r="Y922" s="48">
        <f t="shared" si="58"/>
        <v>-4.8606961616113695</v>
      </c>
      <c r="Z922" s="49"/>
      <c r="AA922" s="49"/>
      <c r="AB922" s="51"/>
      <c r="AE922" s="47">
        <v>42818</v>
      </c>
      <c r="AF922" s="48">
        <f t="shared" si="59"/>
        <v>-3.3673337755075776</v>
      </c>
      <c r="AG922" s="49"/>
      <c r="AH922" s="49"/>
      <c r="AI922" s="51"/>
    </row>
    <row r="923" spans="1:35" x14ac:dyDescent="0.3">
      <c r="A923" s="20">
        <v>42815</v>
      </c>
      <c r="C923">
        <f>-(Historical_Simulation!B924-Historical_Simulation!B925)</f>
        <v>0.40500000000000114</v>
      </c>
      <c r="E923">
        <f>-(Historical_Simulation!C924-Historical_Simulation!C925)</f>
        <v>13.769999999999982</v>
      </c>
      <c r="G923">
        <f>-(Historical_Simulation!D924-Historical_Simulation!D925)</f>
        <v>1.4300000000000068</v>
      </c>
      <c r="J923" s="23">
        <v>42817</v>
      </c>
      <c r="K923" s="24">
        <f t="shared" si="56"/>
        <v>0.42448252529115121</v>
      </c>
      <c r="L923" s="25"/>
      <c r="M923" s="25"/>
      <c r="N923" s="27"/>
      <c r="Q923" s="23">
        <v>42817</v>
      </c>
      <c r="R923" s="24">
        <f t="shared" si="57"/>
        <v>0.33028490890438073</v>
      </c>
      <c r="S923" s="25"/>
      <c r="T923" s="25"/>
      <c r="U923" s="27"/>
      <c r="X923" s="47">
        <v>42817</v>
      </c>
      <c r="Y923" s="48">
        <f t="shared" si="58"/>
        <v>-0.23919914830082606</v>
      </c>
      <c r="Z923" s="49"/>
      <c r="AA923" s="49"/>
      <c r="AB923" s="51"/>
      <c r="AE923" s="47">
        <v>42817</v>
      </c>
      <c r="AF923" s="48">
        <f t="shared" si="59"/>
        <v>-0.12889397205452738</v>
      </c>
      <c r="AG923" s="49"/>
      <c r="AH923" s="49"/>
      <c r="AI923" s="51"/>
    </row>
    <row r="924" spans="1:35" x14ac:dyDescent="0.3">
      <c r="A924" s="20">
        <v>42814</v>
      </c>
      <c r="C924">
        <f>-(Historical_Simulation!B925-Historical_Simulation!B926)</f>
        <v>-0.36749999999999972</v>
      </c>
      <c r="E924">
        <f>-(Historical_Simulation!C925-Historical_Simulation!C926)</f>
        <v>-4.6598999999999933</v>
      </c>
      <c r="G924">
        <f>-(Historical_Simulation!D925-Historical_Simulation!D926)</f>
        <v>-9.9999999999994316E-2</v>
      </c>
      <c r="J924" s="23">
        <v>42816</v>
      </c>
      <c r="K924" s="24">
        <f t="shared" si="56"/>
        <v>-2.803536425932065</v>
      </c>
      <c r="L924" s="25"/>
      <c r="M924" s="25"/>
      <c r="N924" s="27"/>
      <c r="Q924" s="23">
        <v>42816</v>
      </c>
      <c r="R924" s="24">
        <f t="shared" si="57"/>
        <v>-2.0459683839137686</v>
      </c>
      <c r="S924" s="25"/>
      <c r="T924" s="25"/>
      <c r="U924" s="27"/>
      <c r="X924" s="47">
        <v>42816</v>
      </c>
      <c r="Y924" s="48">
        <f t="shared" si="58"/>
        <v>-4.2330987167089278</v>
      </c>
      <c r="Z924" s="49"/>
      <c r="AA924" s="49"/>
      <c r="AB924" s="51"/>
      <c r="AE924" s="47">
        <v>42816</v>
      </c>
      <c r="AF924" s="48">
        <f t="shared" si="59"/>
        <v>-3.0706518593440193</v>
      </c>
      <c r="AG924" s="49"/>
      <c r="AH924" s="49"/>
      <c r="AI924" s="51"/>
    </row>
    <row r="925" spans="1:35" x14ac:dyDescent="0.3">
      <c r="A925" s="20">
        <v>42811</v>
      </c>
      <c r="C925">
        <f>-(Historical_Simulation!B926-Historical_Simulation!B927)</f>
        <v>0.17499999999999716</v>
      </c>
      <c r="E925">
        <f>-(Historical_Simulation!C926-Historical_Simulation!C927)</f>
        <v>1.1097999999999502</v>
      </c>
      <c r="G925">
        <f>-(Historical_Simulation!D926-Historical_Simulation!D927)</f>
        <v>0.15000000000000568</v>
      </c>
      <c r="J925" s="23">
        <v>42815</v>
      </c>
      <c r="K925" s="24">
        <f t="shared" si="56"/>
        <v>7.6142650405549972</v>
      </c>
      <c r="L925" s="25"/>
      <c r="M925" s="25"/>
      <c r="N925" s="27"/>
      <c r="Q925" s="23">
        <v>42815</v>
      </c>
      <c r="R925" s="24">
        <f t="shared" si="57"/>
        <v>5.3467017426278431</v>
      </c>
      <c r="S925" s="25"/>
      <c r="T925" s="25"/>
      <c r="U925" s="27"/>
      <c r="X925" s="47">
        <v>42815</v>
      </c>
      <c r="Y925" s="48">
        <f t="shared" si="58"/>
        <v>6.1481404155132608</v>
      </c>
      <c r="Z925" s="49"/>
      <c r="AA925" s="49"/>
      <c r="AB925" s="51"/>
      <c r="AE925" s="47">
        <v>42815</v>
      </c>
      <c r="AF925" s="48">
        <f t="shared" si="59"/>
        <v>4.4087126362446343</v>
      </c>
      <c r="AG925" s="49"/>
      <c r="AH925" s="49"/>
      <c r="AI925" s="51"/>
    </row>
    <row r="926" spans="1:35" x14ac:dyDescent="0.3">
      <c r="A926" s="20">
        <v>42810</v>
      </c>
      <c r="C926">
        <f>-(Historical_Simulation!B927-Historical_Simulation!B928)</f>
        <v>-5.7499999999997442E-2</v>
      </c>
      <c r="E926">
        <f>-(Historical_Simulation!C927-Historical_Simulation!C928)</f>
        <v>-0.44989999999995689</v>
      </c>
      <c r="G926">
        <f>-(Historical_Simulation!D927-Historical_Simulation!D928)</f>
        <v>-0.27000000000001023</v>
      </c>
      <c r="J926" s="23">
        <v>42814</v>
      </c>
      <c r="K926" s="24">
        <f t="shared" si="56"/>
        <v>-2.6828796677948565</v>
      </c>
      <c r="L926" s="25"/>
      <c r="M926" s="25"/>
      <c r="N926" s="27"/>
      <c r="Q926" s="23">
        <v>42814</v>
      </c>
      <c r="R926" s="24">
        <f t="shared" si="57"/>
        <v>-1.9546126494617093</v>
      </c>
      <c r="S926" s="25"/>
      <c r="T926" s="25"/>
      <c r="U926" s="27"/>
      <c r="X926" s="47">
        <v>42814</v>
      </c>
      <c r="Y926" s="48">
        <f t="shared" si="58"/>
        <v>1.1313195718534825</v>
      </c>
      <c r="Z926" s="49"/>
      <c r="AA926" s="49"/>
      <c r="AB926" s="51"/>
      <c r="AE926" s="47">
        <v>42814</v>
      </c>
      <c r="AF926" s="48">
        <f t="shared" si="59"/>
        <v>0.67737134653215136</v>
      </c>
      <c r="AG926" s="49"/>
      <c r="AH926" s="49"/>
      <c r="AI926" s="51"/>
    </row>
    <row r="927" spans="1:35" x14ac:dyDescent="0.3">
      <c r="A927" s="20">
        <v>42809</v>
      </c>
      <c r="C927">
        <f>-(Historical_Simulation!B928-Historical_Simulation!B929)</f>
        <v>-0.36749999999999972</v>
      </c>
      <c r="E927">
        <f>-(Historical_Simulation!C928-Historical_Simulation!C929)</f>
        <v>-0.44000000000005457</v>
      </c>
      <c r="G927">
        <f>-(Historical_Simulation!D928-Historical_Simulation!D929)</f>
        <v>-0.40000000000000568</v>
      </c>
      <c r="J927" s="23">
        <v>42811</v>
      </c>
      <c r="K927" s="24">
        <f t="shared" si="56"/>
        <v>0.67924399251106948</v>
      </c>
      <c r="L927" s="25"/>
      <c r="M927" s="25"/>
      <c r="N927" s="27"/>
      <c r="Q927" s="23">
        <v>42811</v>
      </c>
      <c r="R927" s="24">
        <f t="shared" si="57"/>
        <v>0.52064180987715991</v>
      </c>
      <c r="S927" s="25"/>
      <c r="T927" s="25"/>
      <c r="U927" s="27"/>
      <c r="X927" s="47">
        <v>42811</v>
      </c>
      <c r="Y927" s="48">
        <f t="shared" si="58"/>
        <v>3.492340449972231E-2</v>
      </c>
      <c r="Z927" s="49"/>
      <c r="AA927" s="49"/>
      <c r="AB927" s="51"/>
      <c r="AE927" s="47">
        <v>42811</v>
      </c>
      <c r="AF927" s="48">
        <f t="shared" si="59"/>
        <v>7.734847228674735E-2</v>
      </c>
      <c r="AG927" s="49"/>
      <c r="AH927" s="49"/>
      <c r="AI927" s="51"/>
    </row>
    <row r="928" spans="1:35" x14ac:dyDescent="0.3">
      <c r="A928" s="20">
        <v>42808</v>
      </c>
      <c r="C928">
        <f>-(Historical_Simulation!B929-Historical_Simulation!B930)</f>
        <v>5.2499999999994884E-2</v>
      </c>
      <c r="E928">
        <f>-(Historical_Simulation!C929-Historical_Simulation!C930)</f>
        <v>2.060100000000034</v>
      </c>
      <c r="G928">
        <f>-(Historical_Simulation!D929-Historical_Simulation!D930)</f>
        <v>0.28000000000000114</v>
      </c>
      <c r="J928" s="23">
        <v>42810</v>
      </c>
      <c r="K928" s="24">
        <f t="shared" si="56"/>
        <v>-0.26916596348024374</v>
      </c>
      <c r="L928" s="25"/>
      <c r="M928" s="25"/>
      <c r="N928" s="27"/>
      <c r="Q928" s="23">
        <v>42810</v>
      </c>
      <c r="R928" s="24">
        <f t="shared" si="57"/>
        <v>-0.20258969426164861</v>
      </c>
      <c r="S928" s="25"/>
      <c r="T928" s="25"/>
      <c r="U928" s="27"/>
      <c r="X928" s="47">
        <v>42810</v>
      </c>
      <c r="Y928" s="48">
        <f t="shared" si="58"/>
        <v>-1.2481510617528113</v>
      </c>
      <c r="Z928" s="49"/>
      <c r="AA928" s="49"/>
      <c r="AB928" s="51"/>
      <c r="AE928" s="47">
        <v>42810</v>
      </c>
      <c r="AF928" s="48">
        <f t="shared" si="59"/>
        <v>-0.88753798556295438</v>
      </c>
      <c r="AG928" s="49"/>
      <c r="AH928" s="49"/>
      <c r="AI928" s="51"/>
    </row>
    <row r="929" spans="1:35" x14ac:dyDescent="0.3">
      <c r="A929" s="20">
        <v>42807</v>
      </c>
      <c r="C929">
        <f>-(Historical_Simulation!B930-Historical_Simulation!B931)</f>
        <v>-1.5000000000000568E-2</v>
      </c>
      <c r="E929">
        <f>-(Historical_Simulation!C930-Historical_Simulation!C931)</f>
        <v>-2.1300999999999704</v>
      </c>
      <c r="G929">
        <f>-(Historical_Simulation!D930-Historical_Simulation!D931)</f>
        <v>-0.81000000000000227</v>
      </c>
      <c r="J929" s="23">
        <v>42809</v>
      </c>
      <c r="K929" s="24">
        <f t="shared" si="56"/>
        <v>-0.40660749834946719</v>
      </c>
      <c r="L929" s="25"/>
      <c r="M929" s="25"/>
      <c r="N929" s="27"/>
      <c r="Q929" s="23">
        <v>42809</v>
      </c>
      <c r="R929" s="24">
        <f t="shared" si="57"/>
        <v>-0.39430683698771318</v>
      </c>
      <c r="S929" s="25"/>
      <c r="T929" s="25"/>
      <c r="U929" s="27"/>
      <c r="X929" s="47">
        <v>42809</v>
      </c>
      <c r="Y929" s="48">
        <f t="shared" si="58"/>
        <v>-0.54959957415045269</v>
      </c>
      <c r="Z929" s="49"/>
      <c r="AA929" s="49"/>
      <c r="AB929" s="51"/>
      <c r="AE929" s="47">
        <v>42809</v>
      </c>
      <c r="AF929" s="48">
        <f t="shared" si="59"/>
        <v>-0.49444698602729131</v>
      </c>
      <c r="AG929" s="49"/>
      <c r="AH929" s="49"/>
      <c r="AI929" s="51"/>
    </row>
    <row r="930" spans="1:35" x14ac:dyDescent="0.3">
      <c r="A930" s="20">
        <v>42804</v>
      </c>
      <c r="C930">
        <f>-(Historical_Simulation!B931-Historical_Simulation!B932)</f>
        <v>-0.11499999999999488</v>
      </c>
      <c r="E930">
        <f>-(Historical_Simulation!C931-Historical_Simulation!C932)</f>
        <v>0.53999999999996362</v>
      </c>
      <c r="G930">
        <f>-(Historical_Simulation!D931-Historical_Simulation!D932)</f>
        <v>-0.54999999999998295</v>
      </c>
      <c r="J930" s="23">
        <v>42808</v>
      </c>
      <c r="K930" s="24">
        <f t="shared" si="56"/>
        <v>1.1354270853287276</v>
      </c>
      <c r="L930" s="25"/>
      <c r="M930" s="25"/>
      <c r="N930" s="27"/>
      <c r="Q930" s="23">
        <v>42808</v>
      </c>
      <c r="R930" s="24">
        <f t="shared" si="57"/>
        <v>0.79480904739990987</v>
      </c>
      <c r="S930" s="25"/>
      <c r="T930" s="25"/>
      <c r="U930" s="27"/>
      <c r="X930" s="47">
        <v>42808</v>
      </c>
      <c r="Y930" s="48">
        <f t="shared" si="58"/>
        <v>1.3271970190529656</v>
      </c>
      <c r="Z930" s="49"/>
      <c r="AA930" s="49"/>
      <c r="AB930" s="51"/>
      <c r="AE930" s="47">
        <v>42808</v>
      </c>
      <c r="AF930" s="48">
        <f t="shared" si="59"/>
        <v>0.94112890219089618</v>
      </c>
      <c r="AG930" s="49"/>
      <c r="AH930" s="49"/>
      <c r="AI930" s="51"/>
    </row>
    <row r="931" spans="1:35" x14ac:dyDescent="0.3">
      <c r="A931" s="20">
        <v>42803</v>
      </c>
      <c r="C931">
        <f>-(Historical_Simulation!B932-Historical_Simulation!B933)</f>
        <v>7.9999999999998295E-2</v>
      </c>
      <c r="E931">
        <f>-(Historical_Simulation!C932-Historical_Simulation!C933)</f>
        <v>-2.5</v>
      </c>
      <c r="G931">
        <f>-(Historical_Simulation!D932-Historical_Simulation!D933)</f>
        <v>-0.52000000000001023</v>
      </c>
      <c r="J931" s="23">
        <v>42807</v>
      </c>
      <c r="K931" s="24">
        <f t="shared" si="56"/>
        <v>-1.1559140656399314</v>
      </c>
      <c r="L931" s="25"/>
      <c r="M931" s="25"/>
      <c r="N931" s="27"/>
      <c r="Q931" s="23">
        <v>42807</v>
      </c>
      <c r="R931" s="24">
        <f t="shared" si="57"/>
        <v>-0.79705711603681417</v>
      </c>
      <c r="S931" s="25"/>
      <c r="T931" s="25"/>
      <c r="U931" s="27"/>
      <c r="X931" s="47">
        <v>42807</v>
      </c>
      <c r="Y931" s="48">
        <f t="shared" si="58"/>
        <v>-4.4694357369102686</v>
      </c>
      <c r="Z931" s="49"/>
      <c r="AA931" s="49"/>
      <c r="AB931" s="51"/>
      <c r="AE931" s="47">
        <v>42807</v>
      </c>
      <c r="AF931" s="48">
        <f t="shared" si="59"/>
        <v>-3.1203185812824121</v>
      </c>
      <c r="AG931" s="49"/>
      <c r="AH931" s="49"/>
      <c r="AI931" s="51"/>
    </row>
    <row r="932" spans="1:35" x14ac:dyDescent="0.3">
      <c r="A932" s="20">
        <v>42802</v>
      </c>
      <c r="C932">
        <f>-(Historical_Simulation!B933-Historical_Simulation!B934)</f>
        <v>0.13000000000000256</v>
      </c>
      <c r="E932">
        <f>-(Historical_Simulation!C933-Historical_Simulation!C934)</f>
        <v>-4.4800000000000182</v>
      </c>
      <c r="G932">
        <f>-(Historical_Simulation!D933-Historical_Simulation!D934)</f>
        <v>-0.41999999999998749</v>
      </c>
      <c r="J932" s="23">
        <v>42804</v>
      </c>
      <c r="K932" s="24">
        <f t="shared" si="56"/>
        <v>0.23831601957076681</v>
      </c>
      <c r="L932" s="25"/>
      <c r="M932" s="25"/>
      <c r="N932" s="27"/>
      <c r="Q932" s="23">
        <v>42804</v>
      </c>
      <c r="R932" s="24">
        <f t="shared" si="57"/>
        <v>0.12718590657845896</v>
      </c>
      <c r="S932" s="25"/>
      <c r="T932" s="25"/>
      <c r="U932" s="27"/>
      <c r="X932" s="47">
        <v>42804</v>
      </c>
      <c r="Y932" s="48">
        <f t="shared" si="58"/>
        <v>-2.5523327617055411</v>
      </c>
      <c r="Z932" s="49"/>
      <c r="AA932" s="49"/>
      <c r="AB932" s="51"/>
      <c r="AE932" s="47">
        <v>42804</v>
      </c>
      <c r="AF932" s="48">
        <f t="shared" si="59"/>
        <v>-1.8141365822110758</v>
      </c>
      <c r="AG932" s="49"/>
      <c r="AH932" s="49"/>
      <c r="AI932" s="51"/>
    </row>
    <row r="933" spans="1:35" x14ac:dyDescent="0.3">
      <c r="A933" s="20">
        <v>42801</v>
      </c>
      <c r="C933">
        <f>-(Historical_Simulation!B934-Historical_Simulation!B935)</f>
        <v>-4.5000000000001705E-2</v>
      </c>
      <c r="E933">
        <f>-(Historical_Simulation!C934-Historical_Simulation!C935)</f>
        <v>0.59010000000000673</v>
      </c>
      <c r="G933">
        <f>-(Historical_Simulation!D934-Historical_Simulation!D935)</f>
        <v>0.11999999999997613</v>
      </c>
      <c r="J933" s="23">
        <v>42803</v>
      </c>
      <c r="K933" s="24">
        <f t="shared" si="56"/>
        <v>-1.311687527469654</v>
      </c>
      <c r="L933" s="25"/>
      <c r="M933" s="25"/>
      <c r="N933" s="27"/>
      <c r="Q933" s="23">
        <v>42803</v>
      </c>
      <c r="R933" s="24">
        <f t="shared" si="57"/>
        <v>-0.87395364728618519</v>
      </c>
      <c r="S933" s="25"/>
      <c r="T933" s="25"/>
      <c r="U933" s="27"/>
      <c r="X933" s="47">
        <v>42803</v>
      </c>
      <c r="Y933" s="48">
        <f t="shared" si="58"/>
        <v>-3.2818382920077918</v>
      </c>
      <c r="Z933" s="49"/>
      <c r="AA933" s="49"/>
      <c r="AB933" s="51"/>
      <c r="AE933" s="47">
        <v>42803</v>
      </c>
      <c r="AF933" s="48">
        <f t="shared" si="59"/>
        <v>-2.2636366651188315</v>
      </c>
      <c r="AG933" s="49"/>
      <c r="AH933" s="49"/>
      <c r="AI933" s="51"/>
    </row>
    <row r="934" spans="1:35" x14ac:dyDescent="0.3">
      <c r="A934" s="20">
        <v>42800</v>
      </c>
      <c r="C934">
        <f>-(Historical_Simulation!B935-Historical_Simulation!B936)</f>
        <v>0.10999999999999943</v>
      </c>
      <c r="E934">
        <f>-(Historical_Simulation!C935-Historical_Simulation!C936)</f>
        <v>3.269800000000032</v>
      </c>
      <c r="G934">
        <f>-(Historical_Simulation!D935-Historical_Simulation!D936)</f>
        <v>-0.25</v>
      </c>
      <c r="J934" s="23">
        <v>42802</v>
      </c>
      <c r="K934" s="24">
        <f t="shared" si="56"/>
        <v>-2.3566974812539243</v>
      </c>
      <c r="L934" s="25"/>
      <c r="M934" s="25"/>
      <c r="N934" s="27"/>
      <c r="Q934" s="23">
        <v>42802</v>
      </c>
      <c r="R934" s="24">
        <f t="shared" si="57"/>
        <v>-1.5745450829415977</v>
      </c>
      <c r="S934" s="25"/>
      <c r="T934" s="25"/>
      <c r="U934" s="27"/>
      <c r="X934" s="47">
        <v>42802</v>
      </c>
      <c r="Y934" s="48">
        <f t="shared" si="58"/>
        <v>-2.9516851010070391</v>
      </c>
      <c r="Z934" s="49"/>
      <c r="AA934" s="49"/>
      <c r="AB934" s="51"/>
      <c r="AE934" s="47">
        <v>42802</v>
      </c>
      <c r="AF934" s="48">
        <f t="shared" si="59"/>
        <v>-2.0183336096921884</v>
      </c>
      <c r="AG934" s="49"/>
      <c r="AH934" s="49"/>
      <c r="AI934" s="51"/>
    </row>
    <row r="935" spans="1:35" x14ac:dyDescent="0.3">
      <c r="A935" s="20">
        <v>42797</v>
      </c>
      <c r="C935">
        <f>-(Historical_Simulation!B936-Historical_Simulation!B937)</f>
        <v>-0.20499999999999829</v>
      </c>
      <c r="E935">
        <f>-(Historical_Simulation!C936-Historical_Simulation!C937)</f>
        <v>-0.97000000000002728</v>
      </c>
      <c r="G935">
        <f>-(Historical_Simulation!D936-Historical_Simulation!D937)</f>
        <v>-0.40999999999999659</v>
      </c>
      <c r="J935" s="23">
        <v>42801</v>
      </c>
      <c r="K935" s="24">
        <f t="shared" si="56"/>
        <v>0.29758168554107911</v>
      </c>
      <c r="L935" s="25"/>
      <c r="M935" s="25"/>
      <c r="N935" s="27"/>
      <c r="Q935" s="23">
        <v>42801</v>
      </c>
      <c r="R935" s="24">
        <f t="shared" si="57"/>
        <v>0.18982789201219347</v>
      </c>
      <c r="S935" s="25"/>
      <c r="T935" s="25"/>
      <c r="U935" s="27"/>
      <c r="X935" s="47">
        <v>42801</v>
      </c>
      <c r="Y935" s="48">
        <f t="shared" si="58"/>
        <v>0.87950553030200329</v>
      </c>
      <c r="Z935" s="49"/>
      <c r="AA935" s="49"/>
      <c r="AB935" s="51"/>
      <c r="AE935" s="47">
        <v>42801</v>
      </c>
      <c r="AF935" s="48">
        <f t="shared" si="59"/>
        <v>0.59950008290758072</v>
      </c>
      <c r="AG935" s="49"/>
      <c r="AH935" s="49"/>
      <c r="AI935" s="51"/>
    </row>
    <row r="936" spans="1:35" x14ac:dyDescent="0.3">
      <c r="A936" s="20">
        <v>42796</v>
      </c>
      <c r="C936">
        <f>-(Historical_Simulation!B937-Historical_Simulation!B938)</f>
        <v>0.20749999999999602</v>
      </c>
      <c r="E936">
        <f>-(Historical_Simulation!C937-Historical_Simulation!C938)</f>
        <v>4.1702000000000226</v>
      </c>
      <c r="G936">
        <f>-(Historical_Simulation!D937-Historical_Simulation!D938)</f>
        <v>0.65999999999999659</v>
      </c>
      <c r="J936" s="23">
        <v>42800</v>
      </c>
      <c r="K936" s="24">
        <f t="shared" si="56"/>
        <v>1.8144396315111064</v>
      </c>
      <c r="L936" s="25"/>
      <c r="M936" s="25"/>
      <c r="N936" s="27"/>
      <c r="Q936" s="23">
        <v>42800</v>
      </c>
      <c r="R936" s="24">
        <f t="shared" si="57"/>
        <v>1.2783343932926023</v>
      </c>
      <c r="S936" s="25"/>
      <c r="T936" s="25"/>
      <c r="U936" s="27"/>
      <c r="X936" s="47">
        <v>42800</v>
      </c>
      <c r="Y936" s="48">
        <f t="shared" si="58"/>
        <v>-1.9071029752046429</v>
      </c>
      <c r="Z936" s="49"/>
      <c r="AA936" s="49"/>
      <c r="AB936" s="51"/>
      <c r="AE936" s="47">
        <v>42800</v>
      </c>
      <c r="AF936" s="48">
        <f t="shared" si="59"/>
        <v>-1.2961819990712762</v>
      </c>
      <c r="AG936" s="49"/>
      <c r="AH936" s="49"/>
      <c r="AI936" s="51"/>
    </row>
    <row r="937" spans="1:35" x14ac:dyDescent="0.3">
      <c r="A937" s="20">
        <v>42795</v>
      </c>
      <c r="C937">
        <f>-(Historical_Simulation!B938-Historical_Simulation!B939)</f>
        <v>-0.69999999999999574</v>
      </c>
      <c r="E937">
        <f>-(Historical_Simulation!C938-Historical_Simulation!C939)</f>
        <v>-8.0401000000000522</v>
      </c>
      <c r="G937">
        <f>-(Historical_Simulation!D938-Historical_Simulation!D939)</f>
        <v>-1.8799999999999955</v>
      </c>
      <c r="J937" s="23">
        <v>42797</v>
      </c>
      <c r="K937" s="24">
        <f t="shared" si="56"/>
        <v>-0.61765153430787634</v>
      </c>
      <c r="L937" s="25"/>
      <c r="M937" s="25"/>
      <c r="N937" s="27"/>
      <c r="Q937" s="23">
        <v>42797</v>
      </c>
      <c r="R937" s="24">
        <f t="shared" si="57"/>
        <v>-0.48785834890463337</v>
      </c>
      <c r="S937" s="25"/>
      <c r="T937" s="25"/>
      <c r="U937" s="27"/>
      <c r="X937" s="47">
        <v>42797</v>
      </c>
      <c r="Y937" s="48">
        <f t="shared" si="58"/>
        <v>-1.3536280831026342</v>
      </c>
      <c r="Z937" s="49"/>
      <c r="AA937" s="49"/>
      <c r="AB937" s="51"/>
      <c r="AE937" s="47">
        <v>42797</v>
      </c>
      <c r="AF937" s="48">
        <f t="shared" si="59"/>
        <v>-1.0057425272489138</v>
      </c>
      <c r="AG937" s="49"/>
      <c r="AH937" s="49"/>
      <c r="AI937" s="51"/>
    </row>
    <row r="938" spans="1:35" x14ac:dyDescent="0.3">
      <c r="A938" s="20">
        <v>42794</v>
      </c>
      <c r="C938">
        <f>-(Historical_Simulation!B939-Historical_Simulation!B940)</f>
        <v>-1.5000000000000568E-2</v>
      </c>
      <c r="E938">
        <f>-(Historical_Simulation!C939-Historical_Simulation!C940)</f>
        <v>3.5999000000000478</v>
      </c>
      <c r="G938">
        <f>-(Historical_Simulation!D939-Historical_Simulation!D940)</f>
        <v>0.87000000000000455</v>
      </c>
      <c r="J938" s="23">
        <v>42796</v>
      </c>
      <c r="K938" s="24">
        <f t="shared" si="56"/>
        <v>2.345034947714737</v>
      </c>
      <c r="L938" s="25"/>
      <c r="M938" s="25"/>
      <c r="N938" s="27"/>
      <c r="Q938" s="23">
        <v>42796</v>
      </c>
      <c r="R938" s="24">
        <f t="shared" si="57"/>
        <v>1.67270624732596</v>
      </c>
      <c r="S938" s="25"/>
      <c r="T938" s="25"/>
      <c r="U938" s="27"/>
      <c r="X938" s="47">
        <v>42796</v>
      </c>
      <c r="Y938" s="48">
        <f t="shared" si="58"/>
        <v>2.7428863785558386</v>
      </c>
      <c r="Z938" s="49"/>
      <c r="AA938" s="49"/>
      <c r="AB938" s="51"/>
      <c r="AE938" s="47">
        <v>42796</v>
      </c>
      <c r="AF938" s="48">
        <f t="shared" si="59"/>
        <v>1.9749926516104239</v>
      </c>
      <c r="AG938" s="49"/>
      <c r="AH938" s="49"/>
      <c r="AI938" s="51"/>
    </row>
    <row r="939" spans="1:35" x14ac:dyDescent="0.3">
      <c r="A939" s="20">
        <v>42793</v>
      </c>
      <c r="C939">
        <f>-(Historical_Simulation!B940-Historical_Simulation!B941)</f>
        <v>-6.7500000000002558E-2</v>
      </c>
      <c r="E939">
        <f>-(Historical_Simulation!C940-Historical_Simulation!C941)</f>
        <v>-3.3999000000000024</v>
      </c>
      <c r="G939">
        <f>-(Historical_Simulation!D940-Historical_Simulation!D941)</f>
        <v>-0.96999999999999886</v>
      </c>
      <c r="J939" s="23">
        <v>42795</v>
      </c>
      <c r="K939" s="24">
        <f t="shared" si="56"/>
        <v>-4.6593510156511906</v>
      </c>
      <c r="L939" s="25"/>
      <c r="M939" s="25"/>
      <c r="N939" s="27"/>
      <c r="Q939" s="23">
        <v>42795</v>
      </c>
      <c r="R939" s="24">
        <f t="shared" si="57"/>
        <v>-3.4139981265292105</v>
      </c>
      <c r="S939" s="25"/>
      <c r="T939" s="25"/>
      <c r="U939" s="27"/>
      <c r="X939" s="47">
        <v>42795</v>
      </c>
      <c r="Y939" s="48">
        <f t="shared" si="58"/>
        <v>-7.3116153076152202</v>
      </c>
      <c r="Z939" s="49"/>
      <c r="AA939" s="49"/>
      <c r="AB939" s="51"/>
      <c r="AE939" s="47">
        <v>42795</v>
      </c>
      <c r="AF939" s="48">
        <f t="shared" si="59"/>
        <v>-5.3091521080669608</v>
      </c>
      <c r="AG939" s="49"/>
      <c r="AH939" s="49"/>
      <c r="AI939" s="51"/>
    </row>
    <row r="940" spans="1:35" x14ac:dyDescent="0.3">
      <c r="A940" s="20">
        <v>42790</v>
      </c>
      <c r="C940">
        <f>-(Historical_Simulation!B941-Historical_Simulation!B942)</f>
        <v>-3.2499999999998863E-2</v>
      </c>
      <c r="E940">
        <f>-(Historical_Simulation!C941-Historical_Simulation!C942)</f>
        <v>6.9498999999999569</v>
      </c>
      <c r="G940">
        <f>-(Historical_Simulation!D941-Historical_Simulation!D942)</f>
        <v>-7.9999999999984084E-2</v>
      </c>
      <c r="J940" s="23">
        <v>42794</v>
      </c>
      <c r="K940" s="24">
        <f t="shared" si="56"/>
        <v>1.9349268383915177</v>
      </c>
      <c r="L940" s="25"/>
      <c r="M940" s="25"/>
      <c r="N940" s="27"/>
      <c r="Q940" s="23">
        <v>42794</v>
      </c>
      <c r="R940" s="24">
        <f t="shared" si="57"/>
        <v>1.3216073796801826</v>
      </c>
      <c r="S940" s="25"/>
      <c r="T940" s="25"/>
      <c r="U940" s="27"/>
      <c r="X940" s="47">
        <v>42794</v>
      </c>
      <c r="Y940" s="48">
        <f t="shared" si="58"/>
        <v>4.9437114807114488</v>
      </c>
      <c r="Z940" s="49"/>
      <c r="AA940" s="49"/>
      <c r="AB940" s="51"/>
      <c r="AE940" s="47">
        <v>42794</v>
      </c>
      <c r="AF940" s="48">
        <f t="shared" si="59"/>
        <v>3.4418640810502441</v>
      </c>
      <c r="AG940" s="49"/>
      <c r="AH940" s="49"/>
      <c r="AI940" s="51"/>
    </row>
    <row r="941" spans="1:35" x14ac:dyDescent="0.3">
      <c r="A941" s="20">
        <v>42789</v>
      </c>
      <c r="C941">
        <f>-(Historical_Simulation!B942-Historical_Simulation!B943)</f>
        <v>0.14500000000000313</v>
      </c>
      <c r="E941">
        <f>-(Historical_Simulation!C942-Historical_Simulation!C943)</f>
        <v>3.4202000000000226</v>
      </c>
      <c r="G941">
        <f>-(Historical_Simulation!D942-Historical_Simulation!D943)</f>
        <v>0.75999999999999091</v>
      </c>
      <c r="J941" s="23">
        <v>42793</v>
      </c>
      <c r="K941" s="24">
        <f t="shared" si="56"/>
        <v>-1.8650424482712711</v>
      </c>
      <c r="L941" s="25"/>
      <c r="M941" s="25"/>
      <c r="N941" s="27"/>
      <c r="Q941" s="23">
        <v>42793</v>
      </c>
      <c r="R941" s="24">
        <f t="shared" si="57"/>
        <v>-1.2996531527970878</v>
      </c>
      <c r="S941" s="25"/>
      <c r="T941" s="25"/>
      <c r="U941" s="27"/>
      <c r="X941" s="47">
        <v>42793</v>
      </c>
      <c r="Y941" s="48">
        <f t="shared" si="58"/>
        <v>-5.1242650975616284</v>
      </c>
      <c r="Z941" s="49"/>
      <c r="AA941" s="49"/>
      <c r="AB941" s="51"/>
      <c r="AE941" s="47">
        <v>42793</v>
      </c>
      <c r="AF941" s="48">
        <f t="shared" si="59"/>
        <v>-3.592720150449511</v>
      </c>
      <c r="AG941" s="49"/>
      <c r="AH941" s="49"/>
      <c r="AI941" s="51"/>
    </row>
    <row r="942" spans="1:35" x14ac:dyDescent="0.3">
      <c r="A942" s="20">
        <v>42788</v>
      </c>
      <c r="C942">
        <f>-(Historical_Simulation!B943-Historical_Simulation!B944)</f>
        <v>-0.10250000000000625</v>
      </c>
      <c r="E942">
        <f>-(Historical_Simulation!C943-Historical_Simulation!C944)</f>
        <v>0.82979999999997744</v>
      </c>
      <c r="G942">
        <f>-(Historical_Simulation!D943-Historical_Simulation!D944)</f>
        <v>-2.4000000000000057</v>
      </c>
      <c r="J942" s="23">
        <v>42790</v>
      </c>
      <c r="K942" s="24">
        <f t="shared" si="56"/>
        <v>3.7339027100015696</v>
      </c>
      <c r="L942" s="25"/>
      <c r="M942" s="25"/>
      <c r="N942" s="27"/>
      <c r="Q942" s="23">
        <v>42790</v>
      </c>
      <c r="R942" s="24">
        <f t="shared" si="57"/>
        <v>2.5492387390740361</v>
      </c>
      <c r="S942" s="25"/>
      <c r="T942" s="25"/>
      <c r="U942" s="27"/>
      <c r="X942" s="47">
        <v>42790</v>
      </c>
      <c r="Y942" s="48">
        <f t="shared" si="58"/>
        <v>-0.29864553145052897</v>
      </c>
      <c r="Z942" s="49"/>
      <c r="AA942" s="49"/>
      <c r="AB942" s="51"/>
      <c r="AE942" s="47">
        <v>42790</v>
      </c>
      <c r="AF942" s="48">
        <f t="shared" si="59"/>
        <v>-0.21803790265517919</v>
      </c>
      <c r="AG942" s="49"/>
      <c r="AH942" s="49"/>
      <c r="AI942" s="51"/>
    </row>
    <row r="943" spans="1:35" x14ac:dyDescent="0.3">
      <c r="A943" s="20">
        <v>42787</v>
      </c>
      <c r="C943">
        <f>-(Historical_Simulation!B944-Historical_Simulation!B945)</f>
        <v>-0.24499999999999744</v>
      </c>
      <c r="E943">
        <f>-(Historical_Simulation!C944-Historical_Simulation!C945)</f>
        <v>-11.369799999999941</v>
      </c>
      <c r="G943">
        <f>-(Historical_Simulation!D944-Historical_Simulation!D945)</f>
        <v>-0.18999999999999773</v>
      </c>
      <c r="J943" s="23">
        <v>42789</v>
      </c>
      <c r="K943" s="24">
        <f t="shared" si="56"/>
        <v>1.9116879806080014</v>
      </c>
      <c r="L943" s="25"/>
      <c r="M943" s="25"/>
      <c r="N943" s="27"/>
      <c r="Q943" s="23">
        <v>42789</v>
      </c>
      <c r="R943" s="24">
        <f t="shared" si="57"/>
        <v>1.3560034827874949</v>
      </c>
      <c r="S943" s="25"/>
      <c r="T943" s="25"/>
      <c r="U943" s="27"/>
      <c r="X943" s="47">
        <v>42789</v>
      </c>
      <c r="Y943" s="48">
        <f t="shared" si="58"/>
        <v>3.5908842493078708</v>
      </c>
      <c r="Z943" s="49"/>
      <c r="AA943" s="49"/>
      <c r="AB943" s="51"/>
      <c r="AE943" s="47">
        <v>42789</v>
      </c>
      <c r="AF943" s="48">
        <f t="shared" si="59"/>
        <v>2.5472275817467214</v>
      </c>
      <c r="AG943" s="49"/>
      <c r="AH943" s="49"/>
      <c r="AI943" s="51"/>
    </row>
    <row r="944" spans="1:35" x14ac:dyDescent="0.3">
      <c r="A944" s="20">
        <v>42786</v>
      </c>
      <c r="C944">
        <f>-(Historical_Simulation!B945-Historical_Simulation!B946)</f>
        <v>0</v>
      </c>
      <c r="E944">
        <f>-(Historical_Simulation!C945-Historical_Simulation!C946)</f>
        <v>0</v>
      </c>
      <c r="G944">
        <f>-(Historical_Simulation!D945-Historical_Simulation!D946)</f>
        <v>0</v>
      </c>
      <c r="J944" s="23">
        <v>42788</v>
      </c>
      <c r="K944" s="24">
        <f t="shared" si="56"/>
        <v>0.40039545808523991</v>
      </c>
      <c r="L944" s="25"/>
      <c r="M944" s="25"/>
      <c r="N944" s="27"/>
      <c r="Q944" s="23">
        <v>42788</v>
      </c>
      <c r="R944" s="24">
        <f t="shared" si="57"/>
        <v>0.24221743618793712</v>
      </c>
      <c r="S944" s="25"/>
      <c r="T944" s="25"/>
      <c r="U944" s="27"/>
      <c r="X944" s="47">
        <v>42788</v>
      </c>
      <c r="Y944" s="48">
        <f t="shared" si="58"/>
        <v>-12.975539126479651</v>
      </c>
      <c r="Z944" s="49"/>
      <c r="AA944" s="49"/>
      <c r="AB944" s="51"/>
      <c r="AE944" s="47">
        <v>42788</v>
      </c>
      <c r="AF944" s="48">
        <f t="shared" si="59"/>
        <v>-9.0766753968507281</v>
      </c>
      <c r="AG944" s="49"/>
      <c r="AH944" s="49"/>
      <c r="AI944" s="51"/>
    </row>
    <row r="945" spans="1:35" x14ac:dyDescent="0.3">
      <c r="A945" s="20">
        <v>42783</v>
      </c>
      <c r="C945">
        <f>-(Historical_Simulation!B946-Historical_Simulation!B947)</f>
        <v>-9.380000000000166E-2</v>
      </c>
      <c r="E945">
        <f>-(Historical_Simulation!C946-Historical_Simulation!C947)</f>
        <v>-0.93020000000001346</v>
      </c>
      <c r="G945">
        <f>-(Historical_Simulation!D946-Historical_Simulation!D947)</f>
        <v>0.31000000000000227</v>
      </c>
      <c r="J945" s="23">
        <v>42787</v>
      </c>
      <c r="K945" s="24">
        <f t="shared" si="56"/>
        <v>-6.2458703122458585</v>
      </c>
      <c r="L945" s="25"/>
      <c r="M945" s="25"/>
      <c r="N945" s="27"/>
      <c r="Q945" s="23">
        <v>42787</v>
      </c>
      <c r="R945" s="24">
        <f t="shared" si="57"/>
        <v>-4.3583889671818916</v>
      </c>
      <c r="S945" s="25"/>
      <c r="T945" s="25"/>
      <c r="U945" s="27"/>
      <c r="X945" s="47">
        <v>42787</v>
      </c>
      <c r="Y945" s="48">
        <f t="shared" si="58"/>
        <v>6.3168510100710673E-2</v>
      </c>
      <c r="Z945" s="49"/>
      <c r="AA945" s="49"/>
      <c r="AB945" s="51"/>
      <c r="AE945" s="47">
        <v>42787</v>
      </c>
      <c r="AF945" s="48">
        <f t="shared" si="59"/>
        <v>-3.0166639030775544E-2</v>
      </c>
      <c r="AG945" s="49"/>
      <c r="AH945" s="49"/>
      <c r="AI945" s="51"/>
    </row>
    <row r="946" spans="1:35" x14ac:dyDescent="0.3">
      <c r="A946" s="20">
        <v>42782</v>
      </c>
      <c r="C946">
        <f>-(Historical_Simulation!B947-Historical_Simulation!B948)</f>
        <v>4.129999999999967E-2</v>
      </c>
      <c r="E946">
        <f>-(Historical_Simulation!C947-Historical_Simulation!C948)</f>
        <v>-1.439899999999966</v>
      </c>
      <c r="G946">
        <f>-(Historical_Simulation!D947-Historical_Simulation!D948)</f>
        <v>-0.40000000000000568</v>
      </c>
      <c r="J946" s="23">
        <v>42786</v>
      </c>
      <c r="K946" s="24">
        <f t="shared" si="56"/>
        <v>0</v>
      </c>
      <c r="L946" s="25"/>
      <c r="M946" s="25"/>
      <c r="N946" s="27"/>
      <c r="Q946" s="23">
        <v>42786</v>
      </c>
      <c r="R946" s="24">
        <f t="shared" si="57"/>
        <v>0</v>
      </c>
      <c r="S946" s="25"/>
      <c r="T946" s="25"/>
      <c r="U946" s="27"/>
      <c r="X946" s="47">
        <v>42786</v>
      </c>
      <c r="Y946" s="48">
        <f t="shared" si="58"/>
        <v>0</v>
      </c>
      <c r="Z946" s="49"/>
      <c r="AA946" s="49"/>
      <c r="AB946" s="51"/>
      <c r="AE946" s="47">
        <v>42786</v>
      </c>
      <c r="AF946" s="48">
        <f t="shared" si="59"/>
        <v>0</v>
      </c>
      <c r="AG946" s="49"/>
      <c r="AH946" s="49"/>
      <c r="AI946" s="51"/>
    </row>
    <row r="947" spans="1:35" x14ac:dyDescent="0.3">
      <c r="A947" s="20">
        <v>42781</v>
      </c>
      <c r="C947">
        <f>-(Historical_Simulation!B948-Historical_Simulation!B949)</f>
        <v>-0.12249999999999517</v>
      </c>
      <c r="E947">
        <f>-(Historical_Simulation!C948-Historical_Simulation!C949)</f>
        <v>-6.310100000000034</v>
      </c>
      <c r="G947">
        <f>-(Historical_Simulation!D948-Historical_Simulation!D949)</f>
        <v>0.40999999999999659</v>
      </c>
      <c r="J947" s="23">
        <v>42783</v>
      </c>
      <c r="K947" s="24">
        <f t="shared" si="56"/>
        <v>-0.54496567750993752</v>
      </c>
      <c r="L947" s="25"/>
      <c r="M947" s="25"/>
      <c r="N947" s="27"/>
      <c r="Q947" s="23">
        <v>42783</v>
      </c>
      <c r="R947" s="24">
        <f t="shared" si="57"/>
        <v>-0.40305846146906199</v>
      </c>
      <c r="S947" s="25"/>
      <c r="T947" s="25"/>
      <c r="U947" s="27"/>
      <c r="X947" s="47">
        <v>42783</v>
      </c>
      <c r="Y947" s="48">
        <f t="shared" si="58"/>
        <v>2.1687171705212314</v>
      </c>
      <c r="Z947" s="49"/>
      <c r="AA947" s="49"/>
      <c r="AB947" s="51"/>
      <c r="AE947" s="47">
        <v>42783</v>
      </c>
      <c r="AF947" s="48">
        <f t="shared" si="59"/>
        <v>1.4834674756249635</v>
      </c>
      <c r="AG947" s="49"/>
      <c r="AH947" s="49"/>
      <c r="AI947" s="51"/>
    </row>
    <row r="948" spans="1:35" x14ac:dyDescent="0.3">
      <c r="A948" s="20">
        <v>42780</v>
      </c>
      <c r="C948">
        <f>-(Historical_Simulation!B949-Historical_Simulation!B950)</f>
        <v>-0.43250000000000455</v>
      </c>
      <c r="E948">
        <f>-(Historical_Simulation!C949-Historical_Simulation!C950)</f>
        <v>0.14009999999996126</v>
      </c>
      <c r="G948">
        <f>-(Historical_Simulation!D949-Historical_Simulation!D950)</f>
        <v>0.20000000000001705</v>
      </c>
      <c r="J948" s="23">
        <v>42782</v>
      </c>
      <c r="K948" s="24">
        <f t="shared" si="56"/>
        <v>-0.75767967662325719</v>
      </c>
      <c r="L948" s="25"/>
      <c r="M948" s="25"/>
      <c r="N948" s="27"/>
      <c r="Q948" s="23">
        <v>42782</v>
      </c>
      <c r="R948" s="24">
        <f t="shared" si="57"/>
        <v>-0.50637292339545115</v>
      </c>
      <c r="S948" s="25"/>
      <c r="T948" s="25"/>
      <c r="U948" s="27"/>
      <c r="X948" s="47">
        <v>42782</v>
      </c>
      <c r="Y948" s="48">
        <f t="shared" si="58"/>
        <v>-2.4313320637717251</v>
      </c>
      <c r="Z948" s="49"/>
      <c r="AA948" s="49"/>
      <c r="AB948" s="51"/>
      <c r="AE948" s="47">
        <v>42782</v>
      </c>
      <c r="AF948" s="48">
        <f t="shared" si="59"/>
        <v>-1.6824447671948961</v>
      </c>
      <c r="AG948" s="49"/>
      <c r="AH948" s="49"/>
      <c r="AI948" s="51"/>
    </row>
    <row r="949" spans="1:35" x14ac:dyDescent="0.3">
      <c r="A949" s="20">
        <v>42779</v>
      </c>
      <c r="C949">
        <f>-(Historical_Simulation!B950-Historical_Simulation!B951)</f>
        <v>-0.29249999999999687</v>
      </c>
      <c r="E949">
        <f>-(Historical_Simulation!C950-Historical_Simulation!C951)</f>
        <v>-9.0699999999999363</v>
      </c>
      <c r="G949">
        <f>-(Historical_Simulation!D950-Historical_Simulation!D951)</f>
        <v>0.13999999999998636</v>
      </c>
      <c r="J949" s="23">
        <v>42781</v>
      </c>
      <c r="K949" s="24">
        <f t="shared" si="56"/>
        <v>-3.4601766453377008</v>
      </c>
      <c r="L949" s="25"/>
      <c r="M949" s="25"/>
      <c r="N949" s="27"/>
      <c r="Q949" s="23">
        <v>42781</v>
      </c>
      <c r="R949" s="24">
        <f t="shared" si="57"/>
        <v>-2.4103618557938051</v>
      </c>
      <c r="S949" s="25"/>
      <c r="T949" s="25"/>
      <c r="U949" s="27"/>
      <c r="X949" s="47">
        <v>42781</v>
      </c>
      <c r="Y949" s="48">
        <f t="shared" si="58"/>
        <v>2.8611314841568305</v>
      </c>
      <c r="Z949" s="49"/>
      <c r="AA949" s="49"/>
      <c r="AB949" s="51"/>
      <c r="AE949" s="47">
        <v>42781</v>
      </c>
      <c r="AF949" s="48">
        <f t="shared" si="59"/>
        <v>1.9574775402929045</v>
      </c>
      <c r="AG949" s="49"/>
      <c r="AH949" s="49"/>
      <c r="AI949" s="51"/>
    </row>
    <row r="950" spans="1:35" x14ac:dyDescent="0.3">
      <c r="A950" s="20">
        <v>42776</v>
      </c>
      <c r="C950">
        <f>-(Historical_Simulation!B951-Historical_Simulation!B952)</f>
        <v>7.4999999999995737E-2</v>
      </c>
      <c r="E950">
        <f>-(Historical_Simulation!C951-Historical_Simulation!C952)</f>
        <v>-6.0999000000000478</v>
      </c>
      <c r="G950">
        <f>-(Historical_Simulation!D951-Historical_Simulation!D952)</f>
        <v>-5.0000000000011369E-2</v>
      </c>
      <c r="J950" s="23">
        <v>42780</v>
      </c>
      <c r="K950" s="24">
        <f t="shared" si="56"/>
        <v>-0.12363167510501387</v>
      </c>
      <c r="L950" s="25"/>
      <c r="M950" s="25"/>
      <c r="N950" s="27"/>
      <c r="Q950" s="23">
        <v>42780</v>
      </c>
      <c r="R950" s="24">
        <f t="shared" si="57"/>
        <v>-0.22078145021859513</v>
      </c>
      <c r="S950" s="25"/>
      <c r="T950" s="25"/>
      <c r="U950" s="27"/>
      <c r="X950" s="47">
        <v>42780</v>
      </c>
      <c r="Y950" s="48">
        <f t="shared" si="58"/>
        <v>3.1114378661582784</v>
      </c>
      <c r="Z950" s="49"/>
      <c r="AA950" s="49"/>
      <c r="AB950" s="51"/>
      <c r="AE950" s="47">
        <v>42780</v>
      </c>
      <c r="AF950" s="48">
        <f t="shared" si="59"/>
        <v>2.0380836511461444</v>
      </c>
      <c r="AG950" s="49"/>
      <c r="AH950" s="49"/>
      <c r="AI950" s="51"/>
    </row>
    <row r="951" spans="1:35" x14ac:dyDescent="0.3">
      <c r="A951" s="20">
        <v>42775</v>
      </c>
      <c r="C951">
        <f>-(Historical_Simulation!B952-Historical_Simulation!B953)</f>
        <v>-9.4999999999998863E-2</v>
      </c>
      <c r="E951">
        <f>-(Historical_Simulation!C952-Historical_Simulation!C953)</f>
        <v>-1.6500999999999522</v>
      </c>
      <c r="G951">
        <f>-(Historical_Simulation!D952-Historical_Simulation!D953)</f>
        <v>6.0000000000002274E-2</v>
      </c>
      <c r="J951" s="23">
        <v>42779</v>
      </c>
      <c r="K951" s="24">
        <f t="shared" si="56"/>
        <v>-5.0272043691336394</v>
      </c>
      <c r="L951" s="25"/>
      <c r="M951" s="25"/>
      <c r="N951" s="27"/>
      <c r="Q951" s="23">
        <v>42779</v>
      </c>
      <c r="R951" s="24">
        <f t="shared" si="57"/>
        <v>-3.5379760228893082</v>
      </c>
      <c r="S951" s="25"/>
      <c r="T951" s="25"/>
      <c r="U951" s="27"/>
      <c r="X951" s="47">
        <v>42779</v>
      </c>
      <c r="Y951" s="48">
        <f t="shared" si="58"/>
        <v>2.13082510215549</v>
      </c>
      <c r="Z951" s="49"/>
      <c r="AA951" s="49"/>
      <c r="AB951" s="51"/>
      <c r="AE951" s="47">
        <v>42779</v>
      </c>
      <c r="AF951" s="48">
        <f t="shared" si="59"/>
        <v>1.3968714294397366</v>
      </c>
      <c r="AG951" s="49"/>
      <c r="AH951" s="49"/>
      <c r="AI951" s="51"/>
    </row>
    <row r="952" spans="1:35" x14ac:dyDescent="0.3">
      <c r="A952" s="20">
        <v>42774</v>
      </c>
      <c r="C952">
        <f>-(Historical_Simulation!B953-Historical_Simulation!B954)</f>
        <v>-0.12749999999999773</v>
      </c>
      <c r="E952">
        <f>-(Historical_Simulation!C953-Historical_Simulation!C954)</f>
        <v>-7.2100000000000364</v>
      </c>
      <c r="G952">
        <f>-(Historical_Simulation!D953-Historical_Simulation!D954)</f>
        <v>-2.3599999999999852</v>
      </c>
      <c r="J952" s="23">
        <v>42776</v>
      </c>
      <c r="K952" s="24">
        <f t="shared" si="56"/>
        <v>-3.2558260904544318</v>
      </c>
      <c r="L952" s="25"/>
      <c r="M952" s="25"/>
      <c r="N952" s="27"/>
      <c r="Q952" s="23">
        <v>42776</v>
      </c>
      <c r="R952" s="24">
        <f t="shared" si="57"/>
        <v>-2.2081660374525236</v>
      </c>
      <c r="S952" s="25"/>
      <c r="T952" s="25"/>
      <c r="U952" s="27"/>
      <c r="X952" s="47">
        <v>42776</v>
      </c>
      <c r="Y952" s="48">
        <f t="shared" si="58"/>
        <v>-0.62538297750165706</v>
      </c>
      <c r="Z952" s="49"/>
      <c r="AA952" s="49"/>
      <c r="AB952" s="51"/>
      <c r="AE952" s="47">
        <v>42776</v>
      </c>
      <c r="AF952" s="48">
        <f t="shared" si="59"/>
        <v>-0.41325763856644793</v>
      </c>
      <c r="AG952" s="49"/>
      <c r="AH952" s="49"/>
      <c r="AI952" s="51"/>
    </row>
    <row r="953" spans="1:35" x14ac:dyDescent="0.3">
      <c r="A953" s="20">
        <v>42773</v>
      </c>
      <c r="C953">
        <f>-(Historical_Simulation!B954-Historical_Simulation!B955)</f>
        <v>-0.31000000000000227</v>
      </c>
      <c r="E953">
        <f>-(Historical_Simulation!C954-Historical_Simulation!C955)</f>
        <v>-4.8600999999999885</v>
      </c>
      <c r="G953">
        <f>-(Historical_Simulation!D954-Historical_Simulation!D955)</f>
        <v>0.21999999999999886</v>
      </c>
      <c r="J953" s="23">
        <v>42775</v>
      </c>
      <c r="K953" s="24">
        <f t="shared" si="56"/>
        <v>-0.93384235425115891</v>
      </c>
      <c r="L953" s="25"/>
      <c r="M953" s="25"/>
      <c r="N953" s="27"/>
      <c r="Q953" s="23">
        <v>42775</v>
      </c>
      <c r="R953" s="24">
        <f t="shared" si="57"/>
        <v>-0.66999740964910748</v>
      </c>
      <c r="S953" s="25"/>
      <c r="T953" s="25"/>
      <c r="U953" s="27"/>
      <c r="X953" s="47">
        <v>42775</v>
      </c>
      <c r="Y953" s="48">
        <f t="shared" si="58"/>
        <v>0.77347489210200759</v>
      </c>
      <c r="Z953" s="49"/>
      <c r="AA953" s="49"/>
      <c r="AB953" s="51"/>
      <c r="AE953" s="47">
        <v>42775</v>
      </c>
      <c r="AF953" s="48">
        <f t="shared" si="59"/>
        <v>0.51043947182236127</v>
      </c>
      <c r="AG953" s="49"/>
      <c r="AH953" s="49"/>
      <c r="AI953" s="51"/>
    </row>
    <row r="954" spans="1:35" x14ac:dyDescent="0.3">
      <c r="A954" s="20">
        <v>42772</v>
      </c>
      <c r="C954">
        <f>-(Historical_Simulation!B955-Historical_Simulation!B956)</f>
        <v>-0.30249999999999488</v>
      </c>
      <c r="E954">
        <f>-(Historical_Simulation!C955-Historical_Simulation!C956)</f>
        <v>2.560100000000034</v>
      </c>
      <c r="G954">
        <f>-(Historical_Simulation!D955-Historical_Simulation!D956)</f>
        <v>-1.0800000000000125</v>
      </c>
      <c r="J954" s="23">
        <v>42774</v>
      </c>
      <c r="K954" s="24">
        <f t="shared" si="56"/>
        <v>-3.9478980284123519</v>
      </c>
      <c r="L954" s="25"/>
      <c r="M954" s="25"/>
      <c r="N954" s="27"/>
      <c r="Q954" s="23">
        <v>42774</v>
      </c>
      <c r="R954" s="24">
        <f t="shared" si="57"/>
        <v>-2.7462506615908646</v>
      </c>
      <c r="S954" s="25"/>
      <c r="T954" s="25"/>
      <c r="U954" s="27"/>
      <c r="X954" s="47">
        <v>42774</v>
      </c>
      <c r="Y954" s="48">
        <f t="shared" si="58"/>
        <v>-12.636339978178736</v>
      </c>
      <c r="Z954" s="49"/>
      <c r="AA954" s="49"/>
      <c r="AB954" s="51"/>
      <c r="AE954" s="47">
        <v>42774</v>
      </c>
      <c r="AF954" s="48">
        <f t="shared" si="59"/>
        <v>-8.8477814247961373</v>
      </c>
      <c r="AG954" s="49"/>
      <c r="AH954" s="49"/>
      <c r="AI954" s="51"/>
    </row>
    <row r="955" spans="1:35" x14ac:dyDescent="0.3">
      <c r="A955" s="20">
        <v>42769</v>
      </c>
      <c r="C955">
        <f>-(Historical_Simulation!B956-Historical_Simulation!B957)</f>
        <v>-0.13750000000000284</v>
      </c>
      <c r="E955">
        <f>-(Historical_Simulation!C956-Historical_Simulation!C957)</f>
        <v>29.75</v>
      </c>
      <c r="G955">
        <f>-(Historical_Simulation!D956-Historical_Simulation!D957)</f>
        <v>-0.13999999999998636</v>
      </c>
      <c r="J955" s="23">
        <v>42773</v>
      </c>
      <c r="K955" s="24">
        <f t="shared" si="56"/>
        <v>-2.7643865964107195</v>
      </c>
      <c r="L955" s="25"/>
      <c r="M955" s="25"/>
      <c r="N955" s="27"/>
      <c r="Q955" s="23">
        <v>42773</v>
      </c>
      <c r="R955" s="24">
        <f t="shared" si="57"/>
        <v>-1.9923970893476199</v>
      </c>
      <c r="S955" s="25"/>
      <c r="T955" s="25"/>
      <c r="U955" s="27"/>
      <c r="X955" s="47">
        <v>42773</v>
      </c>
      <c r="Y955" s="48">
        <f t="shared" si="58"/>
        <v>2.6596238246068435</v>
      </c>
      <c r="Z955" s="49"/>
      <c r="AA955" s="49"/>
      <c r="AB955" s="51"/>
      <c r="AE955" s="47">
        <v>42773</v>
      </c>
      <c r="AF955" s="48">
        <f t="shared" si="59"/>
        <v>1.7602123875216056</v>
      </c>
      <c r="AG955" s="49"/>
      <c r="AH955" s="49"/>
      <c r="AI955" s="51"/>
    </row>
    <row r="956" spans="1:35" x14ac:dyDescent="0.3">
      <c r="A956" s="20">
        <v>42768</v>
      </c>
      <c r="C956">
        <f>-(Historical_Simulation!B957-Historical_Simulation!B958)</f>
        <v>5.4999999999999716E-2</v>
      </c>
      <c r="E956">
        <f>-(Historical_Simulation!C957-Historical_Simulation!C958)</f>
        <v>-7.5999000000000478</v>
      </c>
      <c r="G956">
        <f>-(Historical_Simulation!D957-Historical_Simulation!D958)</f>
        <v>2.3899999999999864</v>
      </c>
      <c r="J956" s="23">
        <v>42772</v>
      </c>
      <c r="K956" s="24">
        <f t="shared" si="56"/>
        <v>1.2416258589669313</v>
      </c>
      <c r="L956" s="25"/>
      <c r="M956" s="25"/>
      <c r="N956" s="27"/>
      <c r="Q956" s="23">
        <v>42772</v>
      </c>
      <c r="R956" s="24">
        <f t="shared" si="57"/>
        <v>0.75594484911684945</v>
      </c>
      <c r="S956" s="25"/>
      <c r="T956" s="25"/>
      <c r="U956" s="27"/>
      <c r="X956" s="47">
        <v>42772</v>
      </c>
      <c r="Y956" s="48">
        <f t="shared" si="58"/>
        <v>-4.6588821200601265</v>
      </c>
      <c r="Z956" s="49"/>
      <c r="AA956" s="49"/>
      <c r="AB956" s="51"/>
      <c r="AE956" s="47">
        <v>42772</v>
      </c>
      <c r="AF956" s="48">
        <f t="shared" si="59"/>
        <v>-3.3394625118831702</v>
      </c>
      <c r="AG956" s="49"/>
      <c r="AH956" s="49"/>
      <c r="AI956" s="51"/>
    </row>
    <row r="957" spans="1:35" x14ac:dyDescent="0.3">
      <c r="A957" s="20">
        <v>42767</v>
      </c>
      <c r="C957">
        <f>-(Historical_Simulation!B958-Historical_Simulation!B959)</f>
        <v>-1.8500000000000014</v>
      </c>
      <c r="E957">
        <f>-(Historical_Simulation!C958-Historical_Simulation!C959)</f>
        <v>-8.8700999999999794</v>
      </c>
      <c r="G957">
        <f>-(Historical_Simulation!D958-Historical_Simulation!D959)</f>
        <v>-2.9099999999999966</v>
      </c>
      <c r="J957" s="23">
        <v>42769</v>
      </c>
      <c r="K957" s="24">
        <f t="shared" si="56"/>
        <v>15.984229060949328</v>
      </c>
      <c r="L957" s="25"/>
      <c r="M957" s="25"/>
      <c r="N957" s="27"/>
      <c r="Q957" s="23">
        <v>42769</v>
      </c>
      <c r="R957" s="24">
        <f t="shared" si="57"/>
        <v>10.913387454754195</v>
      </c>
      <c r="S957" s="25"/>
      <c r="T957" s="25"/>
      <c r="U957" s="27"/>
      <c r="X957" s="47">
        <v>42769</v>
      </c>
      <c r="Y957" s="48">
        <f t="shared" si="58"/>
        <v>-0.15150765954994272</v>
      </c>
      <c r="Z957" s="49"/>
      <c r="AA957" s="49"/>
      <c r="AB957" s="51"/>
      <c r="AE957" s="47">
        <v>42769</v>
      </c>
      <c r="AF957" s="48">
        <f t="shared" si="59"/>
        <v>-0.14726515277126673</v>
      </c>
      <c r="AG957" s="49"/>
      <c r="AH957" s="49"/>
      <c r="AI957" s="51"/>
    </row>
    <row r="958" spans="1:35" x14ac:dyDescent="0.3">
      <c r="A958" s="20">
        <v>42766</v>
      </c>
      <c r="C958">
        <f>-(Historical_Simulation!B959-Historical_Simulation!B960)</f>
        <v>7.0000000000000284E-2</v>
      </c>
      <c r="E958">
        <f>-(Historical_Simulation!C959-Historical_Simulation!C960)</f>
        <v>6.8999000000000024</v>
      </c>
      <c r="G958">
        <f>-(Historical_Simulation!D959-Historical_Simulation!D960)</f>
        <v>0.65999999999999659</v>
      </c>
      <c r="J958" s="23">
        <v>42768</v>
      </c>
      <c r="K958" s="24">
        <f t="shared" si="56"/>
        <v>-4.0741584705533009</v>
      </c>
      <c r="L958" s="25"/>
      <c r="M958" s="25"/>
      <c r="N958" s="27"/>
      <c r="Q958" s="23">
        <v>42768</v>
      </c>
      <c r="R958" s="24">
        <f t="shared" si="57"/>
        <v>-2.7753952614771538</v>
      </c>
      <c r="S958" s="25"/>
      <c r="T958" s="25"/>
      <c r="U958" s="27"/>
      <c r="X958" s="47">
        <v>42768</v>
      </c>
      <c r="Y958" s="48">
        <f t="shared" si="58"/>
        <v>13.138154019730056</v>
      </c>
      <c r="Z958" s="49"/>
      <c r="AA958" s="49"/>
      <c r="AB958" s="51"/>
      <c r="AE958" s="47">
        <v>42768</v>
      </c>
      <c r="AF958" s="48">
        <f t="shared" si="59"/>
        <v>9.1756526884205982</v>
      </c>
      <c r="AG958" s="49"/>
      <c r="AH958" s="49"/>
      <c r="AI958" s="51"/>
    </row>
    <row r="959" spans="1:35" x14ac:dyDescent="0.3">
      <c r="A959" s="20">
        <v>42765</v>
      </c>
      <c r="C959">
        <f>-(Historical_Simulation!B960-Historical_Simulation!B961)</f>
        <v>8.0000000000001847E-2</v>
      </c>
      <c r="E959">
        <f>-(Historical_Simulation!C960-Historical_Simulation!C961)</f>
        <v>5.3900999999999613</v>
      </c>
      <c r="G959">
        <f>-(Historical_Simulation!D960-Historical_Simulation!D961)</f>
        <v>1.2000000000000171</v>
      </c>
      <c r="J959" s="23">
        <v>42767</v>
      </c>
      <c r="K959" s="24">
        <f t="shared" si="56"/>
        <v>-5.6367386091432898</v>
      </c>
      <c r="L959" s="25"/>
      <c r="M959" s="25"/>
      <c r="N959" s="27"/>
      <c r="Q959" s="23">
        <v>42767</v>
      </c>
      <c r="R959" s="24">
        <f t="shared" si="57"/>
        <v>-4.4456782943076449</v>
      </c>
      <c r="S959" s="25"/>
      <c r="T959" s="25"/>
      <c r="U959" s="27"/>
      <c r="X959" s="47">
        <v>42767</v>
      </c>
      <c r="Y959" s="48">
        <f t="shared" si="58"/>
        <v>-7.7892476492136513</v>
      </c>
      <c r="Z959" s="49"/>
      <c r="AA959" s="49"/>
      <c r="AB959" s="51"/>
      <c r="AE959" s="47">
        <v>42767</v>
      </c>
      <c r="AF959" s="48">
        <f t="shared" si="59"/>
        <v>-5.9904247750431896</v>
      </c>
      <c r="AG959" s="49"/>
      <c r="AH959" s="49"/>
      <c r="AI959" s="51"/>
    </row>
    <row r="960" spans="1:35" x14ac:dyDescent="0.3">
      <c r="A960" s="20">
        <v>42762</v>
      </c>
      <c r="C960">
        <f>-(Historical_Simulation!B961-Historical_Simulation!B962)</f>
        <v>-2.500000000001279E-3</v>
      </c>
      <c r="E960">
        <f>-(Historical_Simulation!C961-Historical_Simulation!C962)</f>
        <v>3.3799000000000206</v>
      </c>
      <c r="G960">
        <f>-(Historical_Simulation!D961-Historical_Simulation!D962)</f>
        <v>0.59999999999999432</v>
      </c>
      <c r="J960" s="23">
        <v>42766</v>
      </c>
      <c r="K960" s="24">
        <f t="shared" si="56"/>
        <v>3.7541421100251897</v>
      </c>
      <c r="L960" s="25"/>
      <c r="M960" s="25"/>
      <c r="N960" s="27"/>
      <c r="Q960" s="23">
        <v>42766</v>
      </c>
      <c r="R960" s="24">
        <f t="shared" si="57"/>
        <v>2.5953519440309734</v>
      </c>
      <c r="S960" s="25"/>
      <c r="T960" s="25"/>
      <c r="U960" s="27"/>
      <c r="X960" s="47">
        <v>42766</v>
      </c>
      <c r="Y960" s="48">
        <f t="shared" si="58"/>
        <v>3.3758076538075934</v>
      </c>
      <c r="Z960" s="49"/>
      <c r="AA960" s="49"/>
      <c r="AB960" s="51"/>
      <c r="AE960" s="47">
        <v>42766</v>
      </c>
      <c r="AF960" s="48">
        <f t="shared" si="59"/>
        <v>2.3745760540334691</v>
      </c>
      <c r="AG960" s="49"/>
      <c r="AH960" s="49"/>
      <c r="AI960" s="51"/>
    </row>
    <row r="961" spans="1:35" x14ac:dyDescent="0.3">
      <c r="A961" s="20">
        <v>42761</v>
      </c>
      <c r="C961">
        <f>-(Historical_Simulation!B962-Historical_Simulation!B963)</f>
        <v>-1.5000000000000568E-2</v>
      </c>
      <c r="E961">
        <f>-(Historical_Simulation!C962-Historical_Simulation!C963)</f>
        <v>-2.6299000000000206</v>
      </c>
      <c r="G961">
        <f>-(Historical_Simulation!D962-Historical_Simulation!D963)</f>
        <v>-1.3000000000000114</v>
      </c>
      <c r="J961" s="23">
        <v>42765</v>
      </c>
      <c r="K961" s="24">
        <f t="shared" si="56"/>
        <v>2.9443410618668815</v>
      </c>
      <c r="L961" s="25"/>
      <c r="M961" s="25"/>
      <c r="N961" s="27"/>
      <c r="Q961" s="23">
        <v>42765</v>
      </c>
      <c r="R961" s="24">
        <f t="shared" si="57"/>
        <v>2.043406690873772</v>
      </c>
      <c r="S961" s="25"/>
      <c r="T961" s="25"/>
      <c r="U961" s="27"/>
      <c r="X961" s="47">
        <v>42765</v>
      </c>
      <c r="Y961" s="48">
        <f t="shared" si="58"/>
        <v>6.3554314784145403</v>
      </c>
      <c r="Z961" s="49"/>
      <c r="AA961" s="49"/>
      <c r="AB961" s="51"/>
      <c r="AE961" s="47">
        <v>42765</v>
      </c>
      <c r="AF961" s="48">
        <f t="shared" si="59"/>
        <v>4.4547884415551477</v>
      </c>
      <c r="AG961" s="49"/>
      <c r="AH961" s="49"/>
      <c r="AI961" s="51"/>
    </row>
    <row r="962" spans="1:35" x14ac:dyDescent="0.3">
      <c r="A962" s="20">
        <v>42760</v>
      </c>
      <c r="C962">
        <f>-(Historical_Simulation!B963-Historical_Simulation!B964)</f>
        <v>-0.47749999999999915</v>
      </c>
      <c r="E962">
        <f>-(Historical_Simulation!C963-Historical_Simulation!C964)</f>
        <v>-14.080100000000016</v>
      </c>
      <c r="G962">
        <f>-(Historical_Simulation!D963-Historical_Simulation!D964)</f>
        <v>-2.1099999999999852</v>
      </c>
      <c r="J962" s="23">
        <v>42762</v>
      </c>
      <c r="K962" s="24">
        <f t="shared" si="56"/>
        <v>1.8220131367881329</v>
      </c>
      <c r="L962" s="25"/>
      <c r="M962" s="25"/>
      <c r="N962" s="27"/>
      <c r="Q962" s="23">
        <v>42762</v>
      </c>
      <c r="R962" s="24">
        <f t="shared" si="57"/>
        <v>1.2481406265817079</v>
      </c>
      <c r="S962" s="25"/>
      <c r="T962" s="25"/>
      <c r="U962" s="27"/>
      <c r="X962" s="47">
        <v>42762</v>
      </c>
      <c r="Y962" s="48">
        <f t="shared" si="58"/>
        <v>3.3733459515577486</v>
      </c>
      <c r="Z962" s="49"/>
      <c r="AA962" s="49"/>
      <c r="AB962" s="51"/>
      <c r="AE962" s="47">
        <v>42762</v>
      </c>
      <c r="AF962" s="48">
        <f t="shared" si="59"/>
        <v>2.3509018178901062</v>
      </c>
      <c r="AG962" s="49"/>
      <c r="AH962" s="49"/>
      <c r="AI962" s="51"/>
    </row>
    <row r="963" spans="1:35" x14ac:dyDescent="0.3">
      <c r="A963" s="20">
        <v>42759</v>
      </c>
      <c r="C963">
        <f>-(Historical_Simulation!B964-Historical_Simulation!B965)</f>
        <v>2.7499999999999858E-2</v>
      </c>
      <c r="E963">
        <f>-(Historical_Simulation!C964-Historical_Simulation!C965)</f>
        <v>-4.5599999999999454</v>
      </c>
      <c r="G963">
        <f>-(Historical_Simulation!D964-Historical_Simulation!D965)</f>
        <v>-0.43999999999999773</v>
      </c>
      <c r="J963" s="23">
        <v>42761</v>
      </c>
      <c r="K963" s="24">
        <f t="shared" si="56"/>
        <v>-1.4255130680544286</v>
      </c>
      <c r="L963" s="25"/>
      <c r="M963" s="25"/>
      <c r="N963" s="27"/>
      <c r="Q963" s="23">
        <v>42761</v>
      </c>
      <c r="R963" s="24">
        <f t="shared" si="57"/>
        <v>-0.981857903987854</v>
      </c>
      <c r="S963" s="25"/>
      <c r="T963" s="25"/>
      <c r="U963" s="27"/>
      <c r="X963" s="47">
        <v>42761</v>
      </c>
      <c r="Y963" s="48">
        <f t="shared" si="58"/>
        <v>-7.2149370087166433</v>
      </c>
      <c r="Z963" s="49"/>
      <c r="AA963" s="49"/>
      <c r="AB963" s="51"/>
      <c r="AE963" s="47">
        <v>42761</v>
      </c>
      <c r="AF963" s="48">
        <f t="shared" si="59"/>
        <v>-5.0342885244627977</v>
      </c>
      <c r="AG963" s="49"/>
      <c r="AH963" s="49"/>
      <c r="AI963" s="51"/>
    </row>
    <row r="964" spans="1:35" x14ac:dyDescent="0.3">
      <c r="A964" s="20">
        <v>42758</v>
      </c>
      <c r="C964">
        <f>-(Historical_Simulation!B965-Historical_Simulation!B966)</f>
        <v>-1.9999999999999574E-2</v>
      </c>
      <c r="E964">
        <f>-(Historical_Simulation!C965-Historical_Simulation!C966)</f>
        <v>-9.5498000000000047</v>
      </c>
      <c r="G964">
        <f>-(Historical_Simulation!D965-Historical_Simulation!D966)</f>
        <v>-1.8900000000000006</v>
      </c>
      <c r="J964" s="23">
        <v>42760</v>
      </c>
      <c r="K964" s="24">
        <f t="shared" si="56"/>
        <v>-7.814929752387104</v>
      </c>
      <c r="L964" s="25"/>
      <c r="M964" s="25"/>
      <c r="N964" s="27"/>
      <c r="Q964" s="23">
        <v>42760</v>
      </c>
      <c r="R964" s="24">
        <f t="shared" si="57"/>
        <v>-5.5070542180523496</v>
      </c>
      <c r="S964" s="25"/>
      <c r="T964" s="25"/>
      <c r="U964" s="27"/>
      <c r="X964" s="47">
        <v>42760</v>
      </c>
      <c r="Y964" s="48">
        <f t="shared" si="58"/>
        <v>-9.6245016861709871</v>
      </c>
      <c r="Z964" s="49"/>
      <c r="AA964" s="49"/>
      <c r="AB964" s="51"/>
      <c r="AE964" s="47">
        <v>42760</v>
      </c>
      <c r="AF964" s="48">
        <f t="shared" si="59"/>
        <v>-6.8541447596773359</v>
      </c>
      <c r="AG964" s="49"/>
      <c r="AH964" s="49"/>
      <c r="AI964" s="51"/>
    </row>
    <row r="965" spans="1:35" x14ac:dyDescent="0.3">
      <c r="A965" s="20">
        <v>42755</v>
      </c>
      <c r="C965">
        <f>-(Historical_Simulation!B966-Historical_Simulation!B967)</f>
        <v>-5.4999999999999716E-2</v>
      </c>
      <c r="E965">
        <f>-(Historical_Simulation!C966-Historical_Simulation!C967)</f>
        <v>0.7098999999999478</v>
      </c>
      <c r="G965">
        <f>-(Historical_Simulation!D966-Historical_Simulation!D967)</f>
        <v>0.50999999999999091</v>
      </c>
      <c r="J965" s="23">
        <v>42759</v>
      </c>
      <c r="K965" s="24">
        <f t="shared" si="56"/>
        <v>-2.4470606714213021</v>
      </c>
      <c r="L965" s="25"/>
      <c r="M965" s="25"/>
      <c r="N965" s="27"/>
      <c r="Q965" s="23">
        <v>42759</v>
      </c>
      <c r="R965" s="24">
        <f t="shared" si="57"/>
        <v>-1.6687257197384953</v>
      </c>
      <c r="S965" s="25"/>
      <c r="T965" s="25"/>
      <c r="U965" s="27"/>
      <c r="X965" s="47">
        <v>42759</v>
      </c>
      <c r="Y965" s="48">
        <f t="shared" si="58"/>
        <v>-2.5919323358560198</v>
      </c>
      <c r="Z965" s="49"/>
      <c r="AA965" s="49"/>
      <c r="AB965" s="51"/>
      <c r="AE965" s="47">
        <v>42759</v>
      </c>
      <c r="AF965" s="48">
        <f t="shared" si="59"/>
        <v>-1.7985835682383864</v>
      </c>
      <c r="AG965" s="49"/>
      <c r="AH965" s="49"/>
      <c r="AI965" s="51"/>
    </row>
    <row r="966" spans="1:35" x14ac:dyDescent="0.3">
      <c r="A966" s="20">
        <v>42754</v>
      </c>
      <c r="C966">
        <f>-(Historical_Simulation!B967-Historical_Simulation!B968)</f>
        <v>5.2499999999998437E-2</v>
      </c>
      <c r="E966">
        <f>-(Historical_Simulation!C967-Historical_Simulation!C968)</f>
        <v>-1.5599999999999454</v>
      </c>
      <c r="G966">
        <f>-(Historical_Simulation!D967-Historical_Simulation!D968)</f>
        <v>0.37000000000000455</v>
      </c>
      <c r="J966" s="23">
        <v>42758</v>
      </c>
      <c r="K966" s="24">
        <f t="shared" ref="K966:K1029" si="60">C964*$K$3+E964*(1-$K$3)</f>
        <v>-5.1605053485582584</v>
      </c>
      <c r="L966" s="25"/>
      <c r="M966" s="25"/>
      <c r="N966" s="27"/>
      <c r="Q966" s="23">
        <v>42758</v>
      </c>
      <c r="R966" s="24">
        <f t="shared" si="57"/>
        <v>-3.5436385534526673</v>
      </c>
      <c r="S966" s="25"/>
      <c r="T966" s="25"/>
      <c r="U966" s="27"/>
      <c r="X966" s="47">
        <v>42758</v>
      </c>
      <c r="Y966" s="48">
        <f t="shared" si="58"/>
        <v>-10.497729343424135</v>
      </c>
      <c r="Z966" s="49"/>
      <c r="AA966" s="49"/>
      <c r="AB966" s="51"/>
      <c r="AE966" s="47">
        <v>42758</v>
      </c>
      <c r="AF966" s="48">
        <f t="shared" si="59"/>
        <v>-7.3243342729535863</v>
      </c>
      <c r="AG966" s="49"/>
      <c r="AH966" s="49"/>
      <c r="AI966" s="51"/>
    </row>
    <row r="967" spans="1:35" x14ac:dyDescent="0.3">
      <c r="A967" s="20">
        <v>42753</v>
      </c>
      <c r="C967">
        <f>-(Historical_Simulation!B968-Historical_Simulation!B969)</f>
        <v>2.500000000001279E-3</v>
      </c>
      <c r="E967">
        <f>-(Historical_Simulation!C968-Historical_Simulation!C969)</f>
        <v>2.2400000000000091</v>
      </c>
      <c r="G967">
        <f>-(Historical_Simulation!D968-Historical_Simulation!D969)</f>
        <v>-4.9999999999997158E-2</v>
      </c>
      <c r="J967" s="23">
        <v>42755</v>
      </c>
      <c r="K967" s="24">
        <f t="shared" si="60"/>
        <v>0.35759759293080062</v>
      </c>
      <c r="L967" s="25"/>
      <c r="M967" s="25"/>
      <c r="N967" s="27"/>
      <c r="Q967" s="23">
        <v>42755</v>
      </c>
      <c r="R967" s="24">
        <f t="shared" ref="R967:R1030" si="61">C965*$R$3+E965*(1-$R$3)</f>
        <v>0.22782137395703597</v>
      </c>
      <c r="S967" s="25"/>
      <c r="T967" s="25"/>
      <c r="U967" s="27"/>
      <c r="X967" s="47">
        <v>42755</v>
      </c>
      <c r="Y967" s="48">
        <f t="shared" ref="Y967:Y1030" si="62">C965*$Y$3+G965*(1-$Y$3)</f>
        <v>3.1107310583072385</v>
      </c>
      <c r="Z967" s="49"/>
      <c r="AA967" s="49"/>
      <c r="AB967" s="51"/>
      <c r="AE967" s="47">
        <v>42755</v>
      </c>
      <c r="AF967" s="48">
        <f t="shared" ref="AF967:AF1030" si="63">C965*$AF$3+G965*(1-$AF$3)</f>
        <v>2.1519245263201636</v>
      </c>
      <c r="AG967" s="49"/>
      <c r="AH967" s="49"/>
      <c r="AI967" s="51"/>
    </row>
    <row r="968" spans="1:35" x14ac:dyDescent="0.3">
      <c r="A968" s="20">
        <v>42752</v>
      </c>
      <c r="C968">
        <f>-(Historical_Simulation!B969-Historical_Simulation!B970)</f>
        <v>-0.23999999999999844</v>
      </c>
      <c r="E968">
        <f>-(Historical_Simulation!C969-Historical_Simulation!C970)</f>
        <v>7.4198999999999842</v>
      </c>
      <c r="G968">
        <f>-(Historical_Simulation!D969-Historical_Simulation!D970)</f>
        <v>0.46999999999999886</v>
      </c>
      <c r="J968" s="23">
        <v>42754</v>
      </c>
      <c r="K968" s="24">
        <f t="shared" si="60"/>
        <v>-0.81730470466850469</v>
      </c>
      <c r="L968" s="25"/>
      <c r="M968" s="25"/>
      <c r="N968" s="27"/>
      <c r="Q968" s="23">
        <v>42754</v>
      </c>
      <c r="R968" s="24">
        <f t="shared" si="61"/>
        <v>-0.54372102955384582</v>
      </c>
      <c r="S968" s="25"/>
      <c r="T968" s="25"/>
      <c r="U968" s="27"/>
      <c r="X968" s="47">
        <v>42754</v>
      </c>
      <c r="Y968" s="48">
        <f t="shared" si="62"/>
        <v>1.8314727628541299</v>
      </c>
      <c r="Z968" s="49"/>
      <c r="AA968" s="49"/>
      <c r="AB968" s="51"/>
      <c r="AE968" s="47">
        <v>42754</v>
      </c>
      <c r="AF968" s="48">
        <f t="shared" si="63"/>
        <v>1.2926744019587189</v>
      </c>
      <c r="AG968" s="49"/>
      <c r="AH968" s="49"/>
      <c r="AI968" s="51"/>
    </row>
    <row r="969" spans="1:35" x14ac:dyDescent="0.3">
      <c r="A969" s="20">
        <v>42751</v>
      </c>
      <c r="C969">
        <f>-(Historical_Simulation!B970-Historical_Simulation!B971)</f>
        <v>0</v>
      </c>
      <c r="E969">
        <f>-(Historical_Simulation!C970-Historical_Simulation!C971)</f>
        <v>0</v>
      </c>
      <c r="G969">
        <f>-(Historical_Simulation!D970-Historical_Simulation!D971)</f>
        <v>0</v>
      </c>
      <c r="J969" s="23">
        <v>42753</v>
      </c>
      <c r="K969" s="24">
        <f t="shared" si="60"/>
        <v>1.2094383111292106</v>
      </c>
      <c r="L969" s="25"/>
      <c r="M969" s="25"/>
      <c r="N969" s="27"/>
      <c r="Q969" s="23">
        <v>42753</v>
      </c>
      <c r="R969" s="24">
        <f t="shared" si="61"/>
        <v>0.82981445186156888</v>
      </c>
      <c r="S969" s="25"/>
      <c r="T969" s="25"/>
      <c r="U969" s="27"/>
      <c r="X969" s="47">
        <v>42753</v>
      </c>
      <c r="Y969" s="48">
        <f t="shared" si="62"/>
        <v>-0.29166085055066743</v>
      </c>
      <c r="Z969" s="49"/>
      <c r="AA969" s="49"/>
      <c r="AB969" s="51"/>
      <c r="AE969" s="47">
        <v>42753</v>
      </c>
      <c r="AF969" s="48">
        <f t="shared" si="63"/>
        <v>-0.20256820819788729</v>
      </c>
      <c r="AG969" s="49"/>
      <c r="AH969" s="49"/>
      <c r="AI969" s="51"/>
    </row>
    <row r="970" spans="1:35" x14ac:dyDescent="0.3">
      <c r="A970" s="20">
        <v>42748</v>
      </c>
      <c r="C970">
        <f>-(Historical_Simulation!B971-Historical_Simulation!B972)</f>
        <v>5.2499999999998437E-2</v>
      </c>
      <c r="E970">
        <f>-(Historical_Simulation!C971-Historical_Simulation!C972)</f>
        <v>-3.5</v>
      </c>
      <c r="G970">
        <f>-(Historical_Simulation!D971-Historical_Simulation!D972)</f>
        <v>-1.7199999999999989</v>
      </c>
      <c r="J970" s="23">
        <v>42752</v>
      </c>
      <c r="K970" s="24">
        <f t="shared" si="60"/>
        <v>3.8918555394049523</v>
      </c>
      <c r="L970" s="25"/>
      <c r="M970" s="25"/>
      <c r="N970" s="27"/>
      <c r="Q970" s="23">
        <v>42752</v>
      </c>
      <c r="R970" s="24">
        <f t="shared" si="61"/>
        <v>2.5922440088555927</v>
      </c>
      <c r="S970" s="25"/>
      <c r="T970" s="25"/>
      <c r="U970" s="27"/>
      <c r="X970" s="47">
        <v>42752</v>
      </c>
      <c r="Y970" s="48">
        <f t="shared" si="62"/>
        <v>3.7381753122091483</v>
      </c>
      <c r="Z970" s="49"/>
      <c r="AA970" s="49"/>
      <c r="AB970" s="51"/>
      <c r="AE970" s="47">
        <v>42752</v>
      </c>
      <c r="AF970" s="48">
        <f t="shared" si="63"/>
        <v>2.5333033870572335</v>
      </c>
      <c r="AG970" s="49"/>
      <c r="AH970" s="49"/>
      <c r="AI970" s="51"/>
    </row>
    <row r="971" spans="1:35" x14ac:dyDescent="0.3">
      <c r="A971" s="20">
        <v>42747</v>
      </c>
      <c r="C971">
        <f>-(Historical_Simulation!B972-Historical_Simulation!B973)</f>
        <v>0.125</v>
      </c>
      <c r="E971">
        <f>-(Historical_Simulation!C972-Historical_Simulation!C973)</f>
        <v>-14.61990000000003</v>
      </c>
      <c r="G971">
        <f>-(Historical_Simulation!D972-Historical_Simulation!D973)</f>
        <v>-0.53000000000000114</v>
      </c>
      <c r="J971" s="23">
        <v>42751</v>
      </c>
      <c r="K971" s="24">
        <f t="shared" si="60"/>
        <v>0</v>
      </c>
      <c r="L971" s="25"/>
      <c r="M971" s="25"/>
      <c r="N971" s="27"/>
      <c r="Q971" s="23">
        <v>42751</v>
      </c>
      <c r="R971" s="24">
        <f t="shared" si="61"/>
        <v>0</v>
      </c>
      <c r="S971" s="25"/>
      <c r="T971" s="25"/>
      <c r="U971" s="27"/>
      <c r="X971" s="47">
        <v>42751</v>
      </c>
      <c r="Y971" s="48">
        <f t="shared" si="62"/>
        <v>0</v>
      </c>
      <c r="Z971" s="49"/>
      <c r="AA971" s="49"/>
      <c r="AB971" s="51"/>
      <c r="AE971" s="47">
        <v>42751</v>
      </c>
      <c r="AF971" s="48">
        <f t="shared" si="63"/>
        <v>0</v>
      </c>
      <c r="AG971" s="49"/>
      <c r="AH971" s="49"/>
      <c r="AI971" s="51"/>
    </row>
    <row r="972" spans="1:35" x14ac:dyDescent="0.3">
      <c r="A972" s="20">
        <v>42746</v>
      </c>
      <c r="C972">
        <f>-(Historical_Simulation!B973-Historical_Simulation!B974)</f>
        <v>-0.16000000000000014</v>
      </c>
      <c r="E972">
        <f>-(Historical_Simulation!C973-Historical_Simulation!C974)</f>
        <v>-3.1200999999999794</v>
      </c>
      <c r="G972">
        <f>-(Historical_Simulation!D973-Historical_Simulation!D974)</f>
        <v>-1.7400000000000091</v>
      </c>
      <c r="J972" s="23">
        <v>42748</v>
      </c>
      <c r="K972" s="24">
        <f t="shared" si="60"/>
        <v>-1.8637674191224596</v>
      </c>
      <c r="L972" s="25"/>
      <c r="M972" s="25"/>
      <c r="N972" s="27"/>
      <c r="Q972" s="23">
        <v>42748</v>
      </c>
      <c r="R972" s="24">
        <f t="shared" si="61"/>
        <v>-1.2610350123969658</v>
      </c>
      <c r="S972" s="25"/>
      <c r="T972" s="25"/>
      <c r="U972" s="27"/>
      <c r="X972" s="47">
        <v>42748</v>
      </c>
      <c r="Y972" s="48">
        <f t="shared" si="62"/>
        <v>-9.8789306209728593</v>
      </c>
      <c r="Z972" s="49"/>
      <c r="AA972" s="49"/>
      <c r="AB972" s="51"/>
      <c r="AE972" s="47">
        <v>42748</v>
      </c>
      <c r="AF972" s="48">
        <f t="shared" si="63"/>
        <v>-6.870993314871769</v>
      </c>
      <c r="AG972" s="49"/>
      <c r="AH972" s="49"/>
      <c r="AI972" s="51"/>
    </row>
    <row r="973" spans="1:35" x14ac:dyDescent="0.3">
      <c r="A973" s="20">
        <v>42745</v>
      </c>
      <c r="C973">
        <f>-(Historical_Simulation!B974-Historical_Simulation!B975)</f>
        <v>-3.0000000000001137E-2</v>
      </c>
      <c r="E973">
        <f>-(Historical_Simulation!C974-Historical_Simulation!C975)</f>
        <v>1.0199999999999818</v>
      </c>
      <c r="G973">
        <f>-(Historical_Simulation!D974-Historical_Simulation!D975)</f>
        <v>0.55000000000001137</v>
      </c>
      <c r="J973" s="23">
        <v>42747</v>
      </c>
      <c r="K973" s="24">
        <f t="shared" si="60"/>
        <v>-7.8286021022431527</v>
      </c>
      <c r="L973" s="25"/>
      <c r="M973" s="25"/>
      <c r="N973" s="27"/>
      <c r="Q973" s="23">
        <v>42747</v>
      </c>
      <c r="R973" s="24">
        <f t="shared" si="61"/>
        <v>-5.3269190441356908</v>
      </c>
      <c r="S973" s="25"/>
      <c r="T973" s="25"/>
      <c r="U973" s="27"/>
      <c r="X973" s="47">
        <v>42747</v>
      </c>
      <c r="Y973" s="48">
        <f t="shared" si="62"/>
        <v>-3.5450068021084586</v>
      </c>
      <c r="Z973" s="49"/>
      <c r="AA973" s="49"/>
      <c r="AB973" s="51"/>
      <c r="AE973" s="47">
        <v>42747</v>
      </c>
      <c r="AF973" s="48">
        <f t="shared" si="63"/>
        <v>-2.433470026088024</v>
      </c>
      <c r="AG973" s="49"/>
      <c r="AH973" s="49"/>
      <c r="AI973" s="51"/>
    </row>
    <row r="974" spans="1:35" x14ac:dyDescent="0.3">
      <c r="A974" s="20">
        <v>42744</v>
      </c>
      <c r="C974">
        <f>-(Historical_Simulation!B975-Historical_Simulation!B976)</f>
        <v>-0.26999999999999957</v>
      </c>
      <c r="E974">
        <f>-(Historical_Simulation!C975-Historical_Simulation!C976)</f>
        <v>-0.92989999999997508</v>
      </c>
      <c r="G974">
        <f>-(Historical_Simulation!D975-Historical_Simulation!D976)</f>
        <v>-1.4900000000000091</v>
      </c>
      <c r="J974" s="23">
        <v>42746</v>
      </c>
      <c r="K974" s="24">
        <f t="shared" si="60"/>
        <v>-1.7567187015747645</v>
      </c>
      <c r="L974" s="25"/>
      <c r="M974" s="25"/>
      <c r="N974" s="27"/>
      <c r="Q974" s="23">
        <v>42746</v>
      </c>
      <c r="R974" s="24">
        <f t="shared" si="61"/>
        <v>-1.2544954229968273</v>
      </c>
      <c r="S974" s="25"/>
      <c r="T974" s="25"/>
      <c r="U974" s="27"/>
      <c r="X974" s="47">
        <v>42746</v>
      </c>
      <c r="Y974" s="48">
        <f t="shared" si="62"/>
        <v>-9.0128408356204393</v>
      </c>
      <c r="Z974" s="49"/>
      <c r="AA974" s="49"/>
      <c r="AB974" s="51"/>
      <c r="AE974" s="47">
        <v>42746</v>
      </c>
      <c r="AF974" s="48">
        <f t="shared" si="63"/>
        <v>-6.3315765514795324</v>
      </c>
      <c r="AG974" s="49"/>
      <c r="AH974" s="49"/>
      <c r="AI974" s="51"/>
    </row>
    <row r="975" spans="1:35" x14ac:dyDescent="0.3">
      <c r="A975" s="20">
        <v>42741</v>
      </c>
      <c r="C975">
        <f>-(Historical_Simulation!B976-Historical_Simulation!B977)</f>
        <v>-0.32499999999999929</v>
      </c>
      <c r="E975">
        <f>-(Historical_Simulation!C976-Historical_Simulation!C977)</f>
        <v>-15.539999999999964</v>
      </c>
      <c r="G975">
        <f>-(Historical_Simulation!D976-Historical_Simulation!D977)</f>
        <v>-2.7399999999999949</v>
      </c>
      <c r="J975" s="23">
        <v>42745</v>
      </c>
      <c r="K975" s="24">
        <f t="shared" si="60"/>
        <v>0.53638445885391828</v>
      </c>
      <c r="L975" s="25"/>
      <c r="M975" s="25"/>
      <c r="N975" s="27"/>
      <c r="Q975" s="23">
        <v>42745</v>
      </c>
      <c r="R975" s="24">
        <f t="shared" si="61"/>
        <v>0.35823694947692797</v>
      </c>
      <c r="S975" s="25"/>
      <c r="T975" s="25"/>
      <c r="U975" s="27"/>
      <c r="X975" s="47">
        <v>42745</v>
      </c>
      <c r="Y975" s="48">
        <f t="shared" si="62"/>
        <v>3.2197770156075536</v>
      </c>
      <c r="Z975" s="49"/>
      <c r="AA975" s="49"/>
      <c r="AB975" s="51"/>
      <c r="AE975" s="47">
        <v>42745</v>
      </c>
      <c r="AF975" s="48">
        <f t="shared" si="63"/>
        <v>2.2355154429482176</v>
      </c>
      <c r="AG975" s="49"/>
      <c r="AH975" s="49"/>
      <c r="AI975" s="51"/>
    </row>
    <row r="976" spans="1:35" x14ac:dyDescent="0.3">
      <c r="A976" s="20">
        <v>42740</v>
      </c>
      <c r="C976">
        <f>-(Historical_Simulation!B977-Historical_Simulation!B978)</f>
        <v>-0.14750000000000085</v>
      </c>
      <c r="E976">
        <f>-(Historical_Simulation!C977-Historical_Simulation!C978)</f>
        <v>-23.27010000000007</v>
      </c>
      <c r="G976">
        <f>-(Historical_Simulation!D977-Historical_Simulation!D978)</f>
        <v>-1.980000000000004</v>
      </c>
      <c r="J976" s="23">
        <v>42744</v>
      </c>
      <c r="K976" s="24">
        <f t="shared" si="60"/>
        <v>-0.6259591470454221</v>
      </c>
      <c r="L976" s="25"/>
      <c r="M976" s="25"/>
      <c r="N976" s="27"/>
      <c r="Q976" s="23">
        <v>42744</v>
      </c>
      <c r="R976" s="24">
        <f t="shared" si="61"/>
        <v>-0.51399767900935212</v>
      </c>
      <c r="S976" s="25"/>
      <c r="T976" s="25"/>
      <c r="U976" s="27"/>
      <c r="X976" s="47">
        <v>42744</v>
      </c>
      <c r="Y976" s="48">
        <f t="shared" si="62"/>
        <v>-7.1057378604157959</v>
      </c>
      <c r="Z976" s="49"/>
      <c r="AA976" s="49"/>
      <c r="AB976" s="51"/>
      <c r="AE976" s="47">
        <v>42744</v>
      </c>
      <c r="AF976" s="48">
        <f t="shared" si="63"/>
        <v>-5.0353945524082562</v>
      </c>
      <c r="AG976" s="49"/>
      <c r="AH976" s="49"/>
      <c r="AI976" s="51"/>
    </row>
    <row r="977" spans="1:35" x14ac:dyDescent="0.3">
      <c r="A977" s="20">
        <v>42739</v>
      </c>
      <c r="C977">
        <f>-(Historical_Simulation!B978-Historical_Simulation!B979)</f>
        <v>3.2500000000002416E-2</v>
      </c>
      <c r="E977">
        <f>-(Historical_Simulation!C978-Historical_Simulation!C979)</f>
        <v>-3.5099999999999909</v>
      </c>
      <c r="G977">
        <f>-(Historical_Simulation!D978-Historical_Simulation!D979)</f>
        <v>-1.8299999999999983</v>
      </c>
      <c r="J977" s="23">
        <v>42741</v>
      </c>
      <c r="K977" s="24">
        <f t="shared" si="60"/>
        <v>-8.5321805156785739</v>
      </c>
      <c r="L977" s="25"/>
      <c r="M977" s="25"/>
      <c r="N977" s="27"/>
      <c r="Q977" s="23">
        <v>42741</v>
      </c>
      <c r="R977" s="24">
        <f t="shared" si="61"/>
        <v>-5.9507382726586266</v>
      </c>
      <c r="S977" s="25"/>
      <c r="T977" s="25"/>
      <c r="U977" s="27"/>
      <c r="X977" s="47">
        <v>42741</v>
      </c>
      <c r="Y977" s="48">
        <f t="shared" si="62"/>
        <v>-13.856399125331139</v>
      </c>
      <c r="Z977" s="49"/>
      <c r="AA977" s="49"/>
      <c r="AB977" s="51"/>
      <c r="AE977" s="47">
        <v>42741</v>
      </c>
      <c r="AF977" s="48">
        <f t="shared" si="63"/>
        <v>-9.7581375771031365</v>
      </c>
      <c r="AG977" s="49"/>
      <c r="AH977" s="49"/>
      <c r="AI977" s="51"/>
    </row>
    <row r="978" spans="1:35" x14ac:dyDescent="0.3">
      <c r="A978" s="20">
        <v>42738</v>
      </c>
      <c r="C978">
        <f>-(Historical_Simulation!B979-Historical_Simulation!B980)</f>
        <v>-8.2500000000003126E-2</v>
      </c>
      <c r="E978">
        <f>-(Historical_Simulation!C979-Historical_Simulation!C980)</f>
        <v>-3.7998000000000047</v>
      </c>
      <c r="G978">
        <f>-(Historical_Simulation!D979-Historical_Simulation!D980)</f>
        <v>-1.8100000000000023</v>
      </c>
      <c r="J978" s="23">
        <v>42740</v>
      </c>
      <c r="K978" s="24">
        <f t="shared" si="60"/>
        <v>-12.620148845996086</v>
      </c>
      <c r="L978" s="25"/>
      <c r="M978" s="25"/>
      <c r="N978" s="27"/>
      <c r="Q978" s="23">
        <v>42740</v>
      </c>
      <c r="R978" s="24">
        <f t="shared" si="61"/>
        <v>-8.6970692266432508</v>
      </c>
      <c r="S978" s="25"/>
      <c r="T978" s="25"/>
      <c r="U978" s="27"/>
      <c r="X978" s="47">
        <v>42740</v>
      </c>
      <c r="Y978" s="48">
        <f t="shared" si="62"/>
        <v>-10.415114450173665</v>
      </c>
      <c r="Z978" s="49"/>
      <c r="AA978" s="49"/>
      <c r="AB978" s="51"/>
      <c r="AE978" s="47">
        <v>42740</v>
      </c>
      <c r="AF978" s="48">
        <f t="shared" si="63"/>
        <v>-7.3053569813836701</v>
      </c>
      <c r="AG978" s="49"/>
      <c r="AH978" s="49"/>
      <c r="AI978" s="51"/>
    </row>
    <row r="979" spans="1:35" x14ac:dyDescent="0.3">
      <c r="A979" s="20">
        <v>42737</v>
      </c>
      <c r="C979">
        <f>-(Historical_Simulation!B980-Historical_Simulation!B981)</f>
        <v>0</v>
      </c>
      <c r="E979">
        <f>-(Historical_Simulation!C980-Historical_Simulation!C981)</f>
        <v>0</v>
      </c>
      <c r="G979">
        <f>-(Historical_Simulation!D980-Historical_Simulation!D981)</f>
        <v>0</v>
      </c>
      <c r="J979" s="23">
        <v>42739</v>
      </c>
      <c r="K979" s="24">
        <f t="shared" si="60"/>
        <v>-1.8783732814190819</v>
      </c>
      <c r="L979" s="25"/>
      <c r="M979" s="25"/>
      <c r="N979" s="27"/>
      <c r="Q979" s="23">
        <v>42739</v>
      </c>
      <c r="R979" s="24">
        <f t="shared" si="61"/>
        <v>-1.2773375176400368</v>
      </c>
      <c r="S979" s="25"/>
      <c r="T979" s="25"/>
      <c r="U979" s="27"/>
      <c r="X979" s="47">
        <v>42739</v>
      </c>
      <c r="Y979" s="48">
        <f t="shared" si="62"/>
        <v>-10.403206364774036</v>
      </c>
      <c r="Z979" s="49"/>
      <c r="AA979" s="49"/>
      <c r="AB979" s="51"/>
      <c r="AE979" s="47">
        <v>42739</v>
      </c>
      <c r="AF979" s="48">
        <f t="shared" si="63"/>
        <v>-7.2425388146395973</v>
      </c>
      <c r="AG979" s="49"/>
      <c r="AH979" s="49"/>
      <c r="AI979" s="51"/>
    </row>
    <row r="980" spans="1:35" x14ac:dyDescent="0.3">
      <c r="A980" s="20">
        <v>42734</v>
      </c>
      <c r="C980">
        <f>-(Historical_Simulation!B981-Historical_Simulation!B982)</f>
        <v>0.2275000000000027</v>
      </c>
      <c r="E980">
        <f>-(Historical_Simulation!C981-Historical_Simulation!C982)</f>
        <v>15.279800000000023</v>
      </c>
      <c r="G980">
        <f>-(Historical_Simulation!D981-Historical_Simulation!D982)</f>
        <v>1.2999999999999972</v>
      </c>
      <c r="J980" s="23">
        <v>42738</v>
      </c>
      <c r="K980" s="24">
        <f t="shared" si="60"/>
        <v>-2.0876628084740125</v>
      </c>
      <c r="L980" s="25"/>
      <c r="M980" s="25"/>
      <c r="N980" s="27"/>
      <c r="Q980" s="23">
        <v>42738</v>
      </c>
      <c r="R980" s="24">
        <f t="shared" si="61"/>
        <v>-1.4569697259910628</v>
      </c>
      <c r="S980" s="25"/>
      <c r="T980" s="25"/>
      <c r="U980" s="27"/>
      <c r="X980" s="47">
        <v>42738</v>
      </c>
      <c r="Y980" s="48">
        <f t="shared" si="62"/>
        <v>-9.761792749072292</v>
      </c>
      <c r="Z980" s="49"/>
      <c r="AA980" s="49"/>
      <c r="AB980" s="51"/>
      <c r="AE980" s="47">
        <v>42738</v>
      </c>
      <c r="AF980" s="48">
        <f t="shared" si="63"/>
        <v>-6.8302205649878678</v>
      </c>
      <c r="AG980" s="49"/>
      <c r="AH980" s="49"/>
      <c r="AI980" s="51"/>
    </row>
    <row r="981" spans="1:35" x14ac:dyDescent="0.3">
      <c r="A981" s="20">
        <v>42733</v>
      </c>
      <c r="C981">
        <f>-(Historical_Simulation!B982-Historical_Simulation!B983)</f>
        <v>7.5000000000002842E-3</v>
      </c>
      <c r="E981">
        <f>-(Historical_Simulation!C982-Historical_Simulation!C983)</f>
        <v>6.9800000000000182</v>
      </c>
      <c r="G981">
        <f>-(Historical_Simulation!D982-Historical_Simulation!D983)</f>
        <v>0.57000000000000739</v>
      </c>
      <c r="J981" s="23">
        <v>42737</v>
      </c>
      <c r="K981" s="24">
        <f t="shared" si="60"/>
        <v>0</v>
      </c>
      <c r="L981" s="25"/>
      <c r="M981" s="25"/>
      <c r="N981" s="27"/>
      <c r="Q981" s="23">
        <v>42737</v>
      </c>
      <c r="R981" s="24">
        <f t="shared" si="61"/>
        <v>0</v>
      </c>
      <c r="S981" s="25"/>
      <c r="T981" s="25"/>
      <c r="U981" s="27"/>
      <c r="X981" s="47">
        <v>42737</v>
      </c>
      <c r="Y981" s="48">
        <f t="shared" si="62"/>
        <v>0</v>
      </c>
      <c r="Z981" s="49"/>
      <c r="AA981" s="49"/>
      <c r="AB981" s="51"/>
      <c r="AE981" s="47">
        <v>42737</v>
      </c>
      <c r="AF981" s="48">
        <f t="shared" si="63"/>
        <v>0</v>
      </c>
      <c r="AG981" s="49"/>
      <c r="AH981" s="49"/>
      <c r="AI981" s="51"/>
    </row>
    <row r="982" spans="1:35" x14ac:dyDescent="0.3">
      <c r="A982" s="20">
        <v>42732</v>
      </c>
      <c r="C982">
        <f>-(Historical_Simulation!B983-Historical_Simulation!B984)</f>
        <v>0.125</v>
      </c>
      <c r="E982">
        <f>-(Historical_Simulation!C983-Historical_Simulation!C984)</f>
        <v>-0.73000000000001819</v>
      </c>
      <c r="G982">
        <f>-(Historical_Simulation!D983-Historical_Simulation!D984)</f>
        <v>1.0900000000000034</v>
      </c>
      <c r="J982" s="23">
        <v>42734</v>
      </c>
      <c r="K982" s="24">
        <f t="shared" si="60"/>
        <v>8.3469178952447667</v>
      </c>
      <c r="L982" s="25"/>
      <c r="M982" s="25"/>
      <c r="N982" s="27"/>
      <c r="Q982" s="23">
        <v>42734</v>
      </c>
      <c r="R982" s="24">
        <f t="shared" si="61"/>
        <v>5.7930800329635099</v>
      </c>
      <c r="S982" s="25"/>
      <c r="T982" s="25"/>
      <c r="U982" s="27"/>
      <c r="X982" s="47">
        <v>42734</v>
      </c>
      <c r="Y982" s="48">
        <f t="shared" si="62"/>
        <v>6.2367859469638116</v>
      </c>
      <c r="Z982" s="49"/>
      <c r="AA982" s="49"/>
      <c r="AB982" s="51"/>
      <c r="AE982" s="47">
        <v>42734</v>
      </c>
      <c r="AF982" s="48">
        <f t="shared" si="63"/>
        <v>4.41675053889983</v>
      </c>
      <c r="AG982" s="49"/>
      <c r="AH982" s="49"/>
      <c r="AI982" s="51"/>
    </row>
    <row r="983" spans="1:35" x14ac:dyDescent="0.3">
      <c r="A983" s="20">
        <v>42731</v>
      </c>
      <c r="C983">
        <f>-(Historical_Simulation!B984-Historical_Simulation!B985)</f>
        <v>-0.18500000000000227</v>
      </c>
      <c r="E983">
        <f>-(Historical_Simulation!C984-Historical_Simulation!C985)</f>
        <v>-10.809799999999996</v>
      </c>
      <c r="G983">
        <f>-(Historical_Simulation!D984-Historical_Simulation!D985)</f>
        <v>-0.74000000000000909</v>
      </c>
      <c r="J983" s="23">
        <v>42733</v>
      </c>
      <c r="K983" s="24">
        <f t="shared" si="60"/>
        <v>3.7685625136752652</v>
      </c>
      <c r="L983" s="25"/>
      <c r="M983" s="25"/>
      <c r="N983" s="27"/>
      <c r="Q983" s="23">
        <v>42733</v>
      </c>
      <c r="R983" s="24">
        <f t="shared" si="61"/>
        <v>2.5855782192647037</v>
      </c>
      <c r="S983" s="25"/>
      <c r="T983" s="25"/>
      <c r="U983" s="27"/>
      <c r="X983" s="47">
        <v>42733</v>
      </c>
      <c r="Y983" s="48">
        <f t="shared" si="62"/>
        <v>3.1592233987572986</v>
      </c>
      <c r="Z983" s="49"/>
      <c r="AA983" s="49"/>
      <c r="AB983" s="51"/>
      <c r="AE983" s="47">
        <v>42733</v>
      </c>
      <c r="AF983" s="48">
        <f t="shared" si="63"/>
        <v>2.2046593735488997</v>
      </c>
      <c r="AG983" s="49"/>
      <c r="AH983" s="49"/>
      <c r="AI983" s="51"/>
    </row>
    <row r="984" spans="1:35" x14ac:dyDescent="0.3">
      <c r="A984" s="20">
        <v>42730</v>
      </c>
      <c r="C984">
        <f>-(Historical_Simulation!B985-Historical_Simulation!B986)</f>
        <v>0</v>
      </c>
      <c r="E984">
        <f>-(Historical_Simulation!C985-Historical_Simulation!C986)</f>
        <v>0</v>
      </c>
      <c r="G984">
        <f>-(Historical_Simulation!D985-Historical_Simulation!D986)</f>
        <v>0</v>
      </c>
      <c r="J984" s="23">
        <v>42732</v>
      </c>
      <c r="K984" s="24">
        <f t="shared" si="60"/>
        <v>-0.33619877363820894</v>
      </c>
      <c r="L984" s="25"/>
      <c r="M984" s="25"/>
      <c r="N984" s="27"/>
      <c r="Q984" s="23">
        <v>42732</v>
      </c>
      <c r="R984" s="24">
        <f t="shared" si="61"/>
        <v>-0.19113580171693983</v>
      </c>
      <c r="S984" s="25"/>
      <c r="T984" s="25"/>
      <c r="U984" s="27"/>
      <c r="X984" s="47">
        <v>42732</v>
      </c>
      <c r="Y984" s="48">
        <f t="shared" si="62"/>
        <v>5.5319565863124716</v>
      </c>
      <c r="Z984" s="49"/>
      <c r="AA984" s="49"/>
      <c r="AB984" s="51"/>
      <c r="AE984" s="47">
        <v>42732</v>
      </c>
      <c r="AF984" s="48">
        <f t="shared" si="63"/>
        <v>3.8943489697327447</v>
      </c>
      <c r="AG984" s="49"/>
      <c r="AH984" s="49"/>
      <c r="AI984" s="51"/>
    </row>
    <row r="985" spans="1:35" x14ac:dyDescent="0.3">
      <c r="A985" s="20">
        <v>42727</v>
      </c>
      <c r="C985">
        <f>-(Historical_Simulation!B986-Historical_Simulation!B987)</f>
        <v>-5.7499999999997442E-2</v>
      </c>
      <c r="E985">
        <f>-(Historical_Simulation!C986-Historical_Simulation!C987)</f>
        <v>5.75</v>
      </c>
      <c r="G985">
        <f>-(Historical_Simulation!D986-Historical_Simulation!D987)</f>
        <v>0.13000000000000966</v>
      </c>
      <c r="J985" s="23">
        <v>42731</v>
      </c>
      <c r="K985" s="24">
        <f t="shared" si="60"/>
        <v>-5.9161634270773522</v>
      </c>
      <c r="L985" s="25"/>
      <c r="M985" s="25"/>
      <c r="N985" s="27"/>
      <c r="Q985" s="23">
        <v>42731</v>
      </c>
      <c r="R985" s="24">
        <f t="shared" si="61"/>
        <v>-4.1135142293357552</v>
      </c>
      <c r="S985" s="25"/>
      <c r="T985" s="25"/>
      <c r="U985" s="27"/>
      <c r="X985" s="47">
        <v>42731</v>
      </c>
      <c r="Y985" s="48">
        <f t="shared" si="62"/>
        <v>-3.2947004201072025</v>
      </c>
      <c r="Z985" s="49"/>
      <c r="AA985" s="49"/>
      <c r="AB985" s="51"/>
      <c r="AE985" s="47">
        <v>42731</v>
      </c>
      <c r="AF985" s="48">
        <f t="shared" si="63"/>
        <v>-2.3528639152349156</v>
      </c>
      <c r="AG985" s="49"/>
      <c r="AH985" s="49"/>
      <c r="AI985" s="51"/>
    </row>
    <row r="986" spans="1:35" x14ac:dyDescent="0.3">
      <c r="A986" s="20">
        <v>42726</v>
      </c>
      <c r="C986">
        <f>-(Historical_Simulation!B987-Historical_Simulation!B988)</f>
        <v>0.19249999999999901</v>
      </c>
      <c r="E986">
        <f>-(Historical_Simulation!C987-Historical_Simulation!C988)</f>
        <v>4.2599999999999909</v>
      </c>
      <c r="G986">
        <f>-(Historical_Simulation!D987-Historical_Simulation!D988)</f>
        <v>1.6400000000000006</v>
      </c>
      <c r="J986" s="23">
        <v>42730</v>
      </c>
      <c r="K986" s="24">
        <f t="shared" si="60"/>
        <v>0</v>
      </c>
      <c r="L986" s="25"/>
      <c r="M986" s="25"/>
      <c r="N986" s="27"/>
      <c r="Q986" s="23">
        <v>42730</v>
      </c>
      <c r="R986" s="24">
        <f t="shared" si="61"/>
        <v>0</v>
      </c>
      <c r="S986" s="25"/>
      <c r="T986" s="25"/>
      <c r="U986" s="27"/>
      <c r="X986" s="47">
        <v>42730</v>
      </c>
      <c r="Y986" s="48">
        <f t="shared" si="62"/>
        <v>0</v>
      </c>
      <c r="Z986" s="49"/>
      <c r="AA986" s="49"/>
      <c r="AB986" s="51"/>
      <c r="AE986" s="47">
        <v>42730</v>
      </c>
      <c r="AF986" s="48">
        <f t="shared" si="63"/>
        <v>0</v>
      </c>
      <c r="AG986" s="49"/>
      <c r="AH986" s="49"/>
      <c r="AI986" s="51"/>
    </row>
    <row r="987" spans="1:35" x14ac:dyDescent="0.3">
      <c r="A987" s="20">
        <v>42725</v>
      </c>
      <c r="C987">
        <f>-(Historical_Simulation!B988-Historical_Simulation!B989)</f>
        <v>-2.7499999999999858E-2</v>
      </c>
      <c r="E987">
        <f>-(Historical_Simulation!C988-Historical_Simulation!C989)</f>
        <v>0.61990000000002965</v>
      </c>
      <c r="G987">
        <f>-(Historical_Simulation!D988-Historical_Simulation!D989)</f>
        <v>4.9999999999997158E-2</v>
      </c>
      <c r="J987" s="23">
        <v>42727</v>
      </c>
      <c r="K987" s="24">
        <f t="shared" si="60"/>
        <v>3.0751454712325637</v>
      </c>
      <c r="L987" s="25"/>
      <c r="M987" s="25"/>
      <c r="N987" s="27"/>
      <c r="Q987" s="23">
        <v>42727</v>
      </c>
      <c r="R987" s="24">
        <f t="shared" si="61"/>
        <v>2.0898200800831463</v>
      </c>
      <c r="S987" s="25"/>
      <c r="T987" s="25"/>
      <c r="U987" s="27"/>
      <c r="X987" s="47">
        <v>42727</v>
      </c>
      <c r="Y987" s="48">
        <f t="shared" si="62"/>
        <v>0.99307446625246198</v>
      </c>
      <c r="Z987" s="49"/>
      <c r="AA987" s="49"/>
      <c r="AB987" s="51"/>
      <c r="AE987" s="47">
        <v>42727</v>
      </c>
      <c r="AF987" s="48">
        <f t="shared" si="63"/>
        <v>0.67488645784965418</v>
      </c>
      <c r="AG987" s="49"/>
      <c r="AH987" s="49"/>
      <c r="AI987" s="51"/>
    </row>
    <row r="988" spans="1:35" x14ac:dyDescent="0.3">
      <c r="A988" s="20">
        <v>42724</v>
      </c>
      <c r="C988">
        <f>-(Historical_Simulation!B989-Historical_Simulation!B990)</f>
        <v>-7.7500000000000568E-2</v>
      </c>
      <c r="E988">
        <f>-(Historical_Simulation!C989-Historical_Simulation!C990)</f>
        <v>-5.2200000000000273</v>
      </c>
      <c r="G988">
        <f>-(Historical_Simulation!D989-Historical_Simulation!D990)</f>
        <v>0.14999999999999147</v>
      </c>
      <c r="J988" s="23">
        <v>42726</v>
      </c>
      <c r="K988" s="24">
        <f t="shared" si="60"/>
        <v>2.3865655108460468</v>
      </c>
      <c r="L988" s="25"/>
      <c r="M988" s="25"/>
      <c r="N988" s="27"/>
      <c r="Q988" s="23">
        <v>42726</v>
      </c>
      <c r="R988" s="24">
        <f t="shared" si="61"/>
        <v>1.6964559923785052</v>
      </c>
      <c r="S988" s="25"/>
      <c r="T988" s="25"/>
      <c r="U988" s="27"/>
      <c r="X988" s="47">
        <v>42726</v>
      </c>
      <c r="Y988" s="48">
        <f t="shared" si="62"/>
        <v>8.3029348794686868</v>
      </c>
      <c r="Z988" s="49"/>
      <c r="AA988" s="49"/>
      <c r="AB988" s="51"/>
      <c r="AE988" s="47">
        <v>42726</v>
      </c>
      <c r="AF988" s="48">
        <f t="shared" si="63"/>
        <v>5.8465234545991009</v>
      </c>
      <c r="AG988" s="49"/>
      <c r="AH988" s="49"/>
      <c r="AI988" s="51"/>
    </row>
    <row r="989" spans="1:35" x14ac:dyDescent="0.3">
      <c r="A989" s="20">
        <v>42723</v>
      </c>
      <c r="C989">
        <f>-(Historical_Simulation!B990-Historical_Simulation!B991)</f>
        <v>-0.16750000000000043</v>
      </c>
      <c r="E989">
        <f>-(Historical_Simulation!C990-Historical_Simulation!C991)</f>
        <v>-8.2300000000000182</v>
      </c>
      <c r="G989">
        <f>-(Historical_Simulation!D990-Historical_Simulation!D991)</f>
        <v>0.63000000000000966</v>
      </c>
      <c r="J989" s="23">
        <v>42725</v>
      </c>
      <c r="K989" s="24">
        <f t="shared" si="60"/>
        <v>0.32171647491623839</v>
      </c>
      <c r="L989" s="25"/>
      <c r="M989" s="25"/>
      <c r="N989" s="27"/>
      <c r="Q989" s="23">
        <v>42725</v>
      </c>
      <c r="R989" s="24">
        <f t="shared" si="61"/>
        <v>0.21187581056321866</v>
      </c>
      <c r="S989" s="25"/>
      <c r="T989" s="25"/>
      <c r="U989" s="27"/>
      <c r="X989" s="47">
        <v>42725</v>
      </c>
      <c r="Y989" s="48">
        <f t="shared" si="62"/>
        <v>0.4067374460509835</v>
      </c>
      <c r="Z989" s="49"/>
      <c r="AA989" s="49"/>
      <c r="AB989" s="51"/>
      <c r="AE989" s="47">
        <v>42725</v>
      </c>
      <c r="AF989" s="48">
        <f t="shared" si="63"/>
        <v>0.27521973591116633</v>
      </c>
      <c r="AG989" s="49"/>
      <c r="AH989" s="49"/>
      <c r="AI989" s="51"/>
    </row>
    <row r="990" spans="1:35" x14ac:dyDescent="0.3">
      <c r="A990" s="20">
        <v>42720</v>
      </c>
      <c r="C990">
        <f>-(Historical_Simulation!B991-Historical_Simulation!B992)</f>
        <v>-3.7500000000001421E-2</v>
      </c>
      <c r="E990">
        <f>-(Historical_Simulation!C991-Historical_Simulation!C992)</f>
        <v>3.2300000000000182</v>
      </c>
      <c r="G990">
        <f>-(Historical_Simulation!D991-Historical_Simulation!D992)</f>
        <v>0.69999999999998863</v>
      </c>
      <c r="J990" s="23">
        <v>42724</v>
      </c>
      <c r="K990" s="24">
        <f t="shared" si="60"/>
        <v>-2.8514353139584228</v>
      </c>
      <c r="L990" s="25"/>
      <c r="M990" s="25"/>
      <c r="N990" s="27"/>
      <c r="Q990" s="23">
        <v>42724</v>
      </c>
      <c r="R990" s="24">
        <f t="shared" si="61"/>
        <v>-1.9789366787477631</v>
      </c>
      <c r="S990" s="25"/>
      <c r="T990" s="25"/>
      <c r="U990" s="27"/>
      <c r="X990" s="47">
        <v>42724</v>
      </c>
      <c r="Y990" s="48">
        <f t="shared" si="62"/>
        <v>1.1971970190528907</v>
      </c>
      <c r="Z990" s="49"/>
      <c r="AA990" s="49"/>
      <c r="AB990" s="51"/>
      <c r="AE990" s="47">
        <v>42724</v>
      </c>
      <c r="AF990" s="48">
        <f t="shared" si="63"/>
        <v>0.81112890219084532</v>
      </c>
      <c r="AG990" s="49"/>
      <c r="AH990" s="49"/>
      <c r="AI990" s="51"/>
    </row>
    <row r="991" spans="1:35" x14ac:dyDescent="0.3">
      <c r="A991" s="20">
        <v>42719</v>
      </c>
      <c r="C991">
        <f>-(Historical_Simulation!B992-Historical_Simulation!B993)</f>
        <v>-0.15749999999999886</v>
      </c>
      <c r="E991">
        <f>-(Historical_Simulation!C992-Historical_Simulation!C993)</f>
        <v>7.8201000000000249</v>
      </c>
      <c r="G991">
        <f>-(Historical_Simulation!D992-Historical_Simulation!D993)</f>
        <v>-0.35999999999999943</v>
      </c>
      <c r="J991" s="23">
        <v>42723</v>
      </c>
      <c r="K991" s="24">
        <f t="shared" si="60"/>
        <v>-4.516523523342677</v>
      </c>
      <c r="L991" s="25"/>
      <c r="M991" s="25"/>
      <c r="N991" s="27"/>
      <c r="Q991" s="23">
        <v>42723</v>
      </c>
      <c r="R991" s="24">
        <f t="shared" si="61"/>
        <v>-3.1486051477693322</v>
      </c>
      <c r="S991" s="25"/>
      <c r="T991" s="25"/>
      <c r="U991" s="27"/>
      <c r="X991" s="47">
        <v>42723</v>
      </c>
      <c r="Y991" s="48">
        <f t="shared" si="62"/>
        <v>4.3009433964603474</v>
      </c>
      <c r="Z991" s="49"/>
      <c r="AA991" s="49"/>
      <c r="AB991" s="51"/>
      <c r="AE991" s="47">
        <v>42723</v>
      </c>
      <c r="AF991" s="48">
        <f t="shared" si="63"/>
        <v>2.9475837340537727</v>
      </c>
      <c r="AG991" s="49"/>
      <c r="AH991" s="49"/>
      <c r="AI991" s="51"/>
    </row>
    <row r="992" spans="1:35" x14ac:dyDescent="0.3">
      <c r="A992" s="20">
        <v>42718</v>
      </c>
      <c r="C992">
        <f>-(Historical_Simulation!B993-Historical_Simulation!B994)</f>
        <v>0</v>
      </c>
      <c r="E992">
        <f>-(Historical_Simulation!C993-Historical_Simulation!C994)</f>
        <v>5.5199999999999818</v>
      </c>
      <c r="G992">
        <f>-(Historical_Simulation!D993-Historical_Simulation!D994)</f>
        <v>0.10000000000000853</v>
      </c>
      <c r="J992" s="23">
        <v>42720</v>
      </c>
      <c r="K992" s="24">
        <f t="shared" si="60"/>
        <v>1.7250344945764016</v>
      </c>
      <c r="L992" s="25"/>
      <c r="M992" s="25"/>
      <c r="N992" s="27"/>
      <c r="Q992" s="23">
        <v>42720</v>
      </c>
      <c r="R992" s="24">
        <f t="shared" si="61"/>
        <v>1.1706564118246594</v>
      </c>
      <c r="S992" s="25"/>
      <c r="T992" s="25"/>
      <c r="U992" s="27"/>
      <c r="X992" s="47">
        <v>42720</v>
      </c>
      <c r="Y992" s="48">
        <f t="shared" si="62"/>
        <v>4.0947595672594597</v>
      </c>
      <c r="Z992" s="49"/>
      <c r="AA992" s="49"/>
      <c r="AB992" s="51"/>
      <c r="AE992" s="47">
        <v>42720</v>
      </c>
      <c r="AF992" s="48">
        <f t="shared" si="63"/>
        <v>2.8432200675418136</v>
      </c>
      <c r="AG992" s="49"/>
      <c r="AH992" s="49"/>
      <c r="AI992" s="51"/>
    </row>
    <row r="993" spans="1:35" x14ac:dyDescent="0.3">
      <c r="A993" s="20">
        <v>42717</v>
      </c>
      <c r="C993">
        <f>-(Historical_Simulation!B994-Historical_Simulation!B995)</f>
        <v>-0.47250000000000014</v>
      </c>
      <c r="E993">
        <f>-(Historical_Simulation!C994-Historical_Simulation!C995)</f>
        <v>-14.220000000000027</v>
      </c>
      <c r="G993">
        <f>-(Historical_Simulation!D994-Historical_Simulation!D995)</f>
        <v>-2.5400000000000063</v>
      </c>
      <c r="J993" s="23">
        <v>42719</v>
      </c>
      <c r="K993" s="24">
        <f t="shared" si="60"/>
        <v>4.1457272942410635</v>
      </c>
      <c r="L993" s="25"/>
      <c r="M993" s="25"/>
      <c r="N993" s="27"/>
      <c r="Q993" s="23">
        <v>42719</v>
      </c>
      <c r="R993" s="24">
        <f t="shared" si="61"/>
        <v>2.7922134172830573</v>
      </c>
      <c r="S993" s="25"/>
      <c r="T993" s="25"/>
      <c r="U993" s="27"/>
      <c r="X993" s="47">
        <v>42719</v>
      </c>
      <c r="Y993" s="48">
        <f t="shared" si="62"/>
        <v>-1.2921204235526151</v>
      </c>
      <c r="Z993" s="49"/>
      <c r="AA993" s="49"/>
      <c r="AB993" s="51"/>
      <c r="AE993" s="47">
        <v>42719</v>
      </c>
      <c r="AF993" s="48">
        <f t="shared" si="63"/>
        <v>-0.94847737447759495</v>
      </c>
      <c r="AG993" s="49"/>
      <c r="AH993" s="49"/>
      <c r="AI993" s="51"/>
    </row>
    <row r="994" spans="1:35" x14ac:dyDescent="0.3">
      <c r="A994" s="20">
        <v>42716</v>
      </c>
      <c r="C994">
        <f>-(Historical_Simulation!B995-Historical_Simulation!B996)</f>
        <v>0.16250000000000142</v>
      </c>
      <c r="E994">
        <f>-(Historical_Simulation!C995-Historical_Simulation!C996)</f>
        <v>8.5398000000000138</v>
      </c>
      <c r="G994">
        <f>-(Historical_Simulation!D995-Historical_Simulation!D996)</f>
        <v>1.9100000000000108</v>
      </c>
      <c r="J994" s="23">
        <v>42718</v>
      </c>
      <c r="K994" s="24">
        <f t="shared" si="60"/>
        <v>2.9775640122606437</v>
      </c>
      <c r="L994" s="25"/>
      <c r="M994" s="25"/>
      <c r="N994" s="27"/>
      <c r="Q994" s="23">
        <v>42718</v>
      </c>
      <c r="R994" s="24">
        <f t="shared" si="61"/>
        <v>2.0410171058215965</v>
      </c>
      <c r="S994" s="25"/>
      <c r="T994" s="25"/>
      <c r="U994" s="27"/>
      <c r="X994" s="47">
        <v>42718</v>
      </c>
      <c r="Y994" s="48">
        <f t="shared" si="62"/>
        <v>0.5603063820013382</v>
      </c>
      <c r="Z994" s="49"/>
      <c r="AA994" s="49"/>
      <c r="AB994" s="51"/>
      <c r="AE994" s="47">
        <v>42718</v>
      </c>
      <c r="AF994" s="48">
        <f t="shared" si="63"/>
        <v>0.39060611085316604</v>
      </c>
      <c r="AG994" s="49"/>
      <c r="AH994" s="49"/>
      <c r="AI994" s="51"/>
    </row>
    <row r="995" spans="1:35" x14ac:dyDescent="0.3">
      <c r="A995" s="20">
        <v>42713</v>
      </c>
      <c r="C995">
        <f>-(Historical_Simulation!B996-Historical_Simulation!B997)</f>
        <v>-0.45749999999999957</v>
      </c>
      <c r="E995">
        <f>-(Historical_Simulation!C996-Historical_Simulation!C997)</f>
        <v>-1.3297999999999774</v>
      </c>
      <c r="G995">
        <f>-(Historical_Simulation!D996-Historical_Simulation!D997)</f>
        <v>-0.77000000000001023</v>
      </c>
      <c r="J995" s="23">
        <v>42717</v>
      </c>
      <c r="K995" s="24">
        <f t="shared" si="60"/>
        <v>-7.8880908077089522</v>
      </c>
      <c r="L995" s="25"/>
      <c r="M995" s="25"/>
      <c r="N995" s="27"/>
      <c r="Q995" s="23">
        <v>42717</v>
      </c>
      <c r="R995" s="24">
        <f t="shared" si="61"/>
        <v>-5.5556309170801708</v>
      </c>
      <c r="S995" s="25"/>
      <c r="T995" s="25"/>
      <c r="U995" s="27"/>
      <c r="X995" s="47">
        <v>42717</v>
      </c>
      <c r="Y995" s="48">
        <f t="shared" si="62"/>
        <v>-12.056834447876714</v>
      </c>
      <c r="Z995" s="49"/>
      <c r="AA995" s="49"/>
      <c r="AB995" s="51"/>
      <c r="AE995" s="47">
        <v>42717</v>
      </c>
      <c r="AF995" s="48">
        <f t="shared" si="63"/>
        <v>-8.5482813418885435</v>
      </c>
      <c r="AG995" s="49"/>
      <c r="AH995" s="49"/>
      <c r="AI995" s="51"/>
    </row>
    <row r="996" spans="1:35" x14ac:dyDescent="0.3">
      <c r="A996" s="20">
        <v>42712</v>
      </c>
      <c r="C996">
        <f>-(Historical_Simulation!B997-Historical_Simulation!B998)</f>
        <v>-0.27250000000000085</v>
      </c>
      <c r="E996">
        <f>-(Historical_Simulation!C997-Historical_Simulation!C998)</f>
        <v>3.0897999999999683</v>
      </c>
      <c r="G996">
        <f>-(Historical_Simulation!D997-Historical_Simulation!D998)</f>
        <v>-0.95999999999999375</v>
      </c>
      <c r="J996" s="23">
        <v>42716</v>
      </c>
      <c r="K996" s="24">
        <f t="shared" si="60"/>
        <v>4.6813309782447856</v>
      </c>
      <c r="L996" s="25"/>
      <c r="M996" s="25"/>
      <c r="N996" s="27"/>
      <c r="Q996" s="23">
        <v>42716</v>
      </c>
      <c r="R996" s="24">
        <f t="shared" si="61"/>
        <v>3.2600022827172732</v>
      </c>
      <c r="S996" s="25"/>
      <c r="T996" s="25"/>
      <c r="U996" s="27"/>
      <c r="X996" s="47">
        <v>42716</v>
      </c>
      <c r="Y996" s="48">
        <f t="shared" si="62"/>
        <v>9.9538540254726051</v>
      </c>
      <c r="Z996" s="49"/>
      <c r="AA996" s="49"/>
      <c r="AB996" s="51"/>
      <c r="AE996" s="47">
        <v>42716</v>
      </c>
      <c r="AF996" s="48">
        <f t="shared" si="63"/>
        <v>6.9883417871585323</v>
      </c>
      <c r="AG996" s="49"/>
      <c r="AH996" s="49"/>
      <c r="AI996" s="51"/>
    </row>
    <row r="997" spans="1:35" x14ac:dyDescent="0.3">
      <c r="A997" s="20">
        <v>42711</v>
      </c>
      <c r="C997">
        <f>-(Historical_Simulation!B998-Historical_Simulation!B999)</f>
        <v>-0.26999999999999957</v>
      </c>
      <c r="E997">
        <f>-(Historical_Simulation!C998-Historical_Simulation!C999)</f>
        <v>-5.6998999999999569</v>
      </c>
      <c r="G997">
        <f>-(Historical_Simulation!D998-Historical_Simulation!D999)</f>
        <v>-0.64000000000000057</v>
      </c>
      <c r="J997" s="23">
        <v>42713</v>
      </c>
      <c r="K997" s="24">
        <f t="shared" si="60"/>
        <v>-0.92803063186501811</v>
      </c>
      <c r="L997" s="25"/>
      <c r="M997" s="25"/>
      <c r="N997" s="27"/>
      <c r="Q997" s="23">
        <v>42713</v>
      </c>
      <c r="R997" s="24">
        <f t="shared" si="61"/>
        <v>-0.78003246764640166</v>
      </c>
      <c r="S997" s="25"/>
      <c r="T997" s="25"/>
      <c r="U997" s="27"/>
      <c r="X997" s="47">
        <v>42713</v>
      </c>
      <c r="Y997" s="48">
        <f t="shared" si="62"/>
        <v>-2.2084574437540918</v>
      </c>
      <c r="Z997" s="49"/>
      <c r="AA997" s="49"/>
      <c r="AB997" s="51"/>
      <c r="AE997" s="47">
        <v>42713</v>
      </c>
      <c r="AF997" s="48">
        <f t="shared" si="63"/>
        <v>-1.6781440964160812</v>
      </c>
      <c r="AG997" s="49"/>
      <c r="AH997" s="49"/>
      <c r="AI997" s="51"/>
    </row>
    <row r="998" spans="1:35" x14ac:dyDescent="0.3">
      <c r="A998" s="20">
        <v>42710</v>
      </c>
      <c r="C998">
        <f>-(Historical_Simulation!B999-Historical_Simulation!B1000)</f>
        <v>-0.21000000000000085</v>
      </c>
      <c r="E998">
        <f>-(Historical_Simulation!C999-Historical_Simulation!C1000)</f>
        <v>-5.3599000000000387</v>
      </c>
      <c r="G998">
        <f>-(Historical_Simulation!D999-Historical_Simulation!D1000)</f>
        <v>0.12000000000000455</v>
      </c>
      <c r="J998" s="23">
        <v>42712</v>
      </c>
      <c r="K998" s="24">
        <f t="shared" si="60"/>
        <v>1.5411709200043295</v>
      </c>
      <c r="L998" s="25"/>
      <c r="M998" s="25"/>
      <c r="N998" s="27"/>
      <c r="Q998" s="23">
        <v>42712</v>
      </c>
      <c r="R998" s="24">
        <f t="shared" si="61"/>
        <v>0.9707086621202734</v>
      </c>
      <c r="S998" s="25"/>
      <c r="T998" s="25"/>
      <c r="U998" s="27"/>
      <c r="X998" s="47">
        <v>42712</v>
      </c>
      <c r="Y998" s="48">
        <f t="shared" si="62"/>
        <v>-4.1246063762588321</v>
      </c>
      <c r="Z998" s="49"/>
      <c r="AA998" s="49"/>
      <c r="AB998" s="51"/>
      <c r="AE998" s="47">
        <v>42712</v>
      </c>
      <c r="AF998" s="48">
        <f t="shared" si="63"/>
        <v>-2.9579170121152609</v>
      </c>
      <c r="AG998" s="49"/>
      <c r="AH998" s="49"/>
      <c r="AI998" s="51"/>
    </row>
    <row r="999" spans="1:35" x14ac:dyDescent="0.3">
      <c r="A999" s="20">
        <v>42709</v>
      </c>
      <c r="C999">
        <f>-(Historical_Simulation!B1000-Historical_Simulation!B1001)</f>
        <v>0.19750000000000156</v>
      </c>
      <c r="E999">
        <f>-(Historical_Simulation!C1000-Historical_Simulation!C1001)</f>
        <v>-19.019999999999982</v>
      </c>
      <c r="G999">
        <f>-(Historical_Simulation!D1000-Historical_Simulation!D1001)</f>
        <v>-2.0300000000000011</v>
      </c>
      <c r="J999" s="23">
        <v>42711</v>
      </c>
      <c r="K999" s="24">
        <f t="shared" si="60"/>
        <v>-3.1989628315532594</v>
      </c>
      <c r="L999" s="25"/>
      <c r="M999" s="25"/>
      <c r="N999" s="27"/>
      <c r="Q999" s="23">
        <v>42711</v>
      </c>
      <c r="R999" s="24">
        <f t="shared" si="61"/>
        <v>-2.2777026780617091</v>
      </c>
      <c r="S999" s="25"/>
      <c r="T999" s="25"/>
      <c r="U999" s="27"/>
      <c r="X999" s="47">
        <v>42711</v>
      </c>
      <c r="Y999" s="48">
        <f t="shared" si="62"/>
        <v>-2.3431336134047798</v>
      </c>
      <c r="Z999" s="49"/>
      <c r="AA999" s="49"/>
      <c r="AB999" s="51"/>
      <c r="AE999" s="47">
        <v>42711</v>
      </c>
      <c r="AF999" s="48">
        <f t="shared" si="63"/>
        <v>-1.7152426101565945</v>
      </c>
      <c r="AG999" s="49"/>
      <c r="AH999" s="49"/>
      <c r="AI999" s="51"/>
    </row>
    <row r="1000" spans="1:35" x14ac:dyDescent="0.3">
      <c r="A1000" s="20">
        <v>42706</v>
      </c>
      <c r="C1000">
        <f>-(Historical_Simulation!B1001-Historical_Simulation!B1002)</f>
        <v>-0.1025000000000027</v>
      </c>
      <c r="E1000">
        <f>-(Historical_Simulation!C1001-Historical_Simulation!C1002)</f>
        <v>3.3097999999999956</v>
      </c>
      <c r="G1000">
        <f>-(Historical_Simulation!D1001-Historical_Simulation!D1002)</f>
        <v>-0.30000000000001137</v>
      </c>
      <c r="J1000" s="23">
        <v>42710</v>
      </c>
      <c r="K1000" s="24">
        <f t="shared" si="60"/>
        <v>-2.9879269758589238</v>
      </c>
      <c r="L1000" s="25"/>
      <c r="M1000" s="25"/>
      <c r="N1000" s="27"/>
      <c r="Q1000" s="23">
        <v>42710</v>
      </c>
      <c r="R1000" s="24">
        <f t="shared" si="61"/>
        <v>-2.1141728248678904</v>
      </c>
      <c r="S1000" s="25"/>
      <c r="T1000" s="25"/>
      <c r="U1000" s="27"/>
      <c r="X1000" s="47">
        <v>42710</v>
      </c>
      <c r="Y1000" s="48">
        <f t="shared" si="62"/>
        <v>1.6390110606042878</v>
      </c>
      <c r="Z1000" s="49"/>
      <c r="AA1000" s="49"/>
      <c r="AB1000" s="51"/>
      <c r="AE1000" s="47">
        <v>42710</v>
      </c>
      <c r="AF1000" s="48">
        <f t="shared" si="63"/>
        <v>1.0790001658153583</v>
      </c>
      <c r="AG1000" s="49"/>
      <c r="AH1000" s="49"/>
      <c r="AI1000" s="51"/>
    </row>
    <row r="1001" spans="1:35" x14ac:dyDescent="0.3">
      <c r="A1001" s="20">
        <v>42705</v>
      </c>
      <c r="C1001">
        <f>-(Historical_Simulation!B1002-Historical_Simulation!B1003)</f>
        <v>0.25750000000000028</v>
      </c>
      <c r="E1001">
        <f>-(Historical_Simulation!C1002-Historical_Simulation!C1003)</f>
        <v>6.9202000000000226</v>
      </c>
      <c r="G1001">
        <f>-(Historical_Simulation!D1002-Historical_Simulation!D1003)</f>
        <v>3.3200000000000074</v>
      </c>
      <c r="J1001" s="23">
        <v>42709</v>
      </c>
      <c r="K1001" s="24">
        <f t="shared" si="60"/>
        <v>-10.168684131452727</v>
      </c>
      <c r="L1001" s="25"/>
      <c r="M1001" s="25"/>
      <c r="N1001" s="27"/>
      <c r="Q1001" s="23">
        <v>42709</v>
      </c>
      <c r="R1001" s="24">
        <f t="shared" si="61"/>
        <v>-6.9081605491171407</v>
      </c>
      <c r="S1001" s="25"/>
      <c r="T1001" s="25"/>
      <c r="U1001" s="27"/>
      <c r="X1001" s="47">
        <v>42709</v>
      </c>
      <c r="Y1001" s="48">
        <f t="shared" si="62"/>
        <v>-12.283324659078758</v>
      </c>
      <c r="Z1001" s="49"/>
      <c r="AA1001" s="49"/>
      <c r="AB1001" s="51"/>
      <c r="AE1001" s="47">
        <v>42709</v>
      </c>
      <c r="AF1001" s="48">
        <f t="shared" si="63"/>
        <v>-8.5032511192535409</v>
      </c>
      <c r="AG1001" s="49"/>
      <c r="AH1001" s="49"/>
      <c r="AI1001" s="51"/>
    </row>
    <row r="1002" spans="1:35" x14ac:dyDescent="0.3">
      <c r="A1002" s="20">
        <v>42704</v>
      </c>
      <c r="C1002">
        <f>-(Historical_Simulation!B1003-Historical_Simulation!B1004)</f>
        <v>0.23499999999999943</v>
      </c>
      <c r="E1002">
        <f>-(Historical_Simulation!C1003-Historical_Simulation!C1004)</f>
        <v>11.949899999999957</v>
      </c>
      <c r="G1002">
        <f>-(Historical_Simulation!D1003-Historical_Simulation!D1004)</f>
        <v>2.4500000000000028</v>
      </c>
      <c r="J1002" s="23">
        <v>42706</v>
      </c>
      <c r="K1002" s="24">
        <f t="shared" si="60"/>
        <v>1.7381416085211971</v>
      </c>
      <c r="L1002" s="25"/>
      <c r="M1002" s="25"/>
      <c r="N1002" s="27"/>
      <c r="Q1002" s="23">
        <v>42706</v>
      </c>
      <c r="R1002" s="24">
        <f t="shared" si="61"/>
        <v>1.1591961359048983</v>
      </c>
      <c r="S1002" s="25"/>
      <c r="T1002" s="25"/>
      <c r="U1002" s="27"/>
      <c r="X1002" s="47">
        <v>42706</v>
      </c>
      <c r="Y1002" s="48">
        <f t="shared" si="62"/>
        <v>-1.2091051044526</v>
      </c>
      <c r="Z1002" s="49"/>
      <c r="AA1002" s="49"/>
      <c r="AB1002" s="51"/>
      <c r="AE1002" s="47">
        <v>42706</v>
      </c>
      <c r="AF1002" s="48">
        <f t="shared" si="63"/>
        <v>-0.87394706893497376</v>
      </c>
      <c r="AG1002" s="49"/>
      <c r="AH1002" s="49"/>
      <c r="AI1002" s="51"/>
    </row>
    <row r="1003" spans="1:35" x14ac:dyDescent="0.3">
      <c r="A1003" s="20">
        <v>42703</v>
      </c>
      <c r="C1003">
        <f>-(Historical_Simulation!B1004-Historical_Simulation!B1005)</f>
        <v>2.7499999999999858E-2</v>
      </c>
      <c r="E1003">
        <f>-(Historical_Simulation!C1004-Historical_Simulation!C1005)</f>
        <v>4.25</v>
      </c>
      <c r="G1003">
        <f>-(Historical_Simulation!D1004-Historical_Simulation!D1005)</f>
        <v>-0.46000000000000796</v>
      </c>
      <c r="J1003" s="23">
        <v>42705</v>
      </c>
      <c r="K1003" s="24">
        <f t="shared" si="60"/>
        <v>3.8514521276248415</v>
      </c>
      <c r="L1003" s="25"/>
      <c r="M1003" s="25"/>
      <c r="N1003" s="27"/>
      <c r="Q1003" s="23">
        <v>42705</v>
      </c>
      <c r="R1003" s="24">
        <f t="shared" si="61"/>
        <v>2.7210298316952253</v>
      </c>
      <c r="S1003" s="25"/>
      <c r="T1003" s="25"/>
      <c r="U1003" s="27"/>
      <c r="X1003" s="47">
        <v>42705</v>
      </c>
      <c r="Y1003" s="48">
        <f t="shared" si="62"/>
        <v>17.41688294878956</v>
      </c>
      <c r="Z1003" s="49"/>
      <c r="AA1003" s="49"/>
      <c r="AB1003" s="51"/>
      <c r="AE1003" s="47">
        <v>42705</v>
      </c>
      <c r="AF1003" s="48">
        <f t="shared" si="63"/>
        <v>12.219812144877217</v>
      </c>
      <c r="AG1003" s="49"/>
      <c r="AH1003" s="49"/>
      <c r="AI1003" s="51"/>
    </row>
    <row r="1004" spans="1:35" x14ac:dyDescent="0.3">
      <c r="A1004" s="20">
        <v>42702</v>
      </c>
      <c r="C1004">
        <f>-(Historical_Simulation!B1005-Historical_Simulation!B1006)</f>
        <v>5.5000000000003268E-2</v>
      </c>
      <c r="E1004">
        <f>-(Historical_Simulation!C1005-Historical_Simulation!C1006)</f>
        <v>13.600099999999998</v>
      </c>
      <c r="G1004">
        <f>-(Historical_Simulation!D1005-Historical_Simulation!D1006)</f>
        <v>-3.0000000000001137E-2</v>
      </c>
      <c r="J1004" s="23">
        <v>42704</v>
      </c>
      <c r="K1004" s="24">
        <f t="shared" si="60"/>
        <v>6.5541783781217759</v>
      </c>
      <c r="L1004" s="25"/>
      <c r="M1004" s="25"/>
      <c r="N1004" s="27"/>
      <c r="Q1004" s="23">
        <v>42704</v>
      </c>
      <c r="R1004" s="24">
        <f t="shared" si="61"/>
        <v>4.5665781327879369</v>
      </c>
      <c r="S1004" s="25"/>
      <c r="T1004" s="25"/>
      <c r="U1004" s="27"/>
      <c r="X1004" s="47">
        <v>42704</v>
      </c>
      <c r="Y1004" s="48">
        <f t="shared" si="62"/>
        <v>12.645786361328602</v>
      </c>
      <c r="Z1004" s="49"/>
      <c r="AA1004" s="49"/>
      <c r="AB1004" s="51"/>
      <c r="AE1004" s="47">
        <v>42704</v>
      </c>
      <c r="AF1004" s="48">
        <f t="shared" si="63"/>
        <v>8.8869253553969028</v>
      </c>
      <c r="AG1004" s="49"/>
      <c r="AH1004" s="49"/>
      <c r="AI1004" s="51"/>
    </row>
    <row r="1005" spans="1:35" x14ac:dyDescent="0.3">
      <c r="A1005" s="20">
        <v>42699</v>
      </c>
      <c r="C1005">
        <f>-(Historical_Simulation!B1006-Historical_Simulation!B1007)</f>
        <v>-0.14000000000000057</v>
      </c>
      <c r="E1005">
        <f>-(Historical_Simulation!C1006-Historical_Simulation!C1007)</f>
        <v>-0.25</v>
      </c>
      <c r="G1005">
        <f>-(Historical_Simulation!D1006-Historical_Simulation!D1007)</f>
        <v>0.46000000000000796</v>
      </c>
      <c r="J1005" s="23">
        <v>42703</v>
      </c>
      <c r="K1005" s="24">
        <f t="shared" si="60"/>
        <v>2.3051746452482988</v>
      </c>
      <c r="L1005" s="25"/>
      <c r="M1005" s="25"/>
      <c r="N1005" s="27"/>
      <c r="Q1005" s="23">
        <v>42703</v>
      </c>
      <c r="R1005" s="24">
        <f t="shared" si="61"/>
        <v>1.5887671611108187</v>
      </c>
      <c r="S1005" s="25"/>
      <c r="T1005" s="25"/>
      <c r="U1005" s="27"/>
      <c r="X1005" s="47">
        <v>42703</v>
      </c>
      <c r="Y1005" s="48">
        <f t="shared" si="62"/>
        <v>-2.7039936122563351</v>
      </c>
      <c r="Z1005" s="49"/>
      <c r="AA1005" s="49"/>
      <c r="AB1005" s="51"/>
      <c r="AE1005" s="47">
        <v>42703</v>
      </c>
      <c r="AF1005" s="48">
        <f t="shared" si="63"/>
        <v>-1.8767047904090526</v>
      </c>
      <c r="AG1005" s="49"/>
      <c r="AH1005" s="49"/>
      <c r="AI1005" s="51"/>
    </row>
    <row r="1006" spans="1:35" x14ac:dyDescent="0.3">
      <c r="A1006" s="20">
        <v>42698</v>
      </c>
      <c r="C1006">
        <f>-(Historical_Simulation!B1007-Historical_Simulation!B1008)</f>
        <v>0</v>
      </c>
      <c r="E1006">
        <f>-(Historical_Simulation!C1007-Historical_Simulation!C1008)</f>
        <v>0</v>
      </c>
      <c r="G1006">
        <f>-(Historical_Simulation!D1007-Historical_Simulation!D1008)</f>
        <v>0</v>
      </c>
      <c r="J1006" s="23">
        <v>42702</v>
      </c>
      <c r="K1006" s="24">
        <f t="shared" si="60"/>
        <v>7.361413460592714</v>
      </c>
      <c r="L1006" s="25"/>
      <c r="M1006" s="25"/>
      <c r="N1006" s="27"/>
      <c r="Q1006" s="23">
        <v>42702</v>
      </c>
      <c r="R1006" s="24">
        <f t="shared" si="61"/>
        <v>5.0632936232000372</v>
      </c>
      <c r="S1006" s="25"/>
      <c r="T1006" s="25"/>
      <c r="U1006" s="27"/>
      <c r="X1006" s="47">
        <v>42702</v>
      </c>
      <c r="Y1006" s="48">
        <f t="shared" si="62"/>
        <v>-0.42126042470111824</v>
      </c>
      <c r="Z1006" s="49"/>
      <c r="AA1006" s="49"/>
      <c r="AB1006" s="51"/>
      <c r="AE1006" s="47">
        <v>42702</v>
      </c>
      <c r="AF1006" s="48">
        <f t="shared" si="63"/>
        <v>-0.27701519422517679</v>
      </c>
      <c r="AG1006" s="49"/>
      <c r="AH1006" s="49"/>
      <c r="AI1006" s="51"/>
    </row>
    <row r="1007" spans="1:35" x14ac:dyDescent="0.3">
      <c r="A1007" s="20">
        <v>42697</v>
      </c>
      <c r="C1007">
        <f>-(Historical_Simulation!B1008-Historical_Simulation!B1009)</f>
        <v>0.14249999999999829</v>
      </c>
      <c r="E1007">
        <f>-(Historical_Simulation!C1008-Historical_Simulation!C1009)</f>
        <v>5.2100000000000364</v>
      </c>
      <c r="G1007">
        <f>-(Historical_Simulation!D1008-Historical_Simulation!D1009)</f>
        <v>0.62999999999999545</v>
      </c>
      <c r="J1007" s="23">
        <v>42699</v>
      </c>
      <c r="K1007" s="24">
        <f t="shared" si="60"/>
        <v>-0.1993355147370785</v>
      </c>
      <c r="L1007" s="25"/>
      <c r="M1007" s="25"/>
      <c r="N1007" s="27"/>
      <c r="Q1007" s="23">
        <v>42699</v>
      </c>
      <c r="R1007" s="24">
        <f t="shared" si="61"/>
        <v>-0.18067244232615548</v>
      </c>
      <c r="S1007" s="25"/>
      <c r="T1007" s="25"/>
      <c r="U1007" s="27"/>
      <c r="X1007" s="47">
        <v>42699</v>
      </c>
      <c r="Y1007" s="48">
        <f t="shared" si="62"/>
        <v>3.2218382920077899</v>
      </c>
      <c r="Z1007" s="49"/>
      <c r="AA1007" s="49"/>
      <c r="AB1007" s="51"/>
      <c r="AE1007" s="47">
        <v>42699</v>
      </c>
      <c r="AF1007" s="48">
        <f t="shared" si="63"/>
        <v>2.2036366651188288</v>
      </c>
      <c r="AG1007" s="49"/>
      <c r="AH1007" s="49"/>
      <c r="AI1007" s="51"/>
    </row>
    <row r="1008" spans="1:35" x14ac:dyDescent="0.3">
      <c r="A1008" s="20">
        <v>42696</v>
      </c>
      <c r="C1008">
        <f>-(Historical_Simulation!B1009-Historical_Simulation!B1010)</f>
        <v>-1.7499999999998295E-2</v>
      </c>
      <c r="E1008">
        <f>-(Historical_Simulation!C1009-Historical_Simulation!C1010)</f>
        <v>-5.3301000000000158</v>
      </c>
      <c r="G1008">
        <f>-(Historical_Simulation!D1009-Historical_Simulation!D1010)</f>
        <v>0.29999999999999716</v>
      </c>
      <c r="J1008" s="23">
        <v>42698</v>
      </c>
      <c r="K1008" s="24">
        <f t="shared" si="60"/>
        <v>0</v>
      </c>
      <c r="L1008" s="25"/>
      <c r="M1008" s="25"/>
      <c r="N1008" s="27"/>
      <c r="Q1008" s="23">
        <v>42698</v>
      </c>
      <c r="R1008" s="24">
        <f t="shared" si="61"/>
        <v>0</v>
      </c>
      <c r="S1008" s="25"/>
      <c r="T1008" s="25"/>
      <c r="U1008" s="27"/>
      <c r="X1008" s="47">
        <v>42698</v>
      </c>
      <c r="Y1008" s="48">
        <f t="shared" si="62"/>
        <v>0</v>
      </c>
      <c r="Z1008" s="49"/>
      <c r="AA1008" s="49"/>
      <c r="AB1008" s="51"/>
      <c r="AE1008" s="47">
        <v>42698</v>
      </c>
      <c r="AF1008" s="48">
        <f t="shared" si="63"/>
        <v>0</v>
      </c>
      <c r="AG1008" s="49"/>
      <c r="AH1008" s="49"/>
      <c r="AI1008" s="51"/>
    </row>
    <row r="1009" spans="1:35" x14ac:dyDescent="0.3">
      <c r="A1009" s="20">
        <v>42695</v>
      </c>
      <c r="C1009">
        <f>-(Historical_Simulation!B1010-Historical_Simulation!B1011)</f>
        <v>-0.41750000000000043</v>
      </c>
      <c r="E1009">
        <f>-(Historical_Simulation!C1010-Historical_Simulation!C1011)</f>
        <v>-19.840100000000007</v>
      </c>
      <c r="G1009">
        <f>-(Historical_Simulation!D1010-Historical_Simulation!D1011)</f>
        <v>-4.75</v>
      </c>
      <c r="J1009" s="23">
        <v>42697</v>
      </c>
      <c r="K1009" s="24">
        <f t="shared" si="60"/>
        <v>2.8759792811831462</v>
      </c>
      <c r="L1009" s="25"/>
      <c r="M1009" s="25"/>
      <c r="N1009" s="27"/>
      <c r="Q1009" s="23">
        <v>42697</v>
      </c>
      <c r="R1009" s="24">
        <f t="shared" si="61"/>
        <v>2.016205468070841</v>
      </c>
      <c r="S1009" s="25"/>
      <c r="T1009" s="25"/>
      <c r="U1009" s="27"/>
      <c r="X1009" s="47">
        <v>42697</v>
      </c>
      <c r="Y1009" s="48">
        <f t="shared" si="62"/>
        <v>2.8739936122562733</v>
      </c>
      <c r="Z1009" s="49"/>
      <c r="AA1009" s="49"/>
      <c r="AB1009" s="51"/>
      <c r="AE1009" s="47">
        <v>42697</v>
      </c>
      <c r="AF1009" s="48">
        <f t="shared" si="63"/>
        <v>2.0467047904090094</v>
      </c>
      <c r="AG1009" s="49"/>
      <c r="AH1009" s="49"/>
      <c r="AI1009" s="51"/>
    </row>
    <row r="1010" spans="1:35" x14ac:dyDescent="0.3">
      <c r="A1010" s="20">
        <v>42692</v>
      </c>
      <c r="C1010">
        <f>-(Historical_Simulation!B1011-Historical_Simulation!B1012)</f>
        <v>-2.7499999999999858E-2</v>
      </c>
      <c r="E1010">
        <f>-(Historical_Simulation!C1011-Historical_Simulation!C1012)</f>
        <v>-3.7599999999999909</v>
      </c>
      <c r="G1010">
        <f>-(Historical_Simulation!D1011-Historical_Simulation!D1012)</f>
        <v>0.77000000000001023</v>
      </c>
      <c r="J1010" s="23">
        <v>42696</v>
      </c>
      <c r="K1010" s="24">
        <f t="shared" si="60"/>
        <v>-2.8831895962927518</v>
      </c>
      <c r="L1010" s="25"/>
      <c r="M1010" s="25"/>
      <c r="N1010" s="27"/>
      <c r="Q1010" s="23">
        <v>42696</v>
      </c>
      <c r="R1010" s="24">
        <f t="shared" si="61"/>
        <v>-1.9818310645630208</v>
      </c>
      <c r="S1010" s="25"/>
      <c r="T1010" s="25"/>
      <c r="U1010" s="27"/>
      <c r="X1010" s="47">
        <v>42696</v>
      </c>
      <c r="Y1010" s="48">
        <f t="shared" si="62"/>
        <v>1.7614727628540732</v>
      </c>
      <c r="Z1010" s="49"/>
      <c r="AA1010" s="49"/>
      <c r="AB1010" s="51"/>
      <c r="AE1010" s="47">
        <v>42696</v>
      </c>
      <c r="AF1010" s="48">
        <f t="shared" si="63"/>
        <v>1.2226744019586804</v>
      </c>
      <c r="AG1010" s="49"/>
      <c r="AH1010" s="49"/>
      <c r="AI1010" s="51"/>
    </row>
    <row r="1011" spans="1:35" x14ac:dyDescent="0.3">
      <c r="A1011" s="20">
        <v>42691</v>
      </c>
      <c r="C1011">
        <f>-(Historical_Simulation!B1012-Historical_Simulation!B1013)</f>
        <v>9.9999999999980105E-3</v>
      </c>
      <c r="E1011">
        <f>-(Historical_Simulation!C1012-Historical_Simulation!C1013)</f>
        <v>-9.9098999999999933</v>
      </c>
      <c r="G1011">
        <f>-(Historical_Simulation!D1012-Historical_Simulation!D1013)</f>
        <v>-1.4500000000000028</v>
      </c>
      <c r="J1011" s="23">
        <v>42695</v>
      </c>
      <c r="K1011" s="24">
        <f t="shared" si="60"/>
        <v>-10.894317895748875</v>
      </c>
      <c r="L1011" s="25"/>
      <c r="M1011" s="25"/>
      <c r="N1011" s="27"/>
      <c r="Q1011" s="23">
        <v>42695</v>
      </c>
      <c r="R1011" s="24">
        <f t="shared" si="61"/>
        <v>-7.5989961665816459</v>
      </c>
      <c r="S1011" s="25"/>
      <c r="T1011" s="25"/>
      <c r="U1011" s="27"/>
      <c r="X1011" s="47">
        <v>42695</v>
      </c>
      <c r="Y1011" s="48">
        <f t="shared" si="62"/>
        <v>-24.692774000205908</v>
      </c>
      <c r="Z1011" s="49"/>
      <c r="AA1011" s="49"/>
      <c r="AB1011" s="51"/>
      <c r="AE1011" s="47">
        <v>42695</v>
      </c>
      <c r="AF1011" s="48">
        <f t="shared" si="63"/>
        <v>-17.340509752711974</v>
      </c>
      <c r="AG1011" s="49"/>
      <c r="AH1011" s="49"/>
      <c r="AI1011" s="51"/>
    </row>
    <row r="1012" spans="1:35" x14ac:dyDescent="0.3">
      <c r="A1012" s="20">
        <v>42690</v>
      </c>
      <c r="C1012">
        <f>-(Historical_Simulation!B1013-Historical_Simulation!B1014)</f>
        <v>-0.71999999999999886</v>
      </c>
      <c r="E1012">
        <f>-(Historical_Simulation!C1013-Historical_Simulation!C1014)</f>
        <v>-3.25</v>
      </c>
      <c r="G1012">
        <f>-(Historical_Simulation!D1013-Historical_Simulation!D1014)</f>
        <v>0.85999999999999943</v>
      </c>
      <c r="J1012" s="23">
        <v>42692</v>
      </c>
      <c r="K1012" s="24">
        <f t="shared" si="60"/>
        <v>-2.040861897783127</v>
      </c>
      <c r="L1012" s="25"/>
      <c r="M1012" s="25"/>
      <c r="N1012" s="27"/>
      <c r="Q1012" s="23">
        <v>42692</v>
      </c>
      <c r="R1012" s="24">
        <f t="shared" si="61"/>
        <v>-1.4075899180215787</v>
      </c>
      <c r="S1012" s="25"/>
      <c r="T1012" s="25"/>
      <c r="U1012" s="27"/>
      <c r="X1012" s="47">
        <v>42692</v>
      </c>
      <c r="Y1012" s="48">
        <f t="shared" si="62"/>
        <v>4.440943396460348</v>
      </c>
      <c r="Z1012" s="49"/>
      <c r="AA1012" s="49"/>
      <c r="AB1012" s="51"/>
      <c r="AE1012" s="47">
        <v>42692</v>
      </c>
      <c r="AF1012" s="48">
        <f t="shared" si="63"/>
        <v>3.0875837340537733</v>
      </c>
      <c r="AG1012" s="49"/>
      <c r="AH1012" s="49"/>
      <c r="AI1012" s="51"/>
    </row>
    <row r="1013" spans="1:35" x14ac:dyDescent="0.3">
      <c r="A1013" s="20">
        <v>42689</v>
      </c>
      <c r="C1013">
        <f>-(Historical_Simulation!B1014-Historical_Simulation!B1015)</f>
        <v>-0.35000000000000142</v>
      </c>
      <c r="E1013">
        <f>-(Historical_Simulation!C1014-Historical_Simulation!C1015)</f>
        <v>-24.169899999999984</v>
      </c>
      <c r="G1013">
        <f>-(Historical_Simulation!D1014-Historical_Simulation!D1015)</f>
        <v>-2.1200000000000045</v>
      </c>
      <c r="J1013" s="23">
        <v>42691</v>
      </c>
      <c r="K1013" s="24">
        <f t="shared" si="60"/>
        <v>-5.3409306603667464</v>
      </c>
      <c r="L1013" s="25"/>
      <c r="M1013" s="25"/>
      <c r="N1013" s="27"/>
      <c r="Q1013" s="23">
        <v>42691</v>
      </c>
      <c r="R1013" s="24">
        <f t="shared" si="61"/>
        <v>-3.6578778239202383</v>
      </c>
      <c r="S1013" s="25"/>
      <c r="T1013" s="25"/>
      <c r="U1013" s="27"/>
      <c r="X1013" s="47">
        <v>42691</v>
      </c>
      <c r="Y1013" s="48">
        <f t="shared" si="62"/>
        <v>-8.170473177218847</v>
      </c>
      <c r="Z1013" s="49"/>
      <c r="AA1013" s="49"/>
      <c r="AB1013" s="51"/>
      <c r="AE1013" s="47">
        <v>42691</v>
      </c>
      <c r="AF1013" s="48">
        <f t="shared" si="63"/>
        <v>-5.6928492184557431</v>
      </c>
      <c r="AG1013" s="49"/>
      <c r="AH1013" s="49"/>
      <c r="AI1013" s="51"/>
    </row>
    <row r="1014" spans="1:35" x14ac:dyDescent="0.3">
      <c r="A1014" s="20">
        <v>42688</v>
      </c>
      <c r="C1014">
        <f>-(Historical_Simulation!B1015-Historical_Simulation!B1016)</f>
        <v>0.68000000000000327</v>
      </c>
      <c r="E1014">
        <f>-(Historical_Simulation!C1015-Historical_Simulation!C1016)</f>
        <v>19.939899999999966</v>
      </c>
      <c r="G1014">
        <f>-(Historical_Simulation!D1015-Historical_Simulation!D1016)</f>
        <v>3.9399999999999977</v>
      </c>
      <c r="J1014" s="23">
        <v>42690</v>
      </c>
      <c r="K1014" s="24">
        <f t="shared" si="60"/>
        <v>-2.084716838952799</v>
      </c>
      <c r="L1014" s="25"/>
      <c r="M1014" s="25"/>
      <c r="N1014" s="27"/>
      <c r="Q1014" s="23">
        <v>42690</v>
      </c>
      <c r="R1014" s="24">
        <f t="shared" si="61"/>
        <v>-1.6554661735015674</v>
      </c>
      <c r="S1014" s="25"/>
      <c r="T1014" s="25"/>
      <c r="U1014" s="27"/>
      <c r="X1014" s="47">
        <v>42690</v>
      </c>
      <c r="Y1014" s="48">
        <f t="shared" si="62"/>
        <v>8.1328408356203816</v>
      </c>
      <c r="Z1014" s="49"/>
      <c r="AA1014" s="49"/>
      <c r="AB1014" s="51"/>
      <c r="AE1014" s="47">
        <v>42690</v>
      </c>
      <c r="AF1014" s="48">
        <f t="shared" si="63"/>
        <v>5.4515765514794916</v>
      </c>
      <c r="AG1014" s="49"/>
      <c r="AH1014" s="49"/>
      <c r="AI1014" s="51"/>
    </row>
    <row r="1015" spans="1:35" x14ac:dyDescent="0.3">
      <c r="A1015" s="20">
        <v>42685</v>
      </c>
      <c r="C1015">
        <f>-(Historical_Simulation!B1016-Historical_Simulation!B1017)</f>
        <v>-0.16000000000000014</v>
      </c>
      <c r="E1015">
        <f>-(Historical_Simulation!C1016-Historical_Simulation!C1017)</f>
        <v>3.3699000000000296</v>
      </c>
      <c r="G1015">
        <f>-(Historical_Simulation!D1016-Historical_Simulation!D1017)</f>
        <v>1.7800000000000011</v>
      </c>
      <c r="J1015" s="23">
        <v>42689</v>
      </c>
      <c r="K1015" s="24">
        <f t="shared" si="60"/>
        <v>-13.198782068052084</v>
      </c>
      <c r="L1015" s="25"/>
      <c r="M1015" s="25"/>
      <c r="N1015" s="27"/>
      <c r="Q1015" s="23">
        <v>42689</v>
      </c>
      <c r="R1015" s="24">
        <f t="shared" si="61"/>
        <v>-9.1573955360434756</v>
      </c>
      <c r="S1015" s="25"/>
      <c r="T1015" s="25"/>
      <c r="U1015" s="27"/>
      <c r="X1015" s="47">
        <v>42689</v>
      </c>
      <c r="Y1015" s="48">
        <f t="shared" si="62"/>
        <v>-10.267422961422859</v>
      </c>
      <c r="Z1015" s="49"/>
      <c r="AA1015" s="49"/>
      <c r="AB1015" s="51"/>
      <c r="AE1015" s="47">
        <v>42689</v>
      </c>
      <c r="AF1015" s="48">
        <f t="shared" si="63"/>
        <v>-7.2637281621004632</v>
      </c>
      <c r="AG1015" s="49"/>
      <c r="AH1015" s="49"/>
      <c r="AI1015" s="51"/>
    </row>
    <row r="1016" spans="1:35" x14ac:dyDescent="0.3">
      <c r="A1016" s="20">
        <v>42684</v>
      </c>
      <c r="C1016">
        <f>-(Historical_Simulation!B1017-Historical_Simulation!B1018)</f>
        <v>0.7724999999999973</v>
      </c>
      <c r="E1016">
        <f>-(Historical_Simulation!C1017-Historical_Simulation!C1018)</f>
        <v>29.5</v>
      </c>
      <c r="G1016">
        <f>-(Historical_Simulation!D1017-Historical_Simulation!D1018)</f>
        <v>2.3800000000000097</v>
      </c>
      <c r="J1016" s="23">
        <v>42688</v>
      </c>
      <c r="K1016" s="24">
        <f t="shared" si="60"/>
        <v>11.069055275315012</v>
      </c>
      <c r="L1016" s="25"/>
      <c r="M1016" s="25"/>
      <c r="N1016" s="27"/>
      <c r="Q1016" s="23">
        <v>42688</v>
      </c>
      <c r="R1016" s="24">
        <f t="shared" si="61"/>
        <v>7.8013379268864922</v>
      </c>
      <c r="S1016" s="25"/>
      <c r="T1016" s="25"/>
      <c r="U1016" s="27"/>
      <c r="X1016" s="47">
        <v>42688</v>
      </c>
      <c r="Y1016" s="48">
        <f t="shared" si="62"/>
        <v>18.94598805324204</v>
      </c>
      <c r="Z1016" s="49"/>
      <c r="AA1016" s="49"/>
      <c r="AB1016" s="51"/>
      <c r="AE1016" s="47">
        <v>42688</v>
      </c>
      <c r="AF1016" s="48">
        <f t="shared" si="63"/>
        <v>13.413759213812108</v>
      </c>
      <c r="AG1016" s="49"/>
      <c r="AH1016" s="49"/>
      <c r="AI1016" s="51"/>
    </row>
    <row r="1017" spans="1:35" x14ac:dyDescent="0.3">
      <c r="A1017" s="20">
        <v>42683</v>
      </c>
      <c r="C1017">
        <f>-(Historical_Simulation!B1018-Historical_Simulation!B1019)</f>
        <v>4.5000000000001705E-2</v>
      </c>
      <c r="E1017">
        <f>-(Historical_Simulation!C1018-Historical_Simulation!C1019)</f>
        <v>15.870099999999979</v>
      </c>
      <c r="G1017">
        <f>-(Historical_Simulation!D1018-Historical_Simulation!D1019)</f>
        <v>1.039999999999992</v>
      </c>
      <c r="J1017" s="23">
        <v>42685</v>
      </c>
      <c r="K1017" s="24">
        <f t="shared" si="60"/>
        <v>1.7440766679128568</v>
      </c>
      <c r="L1017" s="25"/>
      <c r="M1017" s="25"/>
      <c r="N1017" s="27"/>
      <c r="Q1017" s="23">
        <v>42685</v>
      </c>
      <c r="R1017" s="24">
        <f t="shared" si="61"/>
        <v>1.1451786742463292</v>
      </c>
      <c r="S1017" s="25"/>
      <c r="T1017" s="25"/>
      <c r="U1017" s="27"/>
      <c r="X1017" s="47">
        <v>42685</v>
      </c>
      <c r="Y1017" s="48">
        <f t="shared" si="62"/>
        <v>10.709943810825042</v>
      </c>
      <c r="Z1017" s="49"/>
      <c r="AA1017" s="49"/>
      <c r="AB1017" s="51"/>
      <c r="AE1017" s="47">
        <v>42685</v>
      </c>
      <c r="AF1017" s="48">
        <f t="shared" si="63"/>
        <v>7.4177585505507793</v>
      </c>
      <c r="AG1017" s="49"/>
      <c r="AH1017" s="49"/>
      <c r="AI1017" s="51"/>
    </row>
    <row r="1018" spans="1:35" x14ac:dyDescent="0.3">
      <c r="A1018" s="20">
        <v>42682</v>
      </c>
      <c r="C1018">
        <f>-(Historical_Simulation!B1019-Historical_Simulation!B1020)</f>
        <v>-0.16250000000000142</v>
      </c>
      <c r="E1018">
        <f>-(Historical_Simulation!C1019-Historical_Simulation!C1020)</f>
        <v>-2.8201000000000249</v>
      </c>
      <c r="G1018">
        <f>-(Historical_Simulation!D1019-Historical_Simulation!D1020)</f>
        <v>-2.0699999999999932</v>
      </c>
      <c r="J1018" s="23">
        <v>42684</v>
      </c>
      <c r="K1018" s="24">
        <f t="shared" si="60"/>
        <v>16.268509087358318</v>
      </c>
      <c r="L1018" s="25"/>
      <c r="M1018" s="25"/>
      <c r="N1018" s="27"/>
      <c r="Q1018" s="23">
        <v>42684</v>
      </c>
      <c r="R1018" s="24">
        <f t="shared" si="61"/>
        <v>11.394478062951105</v>
      </c>
      <c r="S1018" s="25"/>
      <c r="T1018" s="25"/>
      <c r="U1018" s="27"/>
      <c r="X1018" s="47">
        <v>42684</v>
      </c>
      <c r="Y1018" s="48">
        <f t="shared" si="62"/>
        <v>9.7794250906708111</v>
      </c>
      <c r="Z1018" s="49"/>
      <c r="AA1018" s="49"/>
      <c r="AB1018" s="51"/>
      <c r="AE1018" s="47">
        <v>42684</v>
      </c>
      <c r="AF1018" s="48">
        <f t="shared" si="63"/>
        <v>7.0514932319641552</v>
      </c>
      <c r="AG1018" s="49"/>
      <c r="AH1018" s="49"/>
      <c r="AI1018" s="51"/>
    </row>
    <row r="1019" spans="1:35" x14ac:dyDescent="0.3">
      <c r="A1019" s="20">
        <v>42681</v>
      </c>
      <c r="C1019">
        <f>-(Historical_Simulation!B1020-Historical_Simulation!B1021)</f>
        <v>-0.39249999999999829</v>
      </c>
      <c r="E1019">
        <f>-(Historical_Simulation!C1020-Historical_Simulation!C1021)</f>
        <v>-29.879900000000021</v>
      </c>
      <c r="G1019">
        <f>-(Historical_Simulation!D1020-Historical_Simulation!D1021)</f>
        <v>-1.4000000000000057</v>
      </c>
      <c r="J1019" s="23">
        <v>42683</v>
      </c>
      <c r="K1019" s="24">
        <f t="shared" si="60"/>
        <v>8.5812768569612334</v>
      </c>
      <c r="L1019" s="25"/>
      <c r="M1019" s="25"/>
      <c r="N1019" s="27"/>
      <c r="Q1019" s="23">
        <v>42683</v>
      </c>
      <c r="R1019" s="24">
        <f t="shared" si="61"/>
        <v>5.8963224277785171</v>
      </c>
      <c r="S1019" s="25"/>
      <c r="T1019" s="25"/>
      <c r="U1019" s="27"/>
      <c r="X1019" s="47">
        <v>42683</v>
      </c>
      <c r="Y1019" s="48">
        <f t="shared" si="62"/>
        <v>5.6200485009127874</v>
      </c>
      <c r="Z1019" s="49"/>
      <c r="AA1019" s="49"/>
      <c r="AB1019" s="51"/>
      <c r="AE1019" s="47">
        <v>42683</v>
      </c>
      <c r="AF1019" s="48">
        <f t="shared" si="63"/>
        <v>3.9315308029886347</v>
      </c>
      <c r="AG1019" s="49"/>
      <c r="AH1019" s="49"/>
      <c r="AI1019" s="51"/>
    </row>
    <row r="1020" spans="1:35" x14ac:dyDescent="0.3">
      <c r="A1020" s="20">
        <v>42678</v>
      </c>
      <c r="C1020">
        <f>-(Historical_Simulation!B1021-Historical_Simulation!B1022)</f>
        <v>0.24749999999999872</v>
      </c>
      <c r="E1020">
        <f>-(Historical_Simulation!C1021-Historical_Simulation!C1022)</f>
        <v>11.980000000000018</v>
      </c>
      <c r="G1020">
        <f>-(Historical_Simulation!D1021-Historical_Simulation!D1022)</f>
        <v>-0.75</v>
      </c>
      <c r="J1020" s="23">
        <v>42682</v>
      </c>
      <c r="K1020" s="24">
        <f t="shared" si="60"/>
        <v>-1.5960460360478246</v>
      </c>
      <c r="L1020" s="25"/>
      <c r="M1020" s="25"/>
      <c r="N1020" s="27"/>
      <c r="Q1020" s="23">
        <v>42682</v>
      </c>
      <c r="R1020" s="24">
        <f t="shared" si="61"/>
        <v>-1.1451462065999181</v>
      </c>
      <c r="S1020" s="25"/>
      <c r="T1020" s="25"/>
      <c r="U1020" s="27"/>
      <c r="X1020" s="47">
        <v>42682</v>
      </c>
      <c r="Y1020" s="48">
        <f t="shared" si="62"/>
        <v>-10.850344236674571</v>
      </c>
      <c r="Z1020" s="49"/>
      <c r="AA1020" s="49"/>
      <c r="AB1020" s="51"/>
      <c r="AE1020" s="47">
        <v>42682</v>
      </c>
      <c r="AF1020" s="48">
        <f t="shared" si="63"/>
        <v>-7.6133115645234763</v>
      </c>
      <c r="AG1020" s="49"/>
      <c r="AH1020" s="49"/>
      <c r="AI1020" s="51"/>
    </row>
    <row r="1021" spans="1:35" x14ac:dyDescent="0.3">
      <c r="A1021" s="20">
        <v>42677</v>
      </c>
      <c r="C1021">
        <f>-(Historical_Simulation!B1022-Historical_Simulation!B1023)</f>
        <v>0.44000000000000128</v>
      </c>
      <c r="E1021">
        <f>-(Historical_Simulation!C1022-Historical_Simulation!C1023)</f>
        <v>-1.4698999999999387</v>
      </c>
      <c r="G1021">
        <f>-(Historical_Simulation!D1022-Historical_Simulation!D1023)</f>
        <v>7.1700000000000017</v>
      </c>
      <c r="J1021" s="23">
        <v>42681</v>
      </c>
      <c r="K1021" s="24">
        <f t="shared" si="60"/>
        <v>-16.298409611437474</v>
      </c>
      <c r="L1021" s="25"/>
      <c r="M1021" s="25"/>
      <c r="N1021" s="27"/>
      <c r="Q1021" s="23">
        <v>42681</v>
      </c>
      <c r="R1021" s="24">
        <f t="shared" si="61"/>
        <v>-11.295450689529705</v>
      </c>
      <c r="S1021" s="25"/>
      <c r="T1021" s="25"/>
      <c r="U1021" s="27"/>
      <c r="X1021" s="47">
        <v>42681</v>
      </c>
      <c r="Y1021" s="48">
        <f t="shared" si="62"/>
        <v>-6.0375867986630407</v>
      </c>
      <c r="Z1021" s="49"/>
      <c r="AA1021" s="49"/>
      <c r="AB1021" s="51"/>
      <c r="AE1021" s="47">
        <v>42681</v>
      </c>
      <c r="AF1021" s="48">
        <f t="shared" si="63"/>
        <v>-4.3278565668453393</v>
      </c>
      <c r="AG1021" s="49"/>
      <c r="AH1021" s="49"/>
      <c r="AI1021" s="51"/>
    </row>
    <row r="1022" spans="1:35" x14ac:dyDescent="0.3">
      <c r="A1022" s="20">
        <v>42676</v>
      </c>
      <c r="C1022">
        <f>-(Historical_Simulation!B1023-Historical_Simulation!B1024)</f>
        <v>-2.5000000000002132E-2</v>
      </c>
      <c r="E1022">
        <f>-(Historical_Simulation!C1023-Historical_Simulation!C1024)</f>
        <v>19.849799999999959</v>
      </c>
      <c r="G1022">
        <f>-(Historical_Simulation!D1023-Historical_Simulation!D1024)</f>
        <v>2.3299999999999983</v>
      </c>
      <c r="J1022" s="23">
        <v>42678</v>
      </c>
      <c r="K1022" s="24">
        <f t="shared" si="60"/>
        <v>6.5761720604797409</v>
      </c>
      <c r="L1022" s="25"/>
      <c r="M1022" s="25"/>
      <c r="N1022" s="27"/>
      <c r="Q1022" s="23">
        <v>42678</v>
      </c>
      <c r="R1022" s="24">
        <f t="shared" si="61"/>
        <v>4.5855857235601434</v>
      </c>
      <c r="S1022" s="25"/>
      <c r="T1022" s="25"/>
      <c r="U1022" s="27"/>
      <c r="X1022" s="47">
        <v>42678</v>
      </c>
      <c r="Y1022" s="48">
        <f t="shared" si="62"/>
        <v>-5.3415561604628659</v>
      </c>
      <c r="Z1022" s="49"/>
      <c r="AA1022" s="49"/>
      <c r="AB1022" s="51"/>
      <c r="AE1022" s="47">
        <v>42678</v>
      </c>
      <c r="AF1022" s="48">
        <f t="shared" si="63"/>
        <v>-3.6487959557599954</v>
      </c>
      <c r="AG1022" s="49"/>
      <c r="AH1022" s="49"/>
      <c r="AI1022" s="51"/>
    </row>
    <row r="1023" spans="1:35" x14ac:dyDescent="0.3">
      <c r="A1023" s="20">
        <v>42675</v>
      </c>
      <c r="C1023">
        <f>-(Historical_Simulation!B1024-Historical_Simulation!B1025)</f>
        <v>0.51250000000000284</v>
      </c>
      <c r="E1023">
        <f>-(Historical_Simulation!C1024-Historical_Simulation!C1025)</f>
        <v>4.4102000000000317</v>
      </c>
      <c r="G1023">
        <f>-(Historical_Simulation!D1024-Historical_Simulation!D1025)</f>
        <v>1.4900000000000091</v>
      </c>
      <c r="J1023" s="23">
        <v>42677</v>
      </c>
      <c r="K1023" s="24">
        <f t="shared" si="60"/>
        <v>-0.59022635996674588</v>
      </c>
      <c r="L1023" s="25"/>
      <c r="M1023" s="25"/>
      <c r="N1023" s="27"/>
      <c r="Q1023" s="23">
        <v>42677</v>
      </c>
      <c r="R1023" s="24">
        <f t="shared" si="61"/>
        <v>-0.26618452362473738</v>
      </c>
      <c r="S1023" s="25"/>
      <c r="T1023" s="25"/>
      <c r="U1023" s="27"/>
      <c r="X1023" s="47">
        <v>42677</v>
      </c>
      <c r="Y1023" s="48">
        <f t="shared" si="62"/>
        <v>38.148619508686849</v>
      </c>
      <c r="Z1023" s="49"/>
      <c r="AA1023" s="49"/>
      <c r="AB1023" s="51"/>
      <c r="AE1023" s="47">
        <v>42677</v>
      </c>
      <c r="AF1023" s="48">
        <f t="shared" si="63"/>
        <v>26.727791260415838</v>
      </c>
      <c r="AG1023" s="49"/>
      <c r="AH1023" s="49"/>
      <c r="AI1023" s="51"/>
    </row>
    <row r="1024" spans="1:35" x14ac:dyDescent="0.3">
      <c r="A1024" s="20">
        <v>42674</v>
      </c>
      <c r="C1024">
        <f>-(Historical_Simulation!B1025-Historical_Simulation!B1026)</f>
        <v>4.4999999999998153E-2</v>
      </c>
      <c r="E1024">
        <f>-(Historical_Simulation!C1025-Historical_Simulation!C1026)</f>
        <v>-13.5</v>
      </c>
      <c r="G1024">
        <f>-(Historical_Simulation!D1025-Historical_Simulation!D1026)</f>
        <v>0.29999999999998295</v>
      </c>
      <c r="J1024" s="23">
        <v>42676</v>
      </c>
      <c r="K1024" s="24">
        <f t="shared" si="60"/>
        <v>10.695740802695273</v>
      </c>
      <c r="L1024" s="25"/>
      <c r="M1024" s="25"/>
      <c r="N1024" s="27"/>
      <c r="Q1024" s="23">
        <v>42676</v>
      </c>
      <c r="R1024" s="24">
        <f t="shared" si="61"/>
        <v>7.3236968794896935</v>
      </c>
      <c r="S1024" s="25"/>
      <c r="T1024" s="25"/>
      <c r="U1024" s="27"/>
      <c r="X1024" s="47">
        <v>42676</v>
      </c>
      <c r="Y1024" s="48">
        <f t="shared" si="62"/>
        <v>13.17021529613039</v>
      </c>
      <c r="Z1024" s="49"/>
      <c r="AA1024" s="49"/>
      <c r="AB1024" s="51"/>
      <c r="AE1024" s="47">
        <v>42676</v>
      </c>
      <c r="AF1024" s="48">
        <f t="shared" si="63"/>
        <v>9.1737739105912741</v>
      </c>
      <c r="AG1024" s="49"/>
      <c r="AH1024" s="49"/>
      <c r="AI1024" s="51"/>
    </row>
    <row r="1025" spans="1:35" x14ac:dyDescent="0.3">
      <c r="A1025" s="20">
        <v>42671</v>
      </c>
      <c r="C1025">
        <f>-(Historical_Simulation!B1026-Historical_Simulation!B1027)</f>
        <v>0.19000000000000128</v>
      </c>
      <c r="E1025">
        <f>-(Historical_Simulation!C1026-Historical_Simulation!C1027)</f>
        <v>42.039999999999964</v>
      </c>
      <c r="G1025">
        <f>-(Historical_Simulation!D1026-Historical_Simulation!D1027)</f>
        <v>-1.5999999999999943</v>
      </c>
      <c r="J1025" s="23">
        <v>42675</v>
      </c>
      <c r="K1025" s="24">
        <f t="shared" si="60"/>
        <v>2.6149730526428354</v>
      </c>
      <c r="L1025" s="25"/>
      <c r="M1025" s="25"/>
      <c r="N1025" s="27"/>
      <c r="Q1025" s="23">
        <v>42675</v>
      </c>
      <c r="R1025" s="24">
        <f t="shared" si="61"/>
        <v>1.9536725314059669</v>
      </c>
      <c r="S1025" s="25"/>
      <c r="T1025" s="25"/>
      <c r="U1025" s="27"/>
      <c r="X1025" s="47">
        <v>42675</v>
      </c>
      <c r="Y1025" s="48">
        <f t="shared" si="62"/>
        <v>5.9894948840626512</v>
      </c>
      <c r="Z1025" s="49"/>
      <c r="AA1025" s="49"/>
      <c r="AB1025" s="51"/>
      <c r="AE1025" s="47">
        <v>42675</v>
      </c>
      <c r="AF1025" s="48">
        <f t="shared" si="63"/>
        <v>4.3306747335894</v>
      </c>
      <c r="AG1025" s="49"/>
      <c r="AH1025" s="49"/>
      <c r="AI1025" s="51"/>
    </row>
    <row r="1026" spans="1:35" x14ac:dyDescent="0.3">
      <c r="A1026" s="20">
        <v>42670</v>
      </c>
      <c r="C1026">
        <f>-(Historical_Simulation!B1027-Historical_Simulation!B1028)</f>
        <v>0.27749999999999986</v>
      </c>
      <c r="E1026">
        <f>-(Historical_Simulation!C1027-Historical_Simulation!C1028)</f>
        <v>4.2300000000000182</v>
      </c>
      <c r="G1026">
        <f>-(Historical_Simulation!D1027-Historical_Simulation!D1028)</f>
        <v>1.3499999999999943</v>
      </c>
      <c r="J1026" s="23">
        <v>42674</v>
      </c>
      <c r="K1026" s="24">
        <f t="shared" si="60"/>
        <v>-7.2613595192156808</v>
      </c>
      <c r="L1026" s="25"/>
      <c r="M1026" s="25"/>
      <c r="N1026" s="27"/>
      <c r="Q1026" s="23">
        <v>42674</v>
      </c>
      <c r="R1026" s="24">
        <f t="shared" si="61"/>
        <v>-4.9632566482524672</v>
      </c>
      <c r="S1026" s="25"/>
      <c r="T1026" s="25"/>
      <c r="U1026" s="27"/>
      <c r="X1026" s="47">
        <v>42674</v>
      </c>
      <c r="Y1026" s="48">
        <f t="shared" si="62"/>
        <v>1.4737812741032035</v>
      </c>
      <c r="Z1026" s="49"/>
      <c r="AA1026" s="49"/>
      <c r="AB1026" s="51"/>
      <c r="AE1026" s="47">
        <v>42674</v>
      </c>
      <c r="AF1026" s="48">
        <f t="shared" si="63"/>
        <v>1.0410455826754272</v>
      </c>
      <c r="AG1026" s="49"/>
      <c r="AH1026" s="49"/>
      <c r="AI1026" s="51"/>
    </row>
    <row r="1027" spans="1:35" x14ac:dyDescent="0.3">
      <c r="A1027" s="20">
        <v>42669</v>
      </c>
      <c r="C1027">
        <f>-(Historical_Simulation!B1028-Historical_Simulation!B1029)</f>
        <v>0.66499999999999915</v>
      </c>
      <c r="E1027">
        <f>-(Historical_Simulation!C1028-Historical_Simulation!C1029)</f>
        <v>12.589799999999968</v>
      </c>
      <c r="G1027">
        <f>-(Historical_Simulation!D1028-Historical_Simulation!D1029)</f>
        <v>1.25</v>
      </c>
      <c r="J1027" s="23">
        <v>42671</v>
      </c>
      <c r="K1027" s="24">
        <f t="shared" si="60"/>
        <v>22.764466288606567</v>
      </c>
      <c r="L1027" s="25"/>
      <c r="M1027" s="25"/>
      <c r="N1027" s="27"/>
      <c r="Q1027" s="23">
        <v>42671</v>
      </c>
      <c r="R1027" s="24">
        <f t="shared" si="61"/>
        <v>15.664015557723555</v>
      </c>
      <c r="S1027" s="25"/>
      <c r="T1027" s="25"/>
      <c r="U1027" s="27"/>
      <c r="X1027" s="47">
        <v>42671</v>
      </c>
      <c r="Y1027" s="48">
        <f t="shared" si="62"/>
        <v>-9.8394842378230738</v>
      </c>
      <c r="Z1027" s="49"/>
      <c r="AA1027" s="49"/>
      <c r="AB1027" s="51"/>
      <c r="AE1027" s="47">
        <v>42671</v>
      </c>
      <c r="AF1027" s="48">
        <f t="shared" si="63"/>
        <v>-6.8018493842710575</v>
      </c>
      <c r="AG1027" s="49"/>
      <c r="AH1027" s="49"/>
      <c r="AI1027" s="51"/>
    </row>
    <row r="1028" spans="1:35" x14ac:dyDescent="0.3">
      <c r="A1028" s="20">
        <v>42668</v>
      </c>
      <c r="C1028">
        <f>-(Historical_Simulation!B1029-Historical_Simulation!B1030)</f>
        <v>-0.14999999999999858</v>
      </c>
      <c r="E1028">
        <f>-(Historical_Simulation!C1029-Historical_Simulation!C1030)</f>
        <v>2.9102000000000317</v>
      </c>
      <c r="G1028">
        <f>-(Historical_Simulation!D1029-Historical_Simulation!D1030)</f>
        <v>0.99000000000000909</v>
      </c>
      <c r="J1028" s="23">
        <v>42670</v>
      </c>
      <c r="K1028" s="24">
        <f t="shared" si="60"/>
        <v>2.4095329272572985</v>
      </c>
      <c r="L1028" s="25"/>
      <c r="M1028" s="25"/>
      <c r="N1028" s="27"/>
      <c r="Q1028" s="23">
        <v>42670</v>
      </c>
      <c r="R1028" s="24">
        <f t="shared" si="61"/>
        <v>1.7389348026738991</v>
      </c>
      <c r="S1028" s="25"/>
      <c r="T1028" s="25"/>
      <c r="U1028" s="27"/>
      <c r="X1028" s="47">
        <v>42670</v>
      </c>
      <c r="Y1028" s="48">
        <f t="shared" si="62"/>
        <v>6.2867859469638088</v>
      </c>
      <c r="Z1028" s="49"/>
      <c r="AA1028" s="49"/>
      <c r="AB1028" s="51"/>
      <c r="AE1028" s="47">
        <v>42670</v>
      </c>
      <c r="AF1028" s="48">
        <f t="shared" si="63"/>
        <v>4.4667505388998263</v>
      </c>
      <c r="AG1028" s="49"/>
      <c r="AH1028" s="49"/>
      <c r="AI1028" s="51"/>
    </row>
    <row r="1029" spans="1:35" x14ac:dyDescent="0.3">
      <c r="A1029" s="20">
        <v>42667</v>
      </c>
      <c r="C1029">
        <f>-(Historical_Simulation!B1030-Historical_Simulation!B1031)</f>
        <v>-0.26250000000000284</v>
      </c>
      <c r="E1029">
        <f>-(Historical_Simulation!C1030-Historical_Simulation!C1031)</f>
        <v>-19.100099999999998</v>
      </c>
      <c r="G1029">
        <f>-(Historical_Simulation!D1030-Historical_Simulation!D1031)</f>
        <v>-1.210000000000008</v>
      </c>
      <c r="J1029" s="23">
        <v>42669</v>
      </c>
      <c r="K1029" s="24">
        <f t="shared" si="60"/>
        <v>7.0974013285155344</v>
      </c>
      <c r="L1029" s="25"/>
      <c r="M1029" s="25"/>
      <c r="N1029" s="27"/>
      <c r="Q1029" s="23">
        <v>42669</v>
      </c>
      <c r="R1029" s="24">
        <f t="shared" si="61"/>
        <v>5.0741885477357584</v>
      </c>
      <c r="S1029" s="25"/>
      <c r="T1029" s="25"/>
      <c r="U1029" s="27"/>
      <c r="X1029" s="47">
        <v>42669</v>
      </c>
      <c r="Y1029" s="48">
        <f t="shared" si="62"/>
        <v>3.9427923347075535</v>
      </c>
      <c r="Z1029" s="49"/>
      <c r="AA1029" s="49"/>
      <c r="AB1029" s="51"/>
      <c r="AE1029" s="47">
        <v>42669</v>
      </c>
      <c r="AF1029" s="48">
        <f t="shared" si="63"/>
        <v>2.9500457484908287</v>
      </c>
      <c r="AG1029" s="49"/>
      <c r="AH1029" s="49"/>
      <c r="AI1029" s="51"/>
    </row>
    <row r="1030" spans="1:35" x14ac:dyDescent="0.3">
      <c r="A1030" s="20">
        <v>42664</v>
      </c>
      <c r="C1030">
        <f>-(Historical_Simulation!B1031-Historical_Simulation!B1032)</f>
        <v>0.11500000000000199</v>
      </c>
      <c r="E1030">
        <f>-(Historical_Simulation!C1031-Historical_Simulation!C1032)</f>
        <v>-8.6698999999999842</v>
      </c>
      <c r="G1030">
        <f>-(Historical_Simulation!D1031-Historical_Simulation!D1032)</f>
        <v>-2.0699999999999932</v>
      </c>
      <c r="J1030" s="23">
        <v>42668</v>
      </c>
      <c r="K1030" s="24">
        <f t="shared" ref="K1030:K1093" si="64">C1028*$K$3+E1028*(1-$K$3)</f>
        <v>1.5007140199855344</v>
      </c>
      <c r="L1030" s="25"/>
      <c r="M1030" s="25"/>
      <c r="N1030" s="27"/>
      <c r="Q1030" s="23">
        <v>42668</v>
      </c>
      <c r="R1030" s="24">
        <f t="shared" si="61"/>
        <v>0.98150734551364838</v>
      </c>
      <c r="S1030" s="25"/>
      <c r="T1030" s="25"/>
      <c r="U1030" s="27"/>
      <c r="X1030" s="47">
        <v>42668</v>
      </c>
      <c r="Y1030" s="48">
        <f t="shared" si="62"/>
        <v>6.2374927548147552</v>
      </c>
      <c r="Z1030" s="49"/>
      <c r="AA1030" s="49"/>
      <c r="AB1030" s="51"/>
      <c r="AE1030" s="47">
        <v>42668</v>
      </c>
      <c r="AF1030" s="48">
        <f t="shared" si="63"/>
        <v>4.3029096637257442</v>
      </c>
      <c r="AG1030" s="49"/>
      <c r="AH1030" s="49"/>
      <c r="AI1030" s="51"/>
    </row>
    <row r="1031" spans="1:35" x14ac:dyDescent="0.3">
      <c r="A1031" s="20">
        <v>42663</v>
      </c>
      <c r="C1031">
        <f>-(Historical_Simulation!B1032-Historical_Simulation!B1033)</f>
        <v>1.5000000000000568E-2</v>
      </c>
      <c r="E1031">
        <f>-(Historical_Simulation!C1032-Historical_Simulation!C1033)</f>
        <v>7.3697999999999411</v>
      </c>
      <c r="G1031">
        <f>-(Historical_Simulation!D1032-Historical_Simulation!D1033)</f>
        <v>0.11000000000001364</v>
      </c>
      <c r="J1031" s="23">
        <v>42667</v>
      </c>
      <c r="K1031" s="24">
        <f t="shared" si="64"/>
        <v>-10.423760840101684</v>
      </c>
      <c r="L1031" s="25"/>
      <c r="M1031" s="25"/>
      <c r="N1031" s="27"/>
      <c r="Q1031" s="23">
        <v>42667</v>
      </c>
      <c r="R1031" s="24">
        <f t="shared" ref="R1031:R1094" si="65">C1029*$R$3+E1029*(1-$R$3)</f>
        <v>-7.2276927233016366</v>
      </c>
      <c r="S1031" s="25"/>
      <c r="T1031" s="25"/>
      <c r="U1031" s="27"/>
      <c r="X1031" s="47">
        <v>42667</v>
      </c>
      <c r="Y1031" s="48">
        <f t="shared" ref="Y1031:Y1094" si="66">C1029*$Y$3+G1029*(1-$Y$3)</f>
        <v>-5.571402969462258</v>
      </c>
      <c r="Z1031" s="49"/>
      <c r="AA1031" s="49"/>
      <c r="AB1031" s="51"/>
      <c r="AE1031" s="47">
        <v>42667</v>
      </c>
      <c r="AF1031" s="48">
        <f t="shared" ref="AF1031:AF1094" si="67">C1029*$AF$3+G1029*(1-$AF$3)</f>
        <v>-3.9634929003334554</v>
      </c>
      <c r="AG1031" s="49"/>
      <c r="AH1031" s="49"/>
      <c r="AI1031" s="51"/>
    </row>
    <row r="1032" spans="1:35" x14ac:dyDescent="0.3">
      <c r="A1032" s="20">
        <v>42662</v>
      </c>
      <c r="C1032">
        <f>-(Historical_Simulation!B1033-Historical_Simulation!B1034)</f>
        <v>8.7499999999998579E-2</v>
      </c>
      <c r="E1032">
        <f>-(Historical_Simulation!C1033-Historical_Simulation!C1034)</f>
        <v>-3.999999999996362E-2</v>
      </c>
      <c r="G1032">
        <f>-(Historical_Simulation!D1033-Historical_Simulation!D1034)</f>
        <v>-1.5400000000000205</v>
      </c>
      <c r="J1032" s="23">
        <v>42664</v>
      </c>
      <c r="K1032" s="24">
        <f t="shared" si="64"/>
        <v>-4.6236960310341599</v>
      </c>
      <c r="L1032" s="25"/>
      <c r="M1032" s="25"/>
      <c r="N1032" s="27"/>
      <c r="Q1032" s="23">
        <v>42664</v>
      </c>
      <c r="R1032" s="24">
        <f t="shared" si="65"/>
        <v>-3.1332121690094499</v>
      </c>
      <c r="S1032" s="25"/>
      <c r="T1032" s="25"/>
      <c r="U1032" s="27"/>
      <c r="X1032" s="47">
        <v>42664</v>
      </c>
      <c r="Y1032" s="48">
        <f t="shared" si="66"/>
        <v>-12.127694446728167</v>
      </c>
      <c r="Z1032" s="49"/>
      <c r="AA1032" s="49"/>
      <c r="AB1032" s="51"/>
      <c r="AE1032" s="47">
        <v>42664</v>
      </c>
      <c r="AF1032" s="48">
        <f t="shared" si="67"/>
        <v>-8.41974352214093</v>
      </c>
      <c r="AG1032" s="49"/>
      <c r="AH1032" s="49"/>
      <c r="AI1032" s="51"/>
    </row>
    <row r="1033" spans="1:35" x14ac:dyDescent="0.3">
      <c r="A1033" s="20">
        <v>42661</v>
      </c>
      <c r="C1033">
        <f>-(Historical_Simulation!B1034-Historical_Simulation!B1035)</f>
        <v>1.9999999999999574E-2</v>
      </c>
      <c r="E1033">
        <f>-(Historical_Simulation!C1034-Historical_Simulation!C1035)</f>
        <v>-4.6998999999999569</v>
      </c>
      <c r="G1033">
        <f>-(Historical_Simulation!D1034-Historical_Simulation!D1035)</f>
        <v>-1.0299999999999869</v>
      </c>
      <c r="J1033" s="23">
        <v>42663</v>
      </c>
      <c r="K1033" s="24">
        <f t="shared" si="64"/>
        <v>3.9822803980750874</v>
      </c>
      <c r="L1033" s="25"/>
      <c r="M1033" s="25"/>
      <c r="N1033" s="27"/>
      <c r="Q1033" s="23">
        <v>42663</v>
      </c>
      <c r="R1033" s="24">
        <f t="shared" si="65"/>
        <v>2.7344334438218496</v>
      </c>
      <c r="S1033" s="25"/>
      <c r="T1033" s="25"/>
      <c r="U1033" s="27"/>
      <c r="X1033" s="47">
        <v>42663</v>
      </c>
      <c r="Y1033" s="48">
        <f t="shared" si="66"/>
        <v>0.54729106290129981</v>
      </c>
      <c r="Z1033" s="49"/>
      <c r="AA1033" s="49"/>
      <c r="AB1033" s="51"/>
      <c r="AE1033" s="47">
        <v>42663</v>
      </c>
      <c r="AF1033" s="48">
        <f t="shared" si="67"/>
        <v>0.38607580531052776</v>
      </c>
      <c r="AG1033" s="49"/>
      <c r="AH1033" s="49"/>
      <c r="AI1033" s="51"/>
    </row>
    <row r="1034" spans="1:35" x14ac:dyDescent="0.3">
      <c r="A1034" s="20">
        <v>42660</v>
      </c>
      <c r="C1034">
        <f>-(Historical_Simulation!B1035-Historical_Simulation!B1036)</f>
        <v>1.9999999999999574E-2</v>
      </c>
      <c r="E1034">
        <f>-(Historical_Simulation!C1035-Historical_Simulation!C1036)</f>
        <v>10.009999999999991</v>
      </c>
      <c r="G1034">
        <f>-(Historical_Simulation!D1035-Historical_Simulation!D1036)</f>
        <v>0.3399999999999892</v>
      </c>
      <c r="J1034" s="23">
        <v>42662</v>
      </c>
      <c r="K1034" s="24">
        <f t="shared" si="64"/>
        <v>1.8724744282041912E-2</v>
      </c>
      <c r="L1034" s="25"/>
      <c r="M1034" s="25"/>
      <c r="N1034" s="27"/>
      <c r="Q1034" s="23">
        <v>42662</v>
      </c>
      <c r="R1034" s="24">
        <f t="shared" si="65"/>
        <v>4.035694184924183E-2</v>
      </c>
      <c r="S1034" s="25"/>
      <c r="T1034" s="25"/>
      <c r="U1034" s="27"/>
      <c r="X1034" s="47">
        <v>42662</v>
      </c>
      <c r="Y1034" s="48">
        <f t="shared" si="66"/>
        <v>-9.0314863670711105</v>
      </c>
      <c r="Z1034" s="49"/>
      <c r="AA1034" s="49"/>
      <c r="AB1034" s="51"/>
      <c r="AE1034" s="47">
        <v>42662</v>
      </c>
      <c r="AF1034" s="48">
        <f t="shared" si="67"/>
        <v>-6.2696144541348113</v>
      </c>
      <c r="AG1034" s="49"/>
      <c r="AH1034" s="49"/>
      <c r="AI1034" s="51"/>
    </row>
    <row r="1035" spans="1:35" x14ac:dyDescent="0.3">
      <c r="A1035" s="20">
        <v>42657</v>
      </c>
      <c r="C1035">
        <f>-(Historical_Simulation!B1036-Historical_Simulation!B1037)</f>
        <v>-0.16249999999999787</v>
      </c>
      <c r="E1035">
        <f>-(Historical_Simulation!C1036-Historical_Simulation!C1037)</f>
        <v>6.3199999999999363</v>
      </c>
      <c r="G1035">
        <f>-(Historical_Simulation!D1036-Historical_Simulation!D1037)</f>
        <v>-6.0000000000002274E-2</v>
      </c>
      <c r="J1035" s="23">
        <v>42661</v>
      </c>
      <c r="K1035" s="24">
        <f t="shared" si="64"/>
        <v>-2.5259790546139369</v>
      </c>
      <c r="L1035" s="25"/>
      <c r="M1035" s="25"/>
      <c r="N1035" s="27"/>
      <c r="Q1035" s="23">
        <v>42661</v>
      </c>
      <c r="R1035" s="24">
        <f t="shared" si="65"/>
        <v>-1.7251805503201629</v>
      </c>
      <c r="S1035" s="25"/>
      <c r="T1035" s="25"/>
      <c r="U1035" s="27"/>
      <c r="X1035" s="47">
        <v>42661</v>
      </c>
      <c r="Y1035" s="48">
        <f t="shared" si="66"/>
        <v>-5.8632170110134743</v>
      </c>
      <c r="Z1035" s="49"/>
      <c r="AA1035" s="49"/>
      <c r="AB1035" s="51"/>
      <c r="AE1035" s="47">
        <v>42661</v>
      </c>
      <c r="AF1035" s="48">
        <f t="shared" si="67"/>
        <v>-4.0813641639578409</v>
      </c>
      <c r="AG1035" s="49"/>
      <c r="AH1035" s="49"/>
      <c r="AI1035" s="51"/>
    </row>
    <row r="1036" spans="1:35" x14ac:dyDescent="0.3">
      <c r="A1036" s="20">
        <v>42656</v>
      </c>
      <c r="C1036">
        <f>-(Historical_Simulation!B1037-Historical_Simulation!B1038)</f>
        <v>8.9999999999999858E-2</v>
      </c>
      <c r="E1036">
        <f>-(Historical_Simulation!C1037-Historical_Simulation!C1038)</f>
        <v>4.810100000000034</v>
      </c>
      <c r="G1036">
        <f>-(Historical_Simulation!D1037-Historical_Simulation!D1038)</f>
        <v>1.2300000000000182</v>
      </c>
      <c r="J1036" s="23">
        <v>42660</v>
      </c>
      <c r="K1036" s="24">
        <f t="shared" si="64"/>
        <v>5.4087435656673728</v>
      </c>
      <c r="L1036" s="25"/>
      <c r="M1036" s="25"/>
      <c r="N1036" s="27"/>
      <c r="Q1036" s="23">
        <v>42660</v>
      </c>
      <c r="R1036" s="24">
        <f t="shared" si="65"/>
        <v>3.7137972621662674</v>
      </c>
      <c r="S1036" s="25"/>
      <c r="T1036" s="25"/>
      <c r="U1036" s="27"/>
      <c r="X1036" s="47">
        <v>42660</v>
      </c>
      <c r="Y1036" s="48">
        <f t="shared" si="66"/>
        <v>1.8129804224040709</v>
      </c>
      <c r="Z1036" s="49"/>
      <c r="AA1036" s="49"/>
      <c r="AB1036" s="51"/>
      <c r="AE1036" s="47">
        <v>42660</v>
      </c>
      <c r="AF1036" s="48">
        <f t="shared" si="67"/>
        <v>1.2699395547299837</v>
      </c>
      <c r="AG1036" s="49"/>
      <c r="AH1036" s="49"/>
      <c r="AI1036" s="51"/>
    </row>
    <row r="1037" spans="1:35" x14ac:dyDescent="0.3">
      <c r="A1037" s="20">
        <v>42655</v>
      </c>
      <c r="C1037">
        <f>-(Historical_Simulation!B1038-Historical_Simulation!B1039)</f>
        <v>-0.26000000000000156</v>
      </c>
      <c r="E1037">
        <f>-(Historical_Simulation!C1038-Historical_Simulation!C1039)</f>
        <v>-3.0901000000000067</v>
      </c>
      <c r="G1037">
        <f>-(Historical_Simulation!D1038-Historical_Simulation!D1039)</f>
        <v>-0.17000000000001592</v>
      </c>
      <c r="J1037" s="23">
        <v>42657</v>
      </c>
      <c r="K1037" s="24">
        <f t="shared" si="64"/>
        <v>3.3342497662100548</v>
      </c>
      <c r="L1037" s="25"/>
      <c r="M1037" s="25"/>
      <c r="N1037" s="27"/>
      <c r="Q1037" s="23">
        <v>42657</v>
      </c>
      <c r="R1037" s="24">
        <f t="shared" si="65"/>
        <v>2.2344009761754386</v>
      </c>
      <c r="S1037" s="25"/>
      <c r="T1037" s="25"/>
      <c r="U1037" s="27"/>
      <c r="X1037" s="47">
        <v>42657</v>
      </c>
      <c r="Y1037" s="48">
        <f t="shared" si="66"/>
        <v>0.41181404155130014</v>
      </c>
      <c r="Z1037" s="49"/>
      <c r="AA1037" s="49"/>
      <c r="AB1037" s="51"/>
      <c r="AE1037" s="47">
        <v>42657</v>
      </c>
      <c r="AF1037" s="48">
        <f t="shared" si="67"/>
        <v>0.23787126362444597</v>
      </c>
      <c r="AG1037" s="49"/>
      <c r="AH1037" s="49"/>
      <c r="AI1037" s="51"/>
    </row>
    <row r="1038" spans="1:35" x14ac:dyDescent="0.3">
      <c r="A1038" s="20">
        <v>42654</v>
      </c>
      <c r="C1038">
        <f>-(Historical_Simulation!B1039-Historical_Simulation!B1040)</f>
        <v>-6.25E-2</v>
      </c>
      <c r="E1038">
        <f>-(Historical_Simulation!C1039-Historical_Simulation!C1040)</f>
        <v>10.710000000000036</v>
      </c>
      <c r="G1038">
        <f>-(Historical_Simulation!D1039-Historical_Simulation!D1040)</f>
        <v>1.3600000000000136</v>
      </c>
      <c r="J1038" s="23">
        <v>42656</v>
      </c>
      <c r="K1038" s="24">
        <f t="shared" si="64"/>
        <v>2.636086937368046</v>
      </c>
      <c r="L1038" s="25"/>
      <c r="M1038" s="25"/>
      <c r="N1038" s="27"/>
      <c r="Q1038" s="23">
        <v>42656</v>
      </c>
      <c r="R1038" s="24">
        <f t="shared" si="65"/>
        <v>1.8352545002153293</v>
      </c>
      <c r="S1038" s="25"/>
      <c r="T1038" s="25"/>
      <c r="U1038" s="27"/>
      <c r="X1038" s="47">
        <v>42656</v>
      </c>
      <c r="Y1038" s="48">
        <f t="shared" si="66"/>
        <v>6.4774927548148131</v>
      </c>
      <c r="Z1038" s="49"/>
      <c r="AA1038" s="49"/>
      <c r="AB1038" s="51"/>
      <c r="AE1038" s="47">
        <v>42656</v>
      </c>
      <c r="AF1038" s="48">
        <f t="shared" si="67"/>
        <v>4.5429096637257844</v>
      </c>
      <c r="AG1038" s="49"/>
      <c r="AH1038" s="49"/>
      <c r="AI1038" s="51"/>
    </row>
    <row r="1039" spans="1:35" x14ac:dyDescent="0.3">
      <c r="A1039" s="20">
        <v>42653</v>
      </c>
      <c r="C1039">
        <f>-(Historical_Simulation!B1040-Historical_Simulation!B1041)</f>
        <v>-0.49749999999999872</v>
      </c>
      <c r="E1039">
        <f>-(Historical_Simulation!C1040-Historical_Simulation!C1041)</f>
        <v>-2.2801000000000613</v>
      </c>
      <c r="G1039">
        <f>-(Historical_Simulation!D1040-Historical_Simulation!D1041)</f>
        <v>-1.25</v>
      </c>
      <c r="J1039" s="23">
        <v>42655</v>
      </c>
      <c r="K1039" s="24">
        <f t="shared" si="64"/>
        <v>-1.7865949114309601</v>
      </c>
      <c r="L1039" s="25"/>
      <c r="M1039" s="25"/>
      <c r="N1039" s="27"/>
      <c r="Q1039" s="23">
        <v>42655</v>
      </c>
      <c r="R1039" s="24">
        <f t="shared" si="65"/>
        <v>-1.3064279911568366</v>
      </c>
      <c r="S1039" s="25"/>
      <c r="T1039" s="25"/>
      <c r="U1039" s="27"/>
      <c r="X1039" s="47">
        <v>42655</v>
      </c>
      <c r="Y1039" s="48">
        <f t="shared" si="66"/>
        <v>0.24427574380107953</v>
      </c>
      <c r="Z1039" s="49"/>
      <c r="AA1039" s="49"/>
      <c r="AB1039" s="51"/>
      <c r="AE1039" s="47">
        <v>42655</v>
      </c>
      <c r="AF1039" s="48">
        <f t="shared" si="67"/>
        <v>9.1545499767761829E-2</v>
      </c>
      <c r="AG1039" s="49"/>
      <c r="AH1039" s="49"/>
      <c r="AI1039" s="51"/>
    </row>
    <row r="1040" spans="1:35" x14ac:dyDescent="0.3">
      <c r="A1040" s="20">
        <v>42650</v>
      </c>
      <c r="C1040">
        <f>-(Historical_Simulation!B1041-Historical_Simulation!B1042)</f>
        <v>-4.2500000000000426E-2</v>
      </c>
      <c r="E1040">
        <f>-(Historical_Simulation!C1041-Historical_Simulation!C1042)</f>
        <v>2.2300000000000182</v>
      </c>
      <c r="G1040">
        <f>-(Historical_Simulation!D1041-Historical_Simulation!D1042)</f>
        <v>-0.25</v>
      </c>
      <c r="J1040" s="23">
        <v>42654</v>
      </c>
      <c r="K1040" s="24">
        <f t="shared" si="64"/>
        <v>5.7483348409561597</v>
      </c>
      <c r="L1040" s="25"/>
      <c r="M1040" s="25"/>
      <c r="N1040" s="27"/>
      <c r="Q1040" s="23">
        <v>42654</v>
      </c>
      <c r="R1040" s="24">
        <f t="shared" si="65"/>
        <v>3.9206262268955241</v>
      </c>
      <c r="S1040" s="25"/>
      <c r="T1040" s="25"/>
      <c r="U1040" s="27"/>
      <c r="X1040" s="47">
        <v>42654</v>
      </c>
      <c r="Y1040" s="48">
        <f t="shared" si="66"/>
        <v>7.9078582839684328</v>
      </c>
      <c r="Z1040" s="49"/>
      <c r="AA1040" s="49"/>
      <c r="AB1040" s="51"/>
      <c r="AE1040" s="47">
        <v>42654</v>
      </c>
      <c r="AF1040" s="48">
        <f t="shared" si="67"/>
        <v>5.4938719268858662</v>
      </c>
      <c r="AG1040" s="49"/>
      <c r="AH1040" s="49"/>
      <c r="AI1040" s="51"/>
    </row>
    <row r="1041" spans="1:35" x14ac:dyDescent="0.3">
      <c r="A1041" s="20">
        <v>42649</v>
      </c>
      <c r="C1041">
        <f>-(Historical_Simulation!B1042-Historical_Simulation!B1043)</f>
        <v>-0.21000000000000085</v>
      </c>
      <c r="E1041">
        <f>-(Historical_Simulation!C1042-Historical_Simulation!C1043)</f>
        <v>2.7001999999999953</v>
      </c>
      <c r="G1041">
        <f>-(Historical_Simulation!D1042-Historical_Simulation!D1043)</f>
        <v>-0.27000000000001023</v>
      </c>
      <c r="J1041" s="23">
        <v>42653</v>
      </c>
      <c r="K1041" s="24">
        <f t="shared" si="64"/>
        <v>-1.4590589870029023</v>
      </c>
      <c r="L1041" s="25"/>
      <c r="M1041" s="25"/>
      <c r="N1041" s="27"/>
      <c r="Q1041" s="23">
        <v>42653</v>
      </c>
      <c r="R1041" s="24">
        <f t="shared" si="65"/>
        <v>-1.1566154153691506</v>
      </c>
      <c r="S1041" s="25"/>
      <c r="T1041" s="25"/>
      <c r="U1041" s="27"/>
      <c r="X1041" s="47">
        <v>42653</v>
      </c>
      <c r="Y1041" s="48">
        <f t="shared" si="66"/>
        <v>-4.7138055245597172</v>
      </c>
      <c r="Z1041" s="49"/>
      <c r="AA1041" s="49"/>
      <c r="AB1041" s="51"/>
      <c r="AE1041" s="47">
        <v>42653</v>
      </c>
      <c r="AF1041" s="48">
        <f t="shared" si="67"/>
        <v>-3.4368109841698269</v>
      </c>
      <c r="AG1041" s="49"/>
      <c r="AH1041" s="49"/>
      <c r="AI1041" s="51"/>
    </row>
    <row r="1042" spans="1:35" x14ac:dyDescent="0.3">
      <c r="A1042" s="20">
        <v>42648</v>
      </c>
      <c r="C1042">
        <f>-(Historical_Simulation!B1043-Historical_Simulation!B1044)</f>
        <v>-1.2499999999999289E-2</v>
      </c>
      <c r="E1042">
        <f>-(Historical_Simulation!C1043-Historical_Simulation!C1044)</f>
        <v>-10.330100000000016</v>
      </c>
      <c r="G1042">
        <f>-(Historical_Simulation!D1043-Historical_Simulation!D1044)</f>
        <v>-0.28000000000000114</v>
      </c>
      <c r="J1042" s="23">
        <v>42650</v>
      </c>
      <c r="K1042" s="24">
        <f t="shared" si="64"/>
        <v>1.1833177930910124</v>
      </c>
      <c r="L1042" s="25"/>
      <c r="M1042" s="25"/>
      <c r="N1042" s="27"/>
      <c r="Q1042" s="23">
        <v>42650</v>
      </c>
      <c r="R1042" s="24">
        <f t="shared" si="65"/>
        <v>0.79775568351080239</v>
      </c>
      <c r="S1042" s="25"/>
      <c r="T1042" s="25"/>
      <c r="U1042" s="27"/>
      <c r="X1042" s="47">
        <v>42650</v>
      </c>
      <c r="Y1042" s="48">
        <f t="shared" si="66"/>
        <v>-1.2051357426526756</v>
      </c>
      <c r="Z1042" s="49"/>
      <c r="AA1042" s="49"/>
      <c r="AB1042" s="51"/>
      <c r="AE1042" s="47">
        <v>42650</v>
      </c>
      <c r="AF1042" s="48">
        <f t="shared" si="67"/>
        <v>-0.85300768002024918</v>
      </c>
      <c r="AG1042" s="49"/>
      <c r="AH1042" s="49"/>
      <c r="AI1042" s="51"/>
    </row>
    <row r="1043" spans="1:35" x14ac:dyDescent="0.3">
      <c r="A1043" s="20">
        <v>42647</v>
      </c>
      <c r="C1043">
        <f>-(Historical_Simulation!B1044-Historical_Simulation!B1045)</f>
        <v>-0.12000000000000099</v>
      </c>
      <c r="E1043">
        <f>-(Historical_Simulation!C1044-Historical_Simulation!C1045)</f>
        <v>2.7100000000000364</v>
      </c>
      <c r="G1043">
        <f>-(Historical_Simulation!D1044-Historical_Simulation!D1045)</f>
        <v>0.58000000000001251</v>
      </c>
      <c r="J1043" s="23">
        <v>42649</v>
      </c>
      <c r="K1043" s="24">
        <f t="shared" si="64"/>
        <v>1.3598019544349527</v>
      </c>
      <c r="L1043" s="25"/>
      <c r="M1043" s="25"/>
      <c r="N1043" s="27"/>
      <c r="Q1043" s="23">
        <v>42649</v>
      </c>
      <c r="R1043" s="24">
        <f t="shared" si="65"/>
        <v>0.86604492415978562</v>
      </c>
      <c r="S1043" s="25"/>
      <c r="T1043" s="25"/>
      <c r="U1043" s="27"/>
      <c r="X1043" s="47">
        <v>42649</v>
      </c>
      <c r="Y1043" s="48">
        <f t="shared" si="66"/>
        <v>-0.54618382920082775</v>
      </c>
      <c r="Z1043" s="49"/>
      <c r="AA1043" s="49"/>
      <c r="AB1043" s="51"/>
      <c r="AE1043" s="47">
        <v>42649</v>
      </c>
      <c r="AF1043" s="48">
        <f t="shared" si="67"/>
        <v>-0.44436366651191705</v>
      </c>
      <c r="AG1043" s="49"/>
      <c r="AH1043" s="49"/>
      <c r="AI1043" s="51"/>
    </row>
    <row r="1044" spans="1:35" x14ac:dyDescent="0.3">
      <c r="A1044" s="20">
        <v>42646</v>
      </c>
      <c r="C1044">
        <f>-(Historical_Simulation!B1045-Historical_Simulation!B1046)</f>
        <v>0.13250000000000028</v>
      </c>
      <c r="E1044">
        <f>-(Historical_Simulation!C1045-Historical_Simulation!C1046)</f>
        <v>0.57010000000002492</v>
      </c>
      <c r="G1044">
        <f>-(Historical_Simulation!D1045-Historical_Simulation!D1046)</f>
        <v>-0.5</v>
      </c>
      <c r="J1044" s="23">
        <v>42648</v>
      </c>
      <c r="K1044" s="24">
        <f t="shared" si="64"/>
        <v>-5.5779555168298129</v>
      </c>
      <c r="L1044" s="25"/>
      <c r="M1044" s="25"/>
      <c r="N1044" s="27"/>
      <c r="Q1044" s="23">
        <v>42648</v>
      </c>
      <c r="R1044" s="24">
        <f t="shared" si="65"/>
        <v>-3.8274271904030801</v>
      </c>
      <c r="S1044" s="25"/>
      <c r="T1044" s="25"/>
      <c r="U1044" s="27"/>
      <c r="X1044" s="47">
        <v>42648</v>
      </c>
      <c r="Y1044" s="48">
        <f t="shared" si="66"/>
        <v>-1.5113195718534616</v>
      </c>
      <c r="Z1044" s="49"/>
      <c r="AA1044" s="49"/>
      <c r="AB1044" s="51"/>
      <c r="AE1044" s="47">
        <v>42648</v>
      </c>
      <c r="AF1044" s="48">
        <f t="shared" si="67"/>
        <v>-1.0573713465321366</v>
      </c>
      <c r="AG1044" s="49"/>
      <c r="AH1044" s="49"/>
      <c r="AI1044" s="51"/>
    </row>
    <row r="1045" spans="1:35" x14ac:dyDescent="0.3">
      <c r="A1045" s="20">
        <v>42643</v>
      </c>
      <c r="C1045">
        <f>-(Historical_Simulation!B1046-Historical_Simulation!B1047)</f>
        <v>-0.21749999999999758</v>
      </c>
      <c r="E1045">
        <f>-(Historical_Simulation!C1046-Historical_Simulation!C1047)</f>
        <v>-8.2601000000000795</v>
      </c>
      <c r="G1045">
        <f>-(Historical_Simulation!D1046-Historical_Simulation!D1047)</f>
        <v>-0.18000000000000682</v>
      </c>
      <c r="J1045" s="23">
        <v>42647</v>
      </c>
      <c r="K1045" s="24">
        <f t="shared" si="64"/>
        <v>1.4065409700539413</v>
      </c>
      <c r="L1045" s="25"/>
      <c r="M1045" s="25"/>
      <c r="N1045" s="27"/>
      <c r="Q1045" s="23">
        <v>42647</v>
      </c>
      <c r="R1045" s="24">
        <f t="shared" si="65"/>
        <v>0.92639101620927666</v>
      </c>
      <c r="S1045" s="25"/>
      <c r="T1045" s="25"/>
      <c r="U1045" s="27"/>
      <c r="X1045" s="47">
        <v>42647</v>
      </c>
      <c r="Y1045" s="48">
        <f t="shared" si="66"/>
        <v>3.8021446740091078</v>
      </c>
      <c r="Z1045" s="49"/>
      <c r="AA1045" s="49"/>
      <c r="AB1045" s="51"/>
      <c r="AE1045" s="47">
        <v>42647</v>
      </c>
      <c r="AF1045" s="48">
        <f t="shared" si="67"/>
        <v>2.6142427759719808</v>
      </c>
      <c r="AG1045" s="49"/>
      <c r="AH1045" s="49"/>
      <c r="AI1045" s="51"/>
    </row>
    <row r="1046" spans="1:35" x14ac:dyDescent="0.3">
      <c r="A1046" s="20">
        <v>42642</v>
      </c>
      <c r="C1046">
        <f>-(Historical_Simulation!B1047-Historical_Simulation!B1048)</f>
        <v>0.44249999999999901</v>
      </c>
      <c r="E1046">
        <f>-(Historical_Simulation!C1047-Historical_Simulation!C1048)</f>
        <v>-0.32999999999992724</v>
      </c>
      <c r="G1046">
        <f>-(Historical_Simulation!D1047-Historical_Simulation!D1048)</f>
        <v>1.1399999999999864</v>
      </c>
      <c r="J1046" s="23">
        <v>42646</v>
      </c>
      <c r="K1046" s="24">
        <f t="shared" si="64"/>
        <v>0.36854746589951759</v>
      </c>
      <c r="L1046" s="25"/>
      <c r="M1046" s="25"/>
      <c r="N1046" s="27"/>
      <c r="Q1046" s="23">
        <v>42646</v>
      </c>
      <c r="R1046" s="24">
        <f t="shared" si="65"/>
        <v>0.29430237056296837</v>
      </c>
      <c r="S1046" s="25"/>
      <c r="T1046" s="25"/>
      <c r="U1046" s="27"/>
      <c r="X1046" s="47">
        <v>42646</v>
      </c>
      <c r="Y1046" s="48">
        <f t="shared" si="66"/>
        <v>-3.4114378661581632</v>
      </c>
      <c r="Z1046" s="49"/>
      <c r="AA1046" s="49"/>
      <c r="AB1046" s="51"/>
      <c r="AE1046" s="47">
        <v>42646</v>
      </c>
      <c r="AF1046" s="48">
        <f t="shared" si="67"/>
        <v>-2.3380836511460652</v>
      </c>
      <c r="AG1046" s="49"/>
      <c r="AH1046" s="49"/>
      <c r="AI1046" s="51"/>
    </row>
    <row r="1047" spans="1:35" x14ac:dyDescent="0.3">
      <c r="A1047" s="20">
        <v>42641</v>
      </c>
      <c r="C1047">
        <f>-(Historical_Simulation!B1048-Historical_Simulation!B1049)</f>
        <v>-0.21499999999999986</v>
      </c>
      <c r="E1047">
        <f>-(Historical_Simulation!C1048-Historical_Simulation!C1049)</f>
        <v>-12.609900000000039</v>
      </c>
      <c r="G1047">
        <f>-(Historical_Simulation!D1048-Historical_Simulation!D1049)</f>
        <v>-0.53999999999999204</v>
      </c>
      <c r="J1047" s="23">
        <v>42643</v>
      </c>
      <c r="K1047" s="24">
        <f t="shared" si="64"/>
        <v>-4.5557891893130007</v>
      </c>
      <c r="L1047" s="25"/>
      <c r="M1047" s="25"/>
      <c r="N1047" s="27"/>
      <c r="Q1047" s="23">
        <v>42643</v>
      </c>
      <c r="R1047" s="24">
        <f t="shared" si="65"/>
        <v>-3.1912471332030758</v>
      </c>
      <c r="S1047" s="25"/>
      <c r="T1047" s="25"/>
      <c r="U1047" s="27"/>
      <c r="X1047" s="47">
        <v>42643</v>
      </c>
      <c r="Y1047" s="48">
        <f t="shared" si="66"/>
        <v>-7.3851067495653844E-3</v>
      </c>
      <c r="Z1047" s="49"/>
      <c r="AA1047" s="49"/>
      <c r="AB1047" s="51"/>
      <c r="AE1047" s="47">
        <v>42643</v>
      </c>
      <c r="AF1047" s="48">
        <f t="shared" si="67"/>
        <v>-7.1022708430108938E-2</v>
      </c>
      <c r="AG1047" s="49"/>
      <c r="AH1047" s="49"/>
      <c r="AI1047" s="51"/>
    </row>
    <row r="1048" spans="1:35" x14ac:dyDescent="0.3">
      <c r="A1048" s="20">
        <v>42640</v>
      </c>
      <c r="C1048">
        <f>-(Historical_Simulation!B1049-Historical_Simulation!B1050)</f>
        <v>-5.250000000000199E-2</v>
      </c>
      <c r="E1048">
        <f>-(Historical_Simulation!C1049-Historical_Simulation!C1050)</f>
        <v>-16.950199999999995</v>
      </c>
      <c r="G1048">
        <f>-(Historical_Simulation!D1049-Historical_Simulation!D1050)</f>
        <v>-1.3799999999999955</v>
      </c>
      <c r="J1048" s="23">
        <v>42642</v>
      </c>
      <c r="K1048" s="24">
        <f t="shared" si="64"/>
        <v>2.5802862414648353E-2</v>
      </c>
      <c r="L1048" s="25"/>
      <c r="M1048" s="25"/>
      <c r="N1048" s="27"/>
      <c r="Q1048" s="23">
        <v>42642</v>
      </c>
      <c r="R1048" s="24">
        <f t="shared" si="65"/>
        <v>0.15686853002770954</v>
      </c>
      <c r="S1048" s="25"/>
      <c r="T1048" s="25"/>
      <c r="U1048" s="27"/>
      <c r="X1048" s="47">
        <v>42642</v>
      </c>
      <c r="Y1048" s="48">
        <f t="shared" si="66"/>
        <v>4.350637014458929</v>
      </c>
      <c r="Z1048" s="49"/>
      <c r="AA1048" s="49"/>
      <c r="AB1048" s="51"/>
      <c r="AE1048" s="47">
        <v>42642</v>
      </c>
      <c r="AF1048" s="48">
        <f t="shared" si="67"/>
        <v>3.1669776232005509</v>
      </c>
      <c r="AG1048" s="49"/>
      <c r="AH1048" s="49"/>
      <c r="AI1048" s="51"/>
    </row>
    <row r="1049" spans="1:35" x14ac:dyDescent="0.3">
      <c r="A1049" s="20">
        <v>42639</v>
      </c>
      <c r="C1049">
        <f>-(Historical_Simulation!B1050-Historical_Simulation!B1051)</f>
        <v>-4.2500000000000426E-2</v>
      </c>
      <c r="E1049">
        <f>-(Historical_Simulation!C1050-Historical_Simulation!C1051)</f>
        <v>6.5901000000000067</v>
      </c>
      <c r="G1049">
        <f>-(Historical_Simulation!D1050-Historical_Simulation!D1051)</f>
        <v>0.64999999999999147</v>
      </c>
      <c r="J1049" s="23">
        <v>42641</v>
      </c>
      <c r="K1049" s="24">
        <f t="shared" si="64"/>
        <v>-6.9009797419510308</v>
      </c>
      <c r="L1049" s="25"/>
      <c r="M1049" s="25"/>
      <c r="N1049" s="27"/>
      <c r="Q1049" s="23">
        <v>42641</v>
      </c>
      <c r="R1049" s="24">
        <f t="shared" si="65"/>
        <v>-4.7980077762587436</v>
      </c>
      <c r="S1049" s="25"/>
      <c r="T1049" s="25"/>
      <c r="U1049" s="27"/>
      <c r="X1049" s="47">
        <v>42641</v>
      </c>
      <c r="Y1049" s="48">
        <f t="shared" si="66"/>
        <v>-2.0359957415041499</v>
      </c>
      <c r="Z1049" s="49"/>
      <c r="AA1049" s="49"/>
      <c r="AB1049" s="51"/>
      <c r="AE1049" s="47">
        <v>42641</v>
      </c>
      <c r="AF1049" s="48">
        <f t="shared" si="67"/>
        <v>-1.4844698602726505</v>
      </c>
      <c r="AG1049" s="49"/>
      <c r="AH1049" s="49"/>
      <c r="AI1049" s="51"/>
    </row>
    <row r="1050" spans="1:35" x14ac:dyDescent="0.3">
      <c r="A1050" s="20">
        <v>42636</v>
      </c>
      <c r="C1050">
        <f>-(Historical_Simulation!B1051-Historical_Simulation!B1052)</f>
        <v>0.4775000000000027</v>
      </c>
      <c r="E1050">
        <f>-(Historical_Simulation!C1051-Historical_Simulation!C1052)</f>
        <v>-1.0499999999999545</v>
      </c>
      <c r="G1050">
        <f>-(Historical_Simulation!D1051-Historical_Simulation!D1052)</f>
        <v>2.1200000000000188</v>
      </c>
      <c r="J1050" s="23">
        <v>42640</v>
      </c>
      <c r="K1050" s="24">
        <f t="shared" si="64"/>
        <v>-9.1673520670247903</v>
      </c>
      <c r="L1050" s="25"/>
      <c r="M1050" s="25"/>
      <c r="N1050" s="27"/>
      <c r="Q1050" s="23">
        <v>42640</v>
      </c>
      <c r="R1050" s="24">
        <f t="shared" si="65"/>
        <v>-6.3004157154061051</v>
      </c>
      <c r="S1050" s="25"/>
      <c r="T1050" s="25"/>
      <c r="U1050" s="27"/>
      <c r="X1050" s="47">
        <v>42640</v>
      </c>
      <c r="Y1050" s="48">
        <f t="shared" si="66"/>
        <v>-7.4905672210670966</v>
      </c>
      <c r="Z1050" s="49"/>
      <c r="AA1050" s="49"/>
      <c r="AB1050" s="51"/>
      <c r="AE1050" s="47">
        <v>42640</v>
      </c>
      <c r="AF1050" s="48">
        <f t="shared" si="67"/>
        <v>-5.2377961215753137</v>
      </c>
      <c r="AG1050" s="49"/>
      <c r="AH1050" s="49"/>
      <c r="AI1050" s="51"/>
    </row>
    <row r="1051" spans="1:35" x14ac:dyDescent="0.3">
      <c r="A1051" s="20">
        <v>42635</v>
      </c>
      <c r="C1051">
        <f>-(Historical_Simulation!B1052-Historical_Simulation!B1053)</f>
        <v>-0.26750000000000185</v>
      </c>
      <c r="E1051">
        <f>-(Historical_Simulation!C1052-Historical_Simulation!C1053)</f>
        <v>-14.960000000000036</v>
      </c>
      <c r="G1051">
        <f>-(Historical_Simulation!D1052-Historical_Simulation!D1053)</f>
        <v>-0.14000000000001478</v>
      </c>
      <c r="J1051" s="23">
        <v>42639</v>
      </c>
      <c r="K1051" s="24">
        <f t="shared" si="64"/>
        <v>3.5352157731376868</v>
      </c>
      <c r="L1051" s="25"/>
      <c r="M1051" s="25"/>
      <c r="N1051" s="27"/>
      <c r="Q1051" s="23">
        <v>42639</v>
      </c>
      <c r="R1051" s="24">
        <f t="shared" si="65"/>
        <v>2.4099003724768799</v>
      </c>
      <c r="S1051" s="25"/>
      <c r="T1051" s="25"/>
      <c r="U1051" s="27"/>
      <c r="X1051" s="47">
        <v>42639</v>
      </c>
      <c r="Y1051" s="48">
        <f t="shared" si="66"/>
        <v>3.8376216953588904</v>
      </c>
      <c r="Z1051" s="49"/>
      <c r="AA1051" s="49"/>
      <c r="AB1051" s="51"/>
      <c r="AE1051" s="47">
        <v>42639</v>
      </c>
      <c r="AF1051" s="48">
        <f t="shared" si="67"/>
        <v>2.6624473176579118</v>
      </c>
      <c r="AG1051" s="49"/>
      <c r="AH1051" s="49"/>
      <c r="AI1051" s="51"/>
    </row>
    <row r="1052" spans="1:35" x14ac:dyDescent="0.3">
      <c r="A1052" s="20">
        <v>42634</v>
      </c>
      <c r="C1052">
        <f>-(Historical_Simulation!B1053-Historical_Simulation!B1054)</f>
        <v>4.9999999999990052E-3</v>
      </c>
      <c r="E1052">
        <f>-(Historical_Simulation!C1053-Historical_Simulation!C1054)</f>
        <v>-9.5199999999999818</v>
      </c>
      <c r="G1052">
        <f>-(Historical_Simulation!D1053-Historical_Simulation!D1054)</f>
        <v>-1.3000000000000114</v>
      </c>
      <c r="J1052" s="23">
        <v>42636</v>
      </c>
      <c r="K1052" s="24">
        <f t="shared" si="64"/>
        <v>-0.34645453418985628</v>
      </c>
      <c r="L1052" s="25"/>
      <c r="M1052" s="25"/>
      <c r="N1052" s="27"/>
      <c r="Q1052" s="23">
        <v>42636</v>
      </c>
      <c r="R1052" s="24">
        <f t="shared" si="65"/>
        <v>-8.7292324119999376E-2</v>
      </c>
      <c r="S1052" s="25"/>
      <c r="T1052" s="25"/>
      <c r="U1052" s="27"/>
      <c r="X1052" s="47">
        <v>42636</v>
      </c>
      <c r="Y1052" s="48">
        <f t="shared" si="66"/>
        <v>9.6805323243712884</v>
      </c>
      <c r="Z1052" s="49"/>
      <c r="AA1052" s="49"/>
      <c r="AB1052" s="51"/>
      <c r="AE1052" s="47">
        <v>42636</v>
      </c>
      <c r="AF1052" s="48">
        <f t="shared" si="67"/>
        <v>6.8932053707627698</v>
      </c>
      <c r="AG1052" s="49"/>
      <c r="AH1052" s="49"/>
      <c r="AI1052" s="51"/>
    </row>
    <row r="1053" spans="1:35" x14ac:dyDescent="0.3">
      <c r="A1053" s="20">
        <v>42633</v>
      </c>
      <c r="C1053">
        <f>-(Historical_Simulation!B1054-Historical_Simulation!B1055)</f>
        <v>2.500000000001279E-3</v>
      </c>
      <c r="E1053">
        <f>-(Historical_Simulation!C1054-Historical_Simulation!C1055)</f>
        <v>-5.1199000000000296</v>
      </c>
      <c r="G1053">
        <f>-(Historical_Simulation!D1054-Historical_Simulation!D1055)</f>
        <v>1.0000000000019327E-2</v>
      </c>
      <c r="J1053" s="23">
        <v>42635</v>
      </c>
      <c r="K1053" s="24">
        <f t="shared" si="64"/>
        <v>-8.1928368206774955</v>
      </c>
      <c r="L1053" s="25"/>
      <c r="M1053" s="25"/>
      <c r="N1053" s="27"/>
      <c r="Q1053" s="23">
        <v>42635</v>
      </c>
      <c r="R1053" s="24">
        <f t="shared" si="65"/>
        <v>-5.7000441716094175</v>
      </c>
      <c r="S1053" s="25"/>
      <c r="T1053" s="25"/>
      <c r="U1053" s="27"/>
      <c r="X1053" s="47">
        <v>42635</v>
      </c>
      <c r="Y1053" s="48">
        <f t="shared" si="66"/>
        <v>0.44689063705157095</v>
      </c>
      <c r="Z1053" s="49"/>
      <c r="AA1053" s="49"/>
      <c r="AB1053" s="51"/>
      <c r="AE1053" s="47">
        <v>42635</v>
      </c>
      <c r="AF1053" s="48">
        <f t="shared" si="67"/>
        <v>0.23052279133769193</v>
      </c>
      <c r="AG1053" s="49"/>
      <c r="AH1053" s="49"/>
      <c r="AI1053" s="51"/>
    </row>
    <row r="1054" spans="1:35" x14ac:dyDescent="0.3">
      <c r="A1054" s="20">
        <v>42632</v>
      </c>
      <c r="C1054">
        <f>-(Historical_Simulation!B1055-Historical_Simulation!B1056)</f>
        <v>0.33500000000000085</v>
      </c>
      <c r="E1054">
        <f>-(Historical_Simulation!C1055-Historical_Simulation!C1056)</f>
        <v>3.4198999999999842</v>
      </c>
      <c r="G1054">
        <f>-(Historical_Simulation!D1055-Historical_Simulation!D1056)</f>
        <v>0.41999999999998749</v>
      </c>
      <c r="J1054" s="23">
        <v>42634</v>
      </c>
      <c r="K1054" s="24">
        <f t="shared" si="64"/>
        <v>-5.1329161624606296</v>
      </c>
      <c r="L1054" s="25"/>
      <c r="M1054" s="25"/>
      <c r="N1054" s="27"/>
      <c r="Q1054" s="23">
        <v>42634</v>
      </c>
      <c r="R1054" s="24">
        <f t="shared" si="65"/>
        <v>-3.5168637559693363</v>
      </c>
      <c r="S1054" s="25"/>
      <c r="T1054" s="25"/>
      <c r="U1054" s="27"/>
      <c r="X1054" s="47">
        <v>42634</v>
      </c>
      <c r="Y1054" s="48">
        <f t="shared" si="66"/>
        <v>-7.3069982851169</v>
      </c>
      <c r="Z1054" s="49"/>
      <c r="AA1054" s="49"/>
      <c r="AB1054" s="51"/>
      <c r="AE1054" s="47">
        <v>42634</v>
      </c>
      <c r="AF1054" s="48">
        <f t="shared" si="67"/>
        <v>-5.0924097466334235</v>
      </c>
      <c r="AG1054" s="49"/>
      <c r="AH1054" s="49"/>
      <c r="AI1054" s="51"/>
    </row>
    <row r="1055" spans="1:35" x14ac:dyDescent="0.3">
      <c r="A1055" s="20">
        <v>42629</v>
      </c>
      <c r="C1055">
        <f>-(Historical_Simulation!B1056-Historical_Simulation!B1057)</f>
        <v>0.16249999999999787</v>
      </c>
      <c r="E1055">
        <f>-(Historical_Simulation!C1056-Historical_Simulation!C1057)</f>
        <v>-8.8301000000000158</v>
      </c>
      <c r="G1055">
        <f>-(Historical_Simulation!D1056-Historical_Simulation!D1057)</f>
        <v>-0.71999999999999886</v>
      </c>
      <c r="J1055" s="23">
        <v>42633</v>
      </c>
      <c r="K1055" s="24">
        <f t="shared" si="64"/>
        <v>-2.760593097174648</v>
      </c>
      <c r="L1055" s="25"/>
      <c r="M1055" s="25"/>
      <c r="N1055" s="27"/>
      <c r="Q1055" s="23">
        <v>42633</v>
      </c>
      <c r="R1055" s="24">
        <f t="shared" si="65"/>
        <v>-1.891504714286347</v>
      </c>
      <c r="S1055" s="25"/>
      <c r="T1055" s="25"/>
      <c r="U1055" s="27"/>
      <c r="X1055" s="47">
        <v>42633</v>
      </c>
      <c r="Y1055" s="48">
        <f t="shared" si="66"/>
        <v>4.4522978650199184E-2</v>
      </c>
      <c r="Z1055" s="49"/>
      <c r="AA1055" s="49"/>
      <c r="AB1055" s="51"/>
      <c r="AE1055" s="47">
        <v>42633</v>
      </c>
      <c r="AF1055" s="48">
        <f t="shared" si="67"/>
        <v>3.1795458314056731E-2</v>
      </c>
      <c r="AG1055" s="49"/>
      <c r="AH1055" s="49"/>
      <c r="AI1055" s="51"/>
    </row>
    <row r="1056" spans="1:35" x14ac:dyDescent="0.3">
      <c r="A1056" s="20">
        <v>42628</v>
      </c>
      <c r="C1056">
        <f>-(Historical_Simulation!B1057-Historical_Simulation!B1058)</f>
        <v>-0.94999999999999929</v>
      </c>
      <c r="E1056">
        <f>-(Historical_Simulation!C1057-Historical_Simulation!C1058)</f>
        <v>-8.5997999999999593</v>
      </c>
      <c r="G1056">
        <f>-(Historical_Simulation!D1057-Historical_Simulation!D1058)</f>
        <v>-0.57999999999999829</v>
      </c>
      <c r="J1056" s="23">
        <v>42632</v>
      </c>
      <c r="K1056" s="24">
        <f t="shared" si="64"/>
        <v>1.9990375401128344</v>
      </c>
      <c r="L1056" s="25"/>
      <c r="M1056" s="25"/>
      <c r="N1056" s="27"/>
      <c r="Q1056" s="23">
        <v>42632</v>
      </c>
      <c r="R1056" s="24">
        <f t="shared" si="65"/>
        <v>1.475640157563231</v>
      </c>
      <c r="S1056" s="25"/>
      <c r="T1056" s="25"/>
      <c r="U1056" s="27"/>
      <c r="X1056" s="47">
        <v>42632</v>
      </c>
      <c r="Y1056" s="48">
        <f t="shared" si="66"/>
        <v>0.81126042470102266</v>
      </c>
      <c r="Z1056" s="49"/>
      <c r="AA1056" s="49"/>
      <c r="AB1056" s="51"/>
      <c r="AE1056" s="47">
        <v>42632</v>
      </c>
      <c r="AF1056" s="48">
        <f t="shared" si="67"/>
        <v>0.66701519422511146</v>
      </c>
      <c r="AG1056" s="49"/>
      <c r="AH1056" s="49"/>
      <c r="AI1056" s="51"/>
    </row>
    <row r="1057" spans="1:35" x14ac:dyDescent="0.3">
      <c r="A1057" s="20">
        <v>42627</v>
      </c>
      <c r="C1057">
        <f>-(Historical_Simulation!B1058-Historical_Simulation!B1059)</f>
        <v>-0.95499999999999829</v>
      </c>
      <c r="E1057">
        <f>-(Historical_Simulation!C1058-Historical_Simulation!C1059)</f>
        <v>-8.0100000000015825E-2</v>
      </c>
      <c r="G1057">
        <f>-(Historical_Simulation!D1058-Historical_Simulation!D1059)</f>
        <v>-0.56000000000000227</v>
      </c>
      <c r="J1057" s="23">
        <v>42629</v>
      </c>
      <c r="K1057" s="24">
        <f t="shared" si="64"/>
        <v>-4.6882322711331899</v>
      </c>
      <c r="L1057" s="25"/>
      <c r="M1057" s="25"/>
      <c r="N1057" s="27"/>
      <c r="Q1057" s="23">
        <v>42629</v>
      </c>
      <c r="R1057" s="24">
        <f t="shared" si="65"/>
        <v>-3.1625091351107586</v>
      </c>
      <c r="S1057" s="25"/>
      <c r="T1057" s="25"/>
      <c r="U1057" s="27"/>
      <c r="X1057" s="47">
        <v>42629</v>
      </c>
      <c r="Y1057" s="48">
        <f t="shared" si="66"/>
        <v>-4.7822038211613718</v>
      </c>
      <c r="Z1057" s="49"/>
      <c r="AA1057" s="49"/>
      <c r="AB1057" s="51"/>
      <c r="AE1057" s="47">
        <v>42629</v>
      </c>
      <c r="AF1057" s="48">
        <f t="shared" si="67"/>
        <v>-3.2845989282788857</v>
      </c>
      <c r="AG1057" s="49"/>
      <c r="AH1057" s="49"/>
      <c r="AI1057" s="51"/>
    </row>
    <row r="1058" spans="1:35" x14ac:dyDescent="0.3">
      <c r="A1058" s="20">
        <v>42626</v>
      </c>
      <c r="C1058">
        <f>-(Historical_Simulation!B1059-Historical_Simulation!B1060)</f>
        <v>-0.62750000000000128</v>
      </c>
      <c r="E1058">
        <f>-(Historical_Simulation!C1059-Historical_Simulation!C1060)</f>
        <v>10.480000000000018</v>
      </c>
      <c r="G1058">
        <f>-(Historical_Simulation!D1059-Historical_Simulation!D1060)</f>
        <v>1.480000000000004</v>
      </c>
      <c r="J1058" s="23">
        <v>42628</v>
      </c>
      <c r="K1058" s="24">
        <f t="shared" si="64"/>
        <v>-5.0764074603245337</v>
      </c>
      <c r="L1058" s="25"/>
      <c r="M1058" s="25"/>
      <c r="N1058" s="27"/>
      <c r="Q1058" s="23">
        <v>42628</v>
      </c>
      <c r="R1058" s="24">
        <f t="shared" si="65"/>
        <v>-3.7785095391510897</v>
      </c>
      <c r="S1058" s="25"/>
      <c r="T1058" s="25"/>
      <c r="U1058" s="27"/>
      <c r="X1058" s="47">
        <v>42628</v>
      </c>
      <c r="Y1058" s="48">
        <f t="shared" si="66"/>
        <v>1.1231336134047809</v>
      </c>
      <c r="Z1058" s="49"/>
      <c r="AA1058" s="49"/>
      <c r="AB1058" s="51"/>
      <c r="AE1058" s="47">
        <v>42628</v>
      </c>
      <c r="AF1058" s="48">
        <f t="shared" si="67"/>
        <v>0.49524261015659565</v>
      </c>
      <c r="AG1058" s="49"/>
      <c r="AH1058" s="49"/>
      <c r="AI1058" s="51"/>
    </row>
    <row r="1059" spans="1:35" x14ac:dyDescent="0.3">
      <c r="A1059" s="20">
        <v>42625</v>
      </c>
      <c r="C1059">
        <f>-(Historical_Simulation!B1060-Historical_Simulation!B1061)</f>
        <v>-0.57750000000000057</v>
      </c>
      <c r="E1059">
        <f>-(Historical_Simulation!C1060-Historical_Simulation!C1061)</f>
        <v>-11.350099999999998</v>
      </c>
      <c r="G1059">
        <f>-(Historical_Simulation!D1060-Historical_Simulation!D1061)</f>
        <v>-1.5900000000000034</v>
      </c>
      <c r="J1059" s="23">
        <v>42627</v>
      </c>
      <c r="K1059" s="24">
        <f t="shared" si="64"/>
        <v>-0.48306689233210082</v>
      </c>
      <c r="L1059" s="25"/>
      <c r="M1059" s="25"/>
      <c r="N1059" s="27"/>
      <c r="Q1059" s="23">
        <v>42627</v>
      </c>
      <c r="R1059" s="24">
        <f t="shared" si="65"/>
        <v>-0.63150618371679457</v>
      </c>
      <c r="S1059" s="25"/>
      <c r="T1059" s="25"/>
      <c r="U1059" s="27"/>
      <c r="X1059" s="47">
        <v>42627</v>
      </c>
      <c r="Y1059" s="48">
        <f t="shared" si="66"/>
        <v>1.2582102089050768</v>
      </c>
      <c r="Z1059" s="49"/>
      <c r="AA1059" s="49"/>
      <c r="AB1059" s="51"/>
      <c r="AE1059" s="47">
        <v>42627</v>
      </c>
      <c r="AF1059" s="48">
        <f t="shared" si="67"/>
        <v>0.58789413786986033</v>
      </c>
      <c r="AG1059" s="49"/>
      <c r="AH1059" s="49"/>
      <c r="AI1059" s="51"/>
    </row>
    <row r="1060" spans="1:35" x14ac:dyDescent="0.3">
      <c r="A1060" s="20">
        <v>42622</v>
      </c>
      <c r="C1060">
        <f>-(Historical_Simulation!B1061-Historical_Simulation!B1062)</f>
        <v>0.59750000000000014</v>
      </c>
      <c r="E1060">
        <f>-(Historical_Simulation!C1061-Historical_Simulation!C1062)</f>
        <v>23.920200000000023</v>
      </c>
      <c r="G1060">
        <f>-(Historical_Simulation!D1061-Historical_Simulation!D1062)</f>
        <v>3.1700000000000159</v>
      </c>
      <c r="J1060" s="23">
        <v>42626</v>
      </c>
      <c r="K1060" s="24">
        <f t="shared" si="64"/>
        <v>5.3640384540190684</v>
      </c>
      <c r="L1060" s="25"/>
      <c r="M1060" s="25"/>
      <c r="N1060" s="27"/>
      <c r="Q1060" s="23">
        <v>42626</v>
      </c>
      <c r="R1060" s="24">
        <f t="shared" si="65"/>
        <v>3.4794923012524439</v>
      </c>
      <c r="S1060" s="25"/>
      <c r="T1060" s="25"/>
      <c r="U1060" s="27"/>
      <c r="X1060" s="47">
        <v>42626</v>
      </c>
      <c r="Y1060" s="48">
        <f t="shared" si="66"/>
        <v>11.180957000677225</v>
      </c>
      <c r="Z1060" s="49"/>
      <c r="AA1060" s="49"/>
      <c r="AB1060" s="51"/>
      <c r="AE1060" s="47">
        <v>42626</v>
      </c>
      <c r="AF1060" s="48">
        <f t="shared" si="67"/>
        <v>7.604523786229791</v>
      </c>
      <c r="AG1060" s="49"/>
      <c r="AH1060" s="49"/>
      <c r="AI1060" s="51"/>
    </row>
    <row r="1061" spans="1:35" x14ac:dyDescent="0.3">
      <c r="A1061" s="20">
        <v>42621</v>
      </c>
      <c r="C1061">
        <f>-(Historical_Simulation!B1062-Historical_Simulation!B1063)</f>
        <v>0.71000000000000085</v>
      </c>
      <c r="E1061">
        <f>-(Historical_Simulation!C1062-Historical_Simulation!C1063)</f>
        <v>0.41989999999998417</v>
      </c>
      <c r="G1061">
        <f>-(Historical_Simulation!D1062-Historical_Simulation!D1063)</f>
        <v>0.78000000000000114</v>
      </c>
      <c r="J1061" s="23">
        <v>42625</v>
      </c>
      <c r="K1061" s="24">
        <f t="shared" si="64"/>
        <v>-6.3883887823331724</v>
      </c>
      <c r="L1061" s="25"/>
      <c r="M1061" s="25"/>
      <c r="N1061" s="27"/>
      <c r="Q1061" s="23">
        <v>42625</v>
      </c>
      <c r="R1061" s="24">
        <f t="shared" si="65"/>
        <v>-4.5606632018430791</v>
      </c>
      <c r="S1061" s="25"/>
      <c r="T1061" s="25"/>
      <c r="U1061" s="27"/>
      <c r="X1061" s="47">
        <v>42625</v>
      </c>
      <c r="Y1061" s="48">
        <f t="shared" si="66"/>
        <v>-6.2506021177630835</v>
      </c>
      <c r="Z1061" s="49"/>
      <c r="AA1061" s="49"/>
      <c r="AB1061" s="51"/>
      <c r="AE1061" s="47">
        <v>42625</v>
      </c>
      <c r="AF1061" s="48">
        <f t="shared" si="67"/>
        <v>-4.5323868723879812</v>
      </c>
      <c r="AG1061" s="49"/>
      <c r="AH1061" s="49"/>
      <c r="AI1061" s="51"/>
    </row>
    <row r="1062" spans="1:35" x14ac:dyDescent="0.3">
      <c r="A1062" s="20">
        <v>42620</v>
      </c>
      <c r="C1062">
        <f>-(Historical_Simulation!B1063-Historical_Simulation!B1064)</f>
        <v>-0.16499999999999915</v>
      </c>
      <c r="E1062">
        <f>-(Historical_Simulation!C1063-Historical_Simulation!C1064)</f>
        <v>4.3900999999999613</v>
      </c>
      <c r="G1062">
        <f>-(Historical_Simulation!D1063-Historical_Simulation!D1064)</f>
        <v>-1.3200000000000216</v>
      </c>
      <c r="J1062" s="23">
        <v>42622</v>
      </c>
      <c r="K1062" s="24">
        <f t="shared" si="64"/>
        <v>13.17808554144051</v>
      </c>
      <c r="L1062" s="25"/>
      <c r="M1062" s="25"/>
      <c r="N1062" s="27"/>
      <c r="Q1062" s="23">
        <v>42622</v>
      </c>
      <c r="R1062" s="24">
        <f t="shared" si="65"/>
        <v>9.2210560967292672</v>
      </c>
      <c r="S1062" s="25"/>
      <c r="T1062" s="25"/>
      <c r="U1062" s="27"/>
      <c r="X1062" s="47">
        <v>42622</v>
      </c>
      <c r="Y1062" s="48">
        <f t="shared" si="66"/>
        <v>15.011381676983284</v>
      </c>
      <c r="Z1062" s="49"/>
      <c r="AA1062" s="49"/>
      <c r="AB1062" s="51"/>
      <c r="AE1062" s="47">
        <v>42622</v>
      </c>
      <c r="AF1062" s="48">
        <f t="shared" si="67"/>
        <v>10.645842201696901</v>
      </c>
      <c r="AG1062" s="49"/>
      <c r="AH1062" s="49"/>
      <c r="AI1062" s="51"/>
    </row>
    <row r="1063" spans="1:35" x14ac:dyDescent="0.3">
      <c r="A1063" s="20">
        <v>42619</v>
      </c>
      <c r="C1063">
        <f>-(Historical_Simulation!B1064-Historical_Simulation!B1065)</f>
        <v>7.5000000000002842E-3</v>
      </c>
      <c r="E1063">
        <f>-(Historical_Simulation!C1064-Historical_Simulation!C1065)</f>
        <v>-16.430200000000013</v>
      </c>
      <c r="G1063">
        <f>-(Historical_Simulation!D1064-Historical_Simulation!D1065)</f>
        <v>-3.2199999999999847</v>
      </c>
      <c r="J1063" s="23">
        <v>42621</v>
      </c>
      <c r="K1063" s="24">
        <f t="shared" si="64"/>
        <v>0.55351606522520636</v>
      </c>
      <c r="L1063" s="25"/>
      <c r="M1063" s="25"/>
      <c r="N1063" s="27"/>
      <c r="Q1063" s="23">
        <v>42621</v>
      </c>
      <c r="R1063" s="24">
        <f t="shared" si="65"/>
        <v>0.60273567710165277</v>
      </c>
      <c r="S1063" s="25"/>
      <c r="T1063" s="25"/>
      <c r="U1063" s="27"/>
      <c r="X1063" s="47">
        <v>42621</v>
      </c>
      <c r="Y1063" s="48">
        <f t="shared" si="66"/>
        <v>1.102214467400906</v>
      </c>
      <c r="Z1063" s="49"/>
      <c r="AA1063" s="49"/>
      <c r="AB1063" s="51"/>
      <c r="AE1063" s="47">
        <v>42621</v>
      </c>
      <c r="AF1063" s="48">
        <f t="shared" si="67"/>
        <v>0.98342427759719486</v>
      </c>
      <c r="AG1063" s="49"/>
      <c r="AH1063" s="49"/>
      <c r="AI1063" s="51"/>
    </row>
    <row r="1064" spans="1:35" x14ac:dyDescent="0.3">
      <c r="A1064" s="20">
        <v>42618</v>
      </c>
      <c r="C1064">
        <f>-(Historical_Simulation!B1065-Historical_Simulation!B1066)</f>
        <v>0</v>
      </c>
      <c r="E1064">
        <f>-(Historical_Simulation!C1065-Historical_Simulation!C1066)</f>
        <v>0</v>
      </c>
      <c r="G1064">
        <f>-(Historical_Simulation!D1065-Historical_Simulation!D1066)</f>
        <v>0</v>
      </c>
      <c r="J1064" s="23">
        <v>42620</v>
      </c>
      <c r="K1064" s="24">
        <f t="shared" si="64"/>
        <v>2.2920836652623899</v>
      </c>
      <c r="L1064" s="25"/>
      <c r="M1064" s="25"/>
      <c r="N1064" s="27"/>
      <c r="Q1064" s="23">
        <v>42620</v>
      </c>
      <c r="R1064" s="24">
        <f t="shared" si="65"/>
        <v>1.5192458367260704</v>
      </c>
      <c r="S1064" s="25"/>
      <c r="T1064" s="25"/>
      <c r="U1064" s="27"/>
      <c r="X1064" s="47">
        <v>42620</v>
      </c>
      <c r="Y1064" s="48">
        <f t="shared" si="66"/>
        <v>-6.636538712115029</v>
      </c>
      <c r="Z1064" s="49"/>
      <c r="AA1064" s="49"/>
      <c r="AB1064" s="51"/>
      <c r="AE1064" s="47">
        <v>42620</v>
      </c>
      <c r="AF1064" s="48">
        <f t="shared" si="67"/>
        <v>-4.6765005803537703</v>
      </c>
      <c r="AG1064" s="49"/>
      <c r="AH1064" s="49"/>
      <c r="AI1064" s="51"/>
    </row>
    <row r="1065" spans="1:35" x14ac:dyDescent="0.3">
      <c r="A1065" s="20">
        <v>42615</v>
      </c>
      <c r="C1065">
        <f>-(Historical_Simulation!B1066-Historical_Simulation!B1067)</f>
        <v>-0.25</v>
      </c>
      <c r="E1065">
        <f>-(Historical_Simulation!C1066-Historical_Simulation!C1067)</f>
        <v>-1.8197999999999865</v>
      </c>
      <c r="G1065">
        <f>-(Historical_Simulation!D1066-Historical_Simulation!D1067)</f>
        <v>-0.34000000000000341</v>
      </c>
      <c r="J1065" s="23">
        <v>42619</v>
      </c>
      <c r="K1065" s="24">
        <f t="shared" si="64"/>
        <v>-8.8592217326697451</v>
      </c>
      <c r="L1065" s="25"/>
      <c r="M1065" s="25"/>
      <c r="N1065" s="27"/>
      <c r="Q1065" s="23">
        <v>42619</v>
      </c>
      <c r="R1065" s="24">
        <f t="shared" si="65"/>
        <v>-6.0703309565876431</v>
      </c>
      <c r="S1065" s="25"/>
      <c r="T1065" s="25"/>
      <c r="U1065" s="27"/>
      <c r="X1065" s="47">
        <v>42619</v>
      </c>
      <c r="Y1065" s="48">
        <f t="shared" si="66"/>
        <v>-18.076388479091566</v>
      </c>
      <c r="Z1065" s="49"/>
      <c r="AA1065" s="49"/>
      <c r="AB1065" s="51"/>
      <c r="AE1065" s="47">
        <v>42619</v>
      </c>
      <c r="AF1065" s="48">
        <f t="shared" si="67"/>
        <v>-12.599312227784798</v>
      </c>
      <c r="AG1065" s="49"/>
      <c r="AH1065" s="49"/>
      <c r="AI1065" s="51"/>
    </row>
    <row r="1066" spans="1:35" x14ac:dyDescent="0.3">
      <c r="A1066" s="20">
        <v>42614</v>
      </c>
      <c r="C1066">
        <f>-(Historical_Simulation!B1067-Historical_Simulation!B1068)</f>
        <v>-0.15750000000000242</v>
      </c>
      <c r="E1066">
        <f>-(Historical_Simulation!C1067-Historical_Simulation!C1068)</f>
        <v>-1.4601999999999862</v>
      </c>
      <c r="G1066">
        <f>-(Historical_Simulation!D1067-Historical_Simulation!D1068)</f>
        <v>-4.9999999999997158E-2</v>
      </c>
      <c r="J1066" s="23">
        <v>42618</v>
      </c>
      <c r="K1066" s="24">
        <f t="shared" si="64"/>
        <v>0</v>
      </c>
      <c r="L1066" s="25"/>
      <c r="M1066" s="25"/>
      <c r="N1066" s="27"/>
      <c r="Q1066" s="23">
        <v>42618</v>
      </c>
      <c r="R1066" s="24">
        <f t="shared" si="65"/>
        <v>0</v>
      </c>
      <c r="S1066" s="25"/>
      <c r="T1066" s="25"/>
      <c r="U1066" s="27"/>
      <c r="X1066" s="47">
        <v>42618</v>
      </c>
      <c r="Y1066" s="48">
        <f t="shared" si="66"/>
        <v>0</v>
      </c>
      <c r="Z1066" s="49"/>
      <c r="AA1066" s="49"/>
      <c r="AB1066" s="51"/>
      <c r="AE1066" s="47">
        <v>42618</v>
      </c>
      <c r="AF1066" s="48">
        <f t="shared" si="67"/>
        <v>0</v>
      </c>
      <c r="AG1066" s="49"/>
      <c r="AH1066" s="49"/>
      <c r="AI1066" s="51"/>
    </row>
    <row r="1067" spans="1:35" x14ac:dyDescent="0.3">
      <c r="A1067" s="20">
        <v>42613</v>
      </c>
      <c r="C1067">
        <f>-(Historical_Simulation!B1068-Historical_Simulation!B1069)</f>
        <v>-2.4999999999998579E-2</v>
      </c>
      <c r="E1067">
        <f>-(Historical_Simulation!C1068-Historical_Simulation!C1069)</f>
        <v>-1.5797999999999774</v>
      </c>
      <c r="G1067">
        <f>-(Historical_Simulation!D1068-Historical_Simulation!D1069)</f>
        <v>-0.28000000000000114</v>
      </c>
      <c r="J1067" s="23">
        <v>42615</v>
      </c>
      <c r="K1067" s="24">
        <f t="shared" si="64"/>
        <v>-1.0967717366751331</v>
      </c>
      <c r="L1067" s="25"/>
      <c r="M1067" s="25"/>
      <c r="N1067" s="27"/>
      <c r="Q1067" s="23">
        <v>42615</v>
      </c>
      <c r="R1067" s="24">
        <f t="shared" si="65"/>
        <v>-0.83043272694179804</v>
      </c>
      <c r="S1067" s="25"/>
      <c r="T1067" s="25"/>
      <c r="U1067" s="27"/>
      <c r="X1067" s="47">
        <v>42615</v>
      </c>
      <c r="Y1067" s="48">
        <f t="shared" si="66"/>
        <v>-0.75427574380118045</v>
      </c>
      <c r="Z1067" s="49"/>
      <c r="AA1067" s="49"/>
      <c r="AB1067" s="51"/>
      <c r="AE1067" s="47">
        <v>42615</v>
      </c>
      <c r="AF1067" s="48">
        <f t="shared" si="67"/>
        <v>-0.60154549976783267</v>
      </c>
      <c r="AG1067" s="49"/>
      <c r="AH1067" s="49"/>
      <c r="AI1067" s="51"/>
    </row>
    <row r="1068" spans="1:35" x14ac:dyDescent="0.3">
      <c r="A1068" s="20">
        <v>42612</v>
      </c>
      <c r="C1068">
        <f>-(Historical_Simulation!B1069-Historical_Simulation!B1070)</f>
        <v>0.20499999999999829</v>
      </c>
      <c r="E1068">
        <f>-(Historical_Simulation!C1069-Historical_Simulation!C1070)</f>
        <v>3.7098999999999478</v>
      </c>
      <c r="G1068">
        <f>-(Historical_Simulation!D1069-Historical_Simulation!D1070)</f>
        <v>0.70000000000000284</v>
      </c>
      <c r="J1068" s="23">
        <v>42614</v>
      </c>
      <c r="K1068" s="24">
        <f t="shared" si="64"/>
        <v>-0.86019431861810114</v>
      </c>
      <c r="L1068" s="25"/>
      <c r="M1068" s="25"/>
      <c r="N1068" s="27"/>
      <c r="Q1068" s="23">
        <v>42614</v>
      </c>
      <c r="R1068" s="24">
        <f t="shared" si="65"/>
        <v>-0.63917264198438095</v>
      </c>
      <c r="S1068" s="25"/>
      <c r="T1068" s="25"/>
      <c r="U1068" s="27"/>
      <c r="X1068" s="47">
        <v>42614</v>
      </c>
      <c r="Y1068" s="48">
        <f t="shared" si="66"/>
        <v>0.44482936065141421</v>
      </c>
      <c r="Z1068" s="49"/>
      <c r="AA1068" s="49"/>
      <c r="AB1068" s="51"/>
      <c r="AE1068" s="47">
        <v>42614</v>
      </c>
      <c r="AF1068" s="48">
        <f t="shared" si="67"/>
        <v>0.26240156916713575</v>
      </c>
      <c r="AG1068" s="49"/>
      <c r="AH1068" s="49"/>
      <c r="AI1068" s="51"/>
    </row>
    <row r="1069" spans="1:35" x14ac:dyDescent="0.3">
      <c r="A1069" s="20">
        <v>42611</v>
      </c>
      <c r="C1069">
        <f>-(Historical_Simulation!B1070-Historical_Simulation!B1071)</f>
        <v>3.0000000000001137E-2</v>
      </c>
      <c r="E1069">
        <f>-(Historical_Simulation!C1070-Historical_Simulation!C1071)</f>
        <v>-2.2899999999999636</v>
      </c>
      <c r="G1069">
        <f>-(Historical_Simulation!D1070-Historical_Simulation!D1071)</f>
        <v>-1.5800000000000125</v>
      </c>
      <c r="J1069" s="23">
        <v>42613</v>
      </c>
      <c r="K1069" s="24">
        <f t="shared" si="64"/>
        <v>-0.86368053012007129</v>
      </c>
      <c r="L1069" s="25"/>
      <c r="M1069" s="25"/>
      <c r="N1069" s="27"/>
      <c r="Q1069" s="23">
        <v>42613</v>
      </c>
      <c r="R1069" s="24">
        <f t="shared" si="65"/>
        <v>-0.59988648480640894</v>
      </c>
      <c r="S1069" s="25"/>
      <c r="T1069" s="25"/>
      <c r="U1069" s="27"/>
      <c r="X1069" s="47">
        <v>42613</v>
      </c>
      <c r="Y1069" s="48">
        <f t="shared" si="66"/>
        <v>-1.4537812741033034</v>
      </c>
      <c r="Z1069" s="49"/>
      <c r="AA1069" s="49"/>
      <c r="AB1069" s="51"/>
      <c r="AE1069" s="47">
        <v>42613</v>
      </c>
      <c r="AF1069" s="48">
        <f t="shared" si="67"/>
        <v>-1.0210455826754969</v>
      </c>
      <c r="AG1069" s="49"/>
      <c r="AH1069" s="49"/>
      <c r="AI1069" s="51"/>
    </row>
    <row r="1070" spans="1:35" x14ac:dyDescent="0.3">
      <c r="A1070" s="20">
        <v>42608</v>
      </c>
      <c r="C1070">
        <f>-(Historical_Simulation!B1071-Historical_Simulation!B1072)</f>
        <v>0.15749999999999886</v>
      </c>
      <c r="E1070">
        <f>-(Historical_Simulation!C1071-Historical_Simulation!C1072)</f>
        <v>-9.7799999999999727</v>
      </c>
      <c r="G1070">
        <f>-(Historical_Simulation!D1071-Historical_Simulation!D1072)</f>
        <v>-1.0699999999999932</v>
      </c>
      <c r="J1070" s="23">
        <v>42612</v>
      </c>
      <c r="K1070" s="24">
        <f t="shared" si="64"/>
        <v>2.0955913236543848</v>
      </c>
      <c r="L1070" s="25"/>
      <c r="M1070" s="25"/>
      <c r="N1070" s="27"/>
      <c r="Q1070" s="23">
        <v>42612</v>
      </c>
      <c r="R1070" s="24">
        <f t="shared" si="65"/>
        <v>1.50093493735399</v>
      </c>
      <c r="S1070" s="25"/>
      <c r="T1070" s="25"/>
      <c r="U1070" s="27"/>
      <c r="X1070" s="47">
        <v>42612</v>
      </c>
      <c r="Y1070" s="48">
        <f t="shared" si="66"/>
        <v>2.9785165909064113</v>
      </c>
      <c r="Z1070" s="49"/>
      <c r="AA1070" s="49"/>
      <c r="AB1070" s="51"/>
      <c r="AE1070" s="47">
        <v>42612</v>
      </c>
      <c r="AF1070" s="48">
        <f t="shared" si="67"/>
        <v>2.1385002487230231</v>
      </c>
      <c r="AG1070" s="49"/>
      <c r="AH1070" s="49"/>
      <c r="AI1070" s="51"/>
    </row>
    <row r="1071" spans="1:35" x14ac:dyDescent="0.3">
      <c r="A1071" s="20">
        <v>42607</v>
      </c>
      <c r="C1071">
        <f>-(Historical_Simulation!B1072-Historical_Simulation!B1073)</f>
        <v>0.11500000000000199</v>
      </c>
      <c r="E1071">
        <f>-(Historical_Simulation!C1072-Historical_Simulation!C1073)</f>
        <v>-1.9700000000000273</v>
      </c>
      <c r="G1071">
        <f>-(Historical_Simulation!D1072-Historical_Simulation!D1073)</f>
        <v>-0.40999999999999659</v>
      </c>
      <c r="J1071" s="23">
        <v>42611</v>
      </c>
      <c r="K1071" s="24">
        <f t="shared" si="64"/>
        <v>-1.2214399471819937</v>
      </c>
      <c r="L1071" s="25"/>
      <c r="M1071" s="25"/>
      <c r="N1071" s="27"/>
      <c r="Q1071" s="23">
        <v>42611</v>
      </c>
      <c r="R1071" s="24">
        <f t="shared" si="65"/>
        <v>-0.8278187836061669</v>
      </c>
      <c r="S1071" s="25"/>
      <c r="T1071" s="25"/>
      <c r="U1071" s="27"/>
      <c r="X1071" s="47">
        <v>42611</v>
      </c>
      <c r="Y1071" s="48">
        <f t="shared" si="66"/>
        <v>-8.9909327502208516</v>
      </c>
      <c r="Z1071" s="49"/>
      <c r="AA1071" s="49"/>
      <c r="AB1071" s="51"/>
      <c r="AE1071" s="47">
        <v>42611</v>
      </c>
      <c r="AF1071" s="48">
        <f t="shared" si="67"/>
        <v>-6.2587583847354891</v>
      </c>
      <c r="AG1071" s="49"/>
      <c r="AH1071" s="49"/>
      <c r="AI1071" s="51"/>
    </row>
    <row r="1072" spans="1:35" x14ac:dyDescent="0.3">
      <c r="A1072" s="20">
        <v>42606</v>
      </c>
      <c r="C1072">
        <f>-(Historical_Simulation!B1073-Historical_Simulation!B1074)</f>
        <v>0.20499999999999829</v>
      </c>
      <c r="E1072">
        <f>-(Historical_Simulation!C1073-Historical_Simulation!C1074)</f>
        <v>5.2000000000000455</v>
      </c>
      <c r="G1072">
        <f>-(Historical_Simulation!D1073-Historical_Simulation!D1074)</f>
        <v>0.89000000000000057</v>
      </c>
      <c r="J1072" s="23">
        <v>42608</v>
      </c>
      <c r="K1072" s="24">
        <f t="shared" si="64"/>
        <v>-5.2029243427246685</v>
      </c>
      <c r="L1072" s="25"/>
      <c r="M1072" s="25"/>
      <c r="N1072" s="27"/>
      <c r="Q1072" s="23">
        <v>42608</v>
      </c>
      <c r="R1072" s="24">
        <f t="shared" si="65"/>
        <v>-3.5168854146924149</v>
      </c>
      <c r="S1072" s="25"/>
      <c r="T1072" s="25"/>
      <c r="U1072" s="27"/>
      <c r="X1072" s="47">
        <v>42608</v>
      </c>
      <c r="Y1072" s="48">
        <f t="shared" si="66"/>
        <v>-6.7202608390657961</v>
      </c>
      <c r="Z1072" s="49"/>
      <c r="AA1072" s="49"/>
      <c r="AB1072" s="51"/>
      <c r="AE1072" s="47">
        <v>42608</v>
      </c>
      <c r="AF1072" s="48">
        <f t="shared" si="67"/>
        <v>-4.6371900107221737</v>
      </c>
      <c r="AG1072" s="49"/>
      <c r="AH1072" s="49"/>
      <c r="AI1072" s="51"/>
    </row>
    <row r="1073" spans="1:35" x14ac:dyDescent="0.3">
      <c r="A1073" s="20">
        <v>42605</v>
      </c>
      <c r="C1073">
        <f>-(Historical_Simulation!B1074-Historical_Simulation!B1075)</f>
        <v>-8.49999999999973E-2</v>
      </c>
      <c r="E1073">
        <f>-(Historical_Simulation!C1074-Historical_Simulation!C1075)</f>
        <v>-2.9700000000000273</v>
      </c>
      <c r="G1073">
        <f>-(Historical_Simulation!D1074-Historical_Simulation!D1075)</f>
        <v>-0.21999999999999886</v>
      </c>
      <c r="J1073" s="23">
        <v>42607</v>
      </c>
      <c r="K1073" s="24">
        <f t="shared" si="64"/>
        <v>-1.009677711152815</v>
      </c>
      <c r="L1073" s="25"/>
      <c r="M1073" s="25"/>
      <c r="N1073" s="27"/>
      <c r="Q1073" s="23">
        <v>42607</v>
      </c>
      <c r="R1073" s="24">
        <f t="shared" si="65"/>
        <v>-0.65592765681849485</v>
      </c>
      <c r="S1073" s="25"/>
      <c r="T1073" s="25"/>
      <c r="U1073" s="27"/>
      <c r="X1073" s="47">
        <v>42607</v>
      </c>
      <c r="Y1073" s="48">
        <f t="shared" si="66"/>
        <v>-2.8266085055067647</v>
      </c>
      <c r="Z1073" s="49"/>
      <c r="AA1073" s="49"/>
      <c r="AB1073" s="51"/>
      <c r="AE1073" s="47">
        <v>42607</v>
      </c>
      <c r="AF1073" s="48">
        <f t="shared" si="67"/>
        <v>-1.9356820819789393</v>
      </c>
      <c r="AG1073" s="49"/>
      <c r="AH1073" s="49"/>
      <c r="AI1073" s="51"/>
    </row>
    <row r="1074" spans="1:35" x14ac:dyDescent="0.3">
      <c r="A1074" s="20">
        <v>42604</v>
      </c>
      <c r="C1074">
        <f>-(Historical_Simulation!B1075-Historical_Simulation!B1076)</f>
        <v>0.21249999999999858</v>
      </c>
      <c r="E1074">
        <f>-(Historical_Simulation!C1075-Historical_Simulation!C1076)</f>
        <v>-2.1698999999999842</v>
      </c>
      <c r="G1074">
        <f>-(Historical_Simulation!D1075-Historical_Simulation!D1076)</f>
        <v>-0.59000000000000341</v>
      </c>
      <c r="J1074" s="23">
        <v>42606</v>
      </c>
      <c r="K1074" s="24">
        <f t="shared" si="64"/>
        <v>2.8993717828337129</v>
      </c>
      <c r="L1074" s="25"/>
      <c r="M1074" s="25"/>
      <c r="N1074" s="27"/>
      <c r="Q1074" s="23">
        <v>42606</v>
      </c>
      <c r="R1074" s="24">
        <f t="shared" si="65"/>
        <v>2.0518986310831511</v>
      </c>
      <c r="S1074" s="25"/>
      <c r="T1074" s="25"/>
      <c r="U1074" s="27"/>
      <c r="X1074" s="47">
        <v>42606</v>
      </c>
      <c r="Y1074" s="48">
        <f t="shared" si="66"/>
        <v>4.043098716708851</v>
      </c>
      <c r="Z1074" s="49"/>
      <c r="AA1074" s="49"/>
      <c r="AB1074" s="51"/>
      <c r="AE1074" s="47">
        <v>42606</v>
      </c>
      <c r="AF1074" s="48">
        <f t="shared" si="67"/>
        <v>2.8806518593439661</v>
      </c>
      <c r="AG1074" s="49"/>
      <c r="AH1074" s="49"/>
      <c r="AI1074" s="51"/>
    </row>
    <row r="1075" spans="1:35" x14ac:dyDescent="0.3">
      <c r="A1075" s="20">
        <v>42601</v>
      </c>
      <c r="C1075">
        <f>-(Historical_Simulation!B1076-Historical_Simulation!B1077)</f>
        <v>-7.0000000000000284E-2</v>
      </c>
      <c r="E1075">
        <f>-(Historical_Simulation!C1076-Historical_Simulation!C1077)</f>
        <v>7.1499000000000024</v>
      </c>
      <c r="G1075">
        <f>-(Historical_Simulation!D1076-Historical_Simulation!D1077)</f>
        <v>0.34999999999999432</v>
      </c>
      <c r="J1075" s="23">
        <v>42605</v>
      </c>
      <c r="K1075" s="24">
        <f t="shared" si="64"/>
        <v>-1.6412087274224745</v>
      </c>
      <c r="L1075" s="25"/>
      <c r="M1075" s="25"/>
      <c r="N1075" s="27"/>
      <c r="Q1075" s="23">
        <v>42605</v>
      </c>
      <c r="R1075" s="24">
        <f t="shared" si="65"/>
        <v>-1.1517272373723497</v>
      </c>
      <c r="S1075" s="25"/>
      <c r="T1075" s="25"/>
      <c r="U1075" s="27"/>
      <c r="X1075" s="47">
        <v>42605</v>
      </c>
      <c r="Y1075" s="48">
        <f t="shared" si="66"/>
        <v>-0.84141361570174822</v>
      </c>
      <c r="Z1075" s="49"/>
      <c r="AA1075" s="49"/>
      <c r="AB1075" s="51"/>
      <c r="AE1075" s="47">
        <v>42605</v>
      </c>
      <c r="AF1075" s="48">
        <f t="shared" si="67"/>
        <v>-0.61231824965173265</v>
      </c>
      <c r="AG1075" s="49"/>
      <c r="AH1075" s="49"/>
      <c r="AI1075" s="51"/>
    </row>
    <row r="1076" spans="1:35" x14ac:dyDescent="0.3">
      <c r="A1076" s="20">
        <v>42600</v>
      </c>
      <c r="C1076">
        <f>-(Historical_Simulation!B1077-Historical_Simulation!B1078)</f>
        <v>3.5000000000000142E-2</v>
      </c>
      <c r="E1076">
        <f>-(Historical_Simulation!C1077-Historical_Simulation!C1078)</f>
        <v>0.16989999999998417</v>
      </c>
      <c r="G1076">
        <f>-(Historical_Simulation!D1077-Historical_Simulation!D1078)</f>
        <v>0.46000000000000796</v>
      </c>
      <c r="J1076" s="23">
        <v>42604</v>
      </c>
      <c r="K1076" s="24">
        <f t="shared" si="64"/>
        <v>-1.0725993664510396</v>
      </c>
      <c r="L1076" s="25"/>
      <c r="M1076" s="25"/>
      <c r="N1076" s="27"/>
      <c r="Q1076" s="23">
        <v>42604</v>
      </c>
      <c r="R1076" s="24">
        <f t="shared" si="65"/>
        <v>-0.66839115088937684</v>
      </c>
      <c r="S1076" s="25"/>
      <c r="T1076" s="25"/>
      <c r="U1076" s="27"/>
      <c r="X1076" s="47">
        <v>42604</v>
      </c>
      <c r="Y1076" s="48">
        <f t="shared" si="66"/>
        <v>-4.2839587155603684</v>
      </c>
      <c r="Z1076" s="49"/>
      <c r="AA1076" s="49"/>
      <c r="AB1076" s="51"/>
      <c r="AE1076" s="47">
        <v>42604</v>
      </c>
      <c r="AF1076" s="48">
        <f t="shared" si="67"/>
        <v>-2.9221140395963991</v>
      </c>
      <c r="AG1076" s="49"/>
      <c r="AH1076" s="49"/>
      <c r="AI1076" s="51"/>
    </row>
    <row r="1077" spans="1:35" x14ac:dyDescent="0.3">
      <c r="A1077" s="20">
        <v>42599</v>
      </c>
      <c r="C1077">
        <f>-(Historical_Simulation!B1078-Historical_Simulation!B1079)</f>
        <v>3.9999999999999147E-2</v>
      </c>
      <c r="E1077">
        <f>-(Historical_Simulation!C1078-Historical_Simulation!C1079)</f>
        <v>-0.58990000000005693</v>
      </c>
      <c r="G1077">
        <f>-(Historical_Simulation!D1078-Historical_Simulation!D1079)</f>
        <v>-1.0700000000000074</v>
      </c>
      <c r="J1077" s="23">
        <v>42601</v>
      </c>
      <c r="K1077" s="24">
        <f t="shared" si="64"/>
        <v>3.8245134804566483</v>
      </c>
      <c r="L1077" s="25"/>
      <c r="M1077" s="25"/>
      <c r="N1077" s="27"/>
      <c r="Q1077" s="23">
        <v>42601</v>
      </c>
      <c r="R1077" s="24">
        <f t="shared" si="65"/>
        <v>2.5995542395509776</v>
      </c>
      <c r="S1077" s="25"/>
      <c r="T1077" s="25"/>
      <c r="U1077" s="27"/>
      <c r="X1077" s="47">
        <v>42601</v>
      </c>
      <c r="Y1077" s="48">
        <f t="shared" si="66"/>
        <v>2.2832868044053893</v>
      </c>
      <c r="Z1077" s="49"/>
      <c r="AA1077" s="49"/>
      <c r="AB1077" s="51"/>
      <c r="AE1077" s="47">
        <v>42601</v>
      </c>
      <c r="AF1077" s="48">
        <f t="shared" si="67"/>
        <v>1.570545665583136</v>
      </c>
      <c r="AG1077" s="49"/>
      <c r="AH1077" s="49"/>
      <c r="AI1077" s="51"/>
    </row>
    <row r="1078" spans="1:35" x14ac:dyDescent="0.3">
      <c r="A1078" s="20">
        <v>42598</v>
      </c>
      <c r="C1078">
        <f>-(Historical_Simulation!B1079-Historical_Simulation!B1080)</f>
        <v>2.5000000000002132E-2</v>
      </c>
      <c r="E1078">
        <f>-(Historical_Simulation!C1079-Historical_Simulation!C1080)</f>
        <v>4.4500000000000455</v>
      </c>
      <c r="G1078">
        <f>-(Historical_Simulation!D1079-Historical_Simulation!D1080)</f>
        <v>0.60000000000000853</v>
      </c>
      <c r="J1078" s="23">
        <v>42600</v>
      </c>
      <c r="K1078" s="24">
        <f t="shared" si="64"/>
        <v>0.10776691761846294</v>
      </c>
      <c r="L1078" s="25"/>
      <c r="M1078" s="25"/>
      <c r="N1078" s="27"/>
      <c r="Q1078" s="23">
        <v>42600</v>
      </c>
      <c r="R1078" s="24">
        <f t="shared" si="65"/>
        <v>8.4879204270888117E-2</v>
      </c>
      <c r="S1078" s="25"/>
      <c r="T1078" s="25"/>
      <c r="U1078" s="27"/>
      <c r="X1078" s="47">
        <v>42600</v>
      </c>
      <c r="Y1078" s="48">
        <f t="shared" si="66"/>
        <v>2.4163021235055284</v>
      </c>
      <c r="Z1078" s="49"/>
      <c r="AA1078" s="49"/>
      <c r="AB1078" s="51"/>
      <c r="AE1078" s="47">
        <v>42600</v>
      </c>
      <c r="AF1078" s="48">
        <f t="shared" si="67"/>
        <v>1.6950759711258447</v>
      </c>
      <c r="AG1078" s="49"/>
      <c r="AH1078" s="49"/>
      <c r="AI1078" s="51"/>
    </row>
    <row r="1079" spans="1:35" x14ac:dyDescent="0.3">
      <c r="A1079" s="20">
        <v>42597</v>
      </c>
      <c r="C1079">
        <f>-(Historical_Simulation!B1080-Historical_Simulation!B1081)</f>
        <v>-0.32499999999999929</v>
      </c>
      <c r="E1079">
        <f>-(Historical_Simulation!C1080-Historical_Simulation!C1081)</f>
        <v>4.0701000000000249</v>
      </c>
      <c r="G1079">
        <f>-(Historical_Simulation!D1080-Historical_Simulation!D1081)</f>
        <v>0.97999999999998977</v>
      </c>
      <c r="J1079" s="23">
        <v>42599</v>
      </c>
      <c r="K1079" s="24">
        <f t="shared" si="64"/>
        <v>-0.29977673393535459</v>
      </c>
      <c r="L1079" s="25"/>
      <c r="M1079" s="25"/>
      <c r="N1079" s="27"/>
      <c r="Q1079" s="23">
        <v>42599</v>
      </c>
      <c r="R1079" s="24">
        <f t="shared" si="65"/>
        <v>-0.19290519473861359</v>
      </c>
      <c r="S1079" s="25"/>
      <c r="T1079" s="25"/>
      <c r="U1079" s="27"/>
      <c r="X1079" s="47">
        <v>42599</v>
      </c>
      <c r="Y1079" s="48">
        <f t="shared" si="66"/>
        <v>-6.1794008402143614</v>
      </c>
      <c r="Z1079" s="49"/>
      <c r="AA1079" s="49"/>
      <c r="AB1079" s="51"/>
      <c r="AE1079" s="47">
        <v>42599</v>
      </c>
      <c r="AF1079" s="48">
        <f t="shared" si="67"/>
        <v>-4.2957278304697999</v>
      </c>
      <c r="AG1079" s="49"/>
      <c r="AH1079" s="49"/>
      <c r="AI1079" s="51"/>
    </row>
    <row r="1080" spans="1:35" x14ac:dyDescent="0.3">
      <c r="A1080" s="20">
        <v>42594</v>
      </c>
      <c r="C1080">
        <f>-(Historical_Simulation!B1081-Historical_Simulation!B1082)</f>
        <v>-6.25E-2</v>
      </c>
      <c r="E1080">
        <f>-(Historical_Simulation!C1081-Historical_Simulation!C1082)</f>
        <v>-1.3201000000000249</v>
      </c>
      <c r="G1080">
        <f>-(Historical_Simulation!D1081-Historical_Simulation!D1082)</f>
        <v>2.0000000000010232E-2</v>
      </c>
      <c r="J1080" s="23">
        <v>42598</v>
      </c>
      <c r="K1080" s="24">
        <f t="shared" si="64"/>
        <v>2.4119059337415818</v>
      </c>
      <c r="L1080" s="25"/>
      <c r="M1080" s="25"/>
      <c r="N1080" s="27"/>
      <c r="Q1080" s="23">
        <v>42598</v>
      </c>
      <c r="R1080" s="24">
        <f t="shared" si="65"/>
        <v>1.6611414299385314</v>
      </c>
      <c r="S1080" s="25"/>
      <c r="T1080" s="25"/>
      <c r="U1080" s="27"/>
      <c r="X1080" s="47">
        <v>42598</v>
      </c>
      <c r="Y1080" s="48">
        <f t="shared" si="66"/>
        <v>3.2467616965074582</v>
      </c>
      <c r="Z1080" s="49"/>
      <c r="AA1080" s="49"/>
      <c r="AB1080" s="51"/>
      <c r="AE1080" s="47">
        <v>42598</v>
      </c>
      <c r="AF1080" s="48">
        <f t="shared" si="67"/>
        <v>2.2709851374055403</v>
      </c>
      <c r="AG1080" s="49"/>
      <c r="AH1080" s="49"/>
      <c r="AI1080" s="51"/>
    </row>
    <row r="1081" spans="1:35" x14ac:dyDescent="0.3">
      <c r="A1081" s="20">
        <v>42593</v>
      </c>
      <c r="C1081">
        <f>-(Historical_Simulation!B1082-Historical_Simulation!B1083)</f>
        <v>1.7499999999998295E-2</v>
      </c>
      <c r="E1081">
        <f>-(Historical_Simulation!C1082-Historical_Simulation!C1083)</f>
        <v>-2.6798999999999751</v>
      </c>
      <c r="G1081">
        <f>-(Historical_Simulation!D1082-Historical_Simulation!D1083)</f>
        <v>-2.0000000000010232E-2</v>
      </c>
      <c r="J1081" s="23">
        <v>42597</v>
      </c>
      <c r="K1081" s="24">
        <f t="shared" si="64"/>
        <v>2.0457774620084916</v>
      </c>
      <c r="L1081" s="25"/>
      <c r="M1081" s="25"/>
      <c r="N1081" s="27"/>
      <c r="Q1081" s="23">
        <v>42597</v>
      </c>
      <c r="R1081" s="24">
        <f t="shared" si="65"/>
        <v>1.3000859206153228</v>
      </c>
      <c r="S1081" s="25"/>
      <c r="T1081" s="25"/>
      <c r="U1081" s="27"/>
      <c r="X1081" s="47">
        <v>42597</v>
      </c>
      <c r="Y1081" s="48">
        <f t="shared" si="66"/>
        <v>6.9869982851167798</v>
      </c>
      <c r="Z1081" s="49"/>
      <c r="AA1081" s="49"/>
      <c r="AB1081" s="51"/>
      <c r="AE1081" s="47">
        <v>42597</v>
      </c>
      <c r="AF1081" s="48">
        <f t="shared" si="67"/>
        <v>4.7724097466333397</v>
      </c>
      <c r="AG1081" s="49"/>
      <c r="AH1081" s="49"/>
      <c r="AI1081" s="51"/>
    </row>
    <row r="1082" spans="1:35" x14ac:dyDescent="0.3">
      <c r="A1082" s="20">
        <v>42592</v>
      </c>
      <c r="C1082">
        <f>-(Historical_Simulation!B1083-Historical_Simulation!B1084)</f>
        <v>0.20250000000000057</v>
      </c>
      <c r="E1082">
        <f>-(Historical_Simulation!C1083-Historical_Simulation!C1084)</f>
        <v>-0.25</v>
      </c>
      <c r="G1082">
        <f>-(Historical_Simulation!D1083-Historical_Simulation!D1084)</f>
        <v>0.18000000000000682</v>
      </c>
      <c r="J1082" s="23">
        <v>42594</v>
      </c>
      <c r="K1082" s="24">
        <f t="shared" si="64"/>
        <v>-0.7408667575759188</v>
      </c>
      <c r="L1082" s="25"/>
      <c r="M1082" s="25"/>
      <c r="N1082" s="27"/>
      <c r="Q1082" s="23">
        <v>42594</v>
      </c>
      <c r="R1082" s="24">
        <f t="shared" si="65"/>
        <v>-0.5274969406306701</v>
      </c>
      <c r="S1082" s="25"/>
      <c r="T1082" s="25"/>
      <c r="U1082" s="27"/>
      <c r="X1082" s="47">
        <v>42594</v>
      </c>
      <c r="Y1082" s="48">
        <f t="shared" si="66"/>
        <v>0.39975276515112196</v>
      </c>
      <c r="Z1082" s="49"/>
      <c r="AA1082" s="49"/>
      <c r="AB1082" s="51"/>
      <c r="AE1082" s="47">
        <v>42594</v>
      </c>
      <c r="AF1082" s="48">
        <f t="shared" si="67"/>
        <v>0.25975004145387448</v>
      </c>
      <c r="AG1082" s="49"/>
      <c r="AH1082" s="49"/>
      <c r="AI1082" s="51"/>
    </row>
    <row r="1083" spans="1:35" x14ac:dyDescent="0.3">
      <c r="A1083" s="20">
        <v>42591</v>
      </c>
      <c r="C1083">
        <f>-(Historical_Simulation!B1084-Historical_Simulation!B1085)</f>
        <v>-0.10999999999999943</v>
      </c>
      <c r="E1083">
        <f>-(Historical_Simulation!C1084-Historical_Simulation!C1085)</f>
        <v>-1.75</v>
      </c>
      <c r="G1083">
        <f>-(Historical_Simulation!D1084-Historical_Simulation!D1085)</f>
        <v>0.20000000000000284</v>
      </c>
      <c r="J1083" s="23">
        <v>42593</v>
      </c>
      <c r="K1083" s="24">
        <f t="shared" si="64"/>
        <v>-1.4375147041072134</v>
      </c>
      <c r="L1083" s="25"/>
      <c r="M1083" s="25"/>
      <c r="N1083" s="27"/>
      <c r="Q1083" s="23">
        <v>42593</v>
      </c>
      <c r="R1083" s="24">
        <f t="shared" si="65"/>
        <v>-0.97986223573245423</v>
      </c>
      <c r="S1083" s="25"/>
      <c r="T1083" s="25"/>
      <c r="U1083" s="27"/>
      <c r="X1083" s="47">
        <v>42593</v>
      </c>
      <c r="Y1083" s="48">
        <f t="shared" si="66"/>
        <v>-0.19261489325053338</v>
      </c>
      <c r="Z1083" s="49"/>
      <c r="AA1083" s="49"/>
      <c r="AB1083" s="51"/>
      <c r="AE1083" s="47">
        <v>42593</v>
      </c>
      <c r="AF1083" s="48">
        <f t="shared" si="67"/>
        <v>-0.1289772915699598</v>
      </c>
      <c r="AG1083" s="49"/>
      <c r="AH1083" s="49"/>
      <c r="AI1083" s="51"/>
    </row>
    <row r="1084" spans="1:35" x14ac:dyDescent="0.3">
      <c r="A1084" s="20">
        <v>42590</v>
      </c>
      <c r="C1084">
        <f>-(Historical_Simulation!B1085-Historical_Simulation!B1086)</f>
        <v>-0.22250000000000014</v>
      </c>
      <c r="E1084">
        <f>-(Historical_Simulation!C1085-Historical_Simulation!C1086)</f>
        <v>-0.58010000000001583</v>
      </c>
      <c r="G1084">
        <f>-(Historical_Simulation!D1085-Historical_Simulation!D1086)</f>
        <v>-0.10999999999999943</v>
      </c>
      <c r="J1084" s="23">
        <v>42592</v>
      </c>
      <c r="K1084" s="24">
        <f t="shared" si="64"/>
        <v>-4.1584731077526166E-2</v>
      </c>
      <c r="L1084" s="25"/>
      <c r="M1084" s="25"/>
      <c r="N1084" s="27"/>
      <c r="Q1084" s="23">
        <v>42592</v>
      </c>
      <c r="R1084" s="24">
        <f t="shared" si="65"/>
        <v>3.5188362249225835E-2</v>
      </c>
      <c r="S1084" s="25"/>
      <c r="T1084" s="25"/>
      <c r="U1084" s="27"/>
      <c r="X1084" s="47">
        <v>42592</v>
      </c>
      <c r="Y1084" s="48">
        <f t="shared" si="66"/>
        <v>7.6431064049745201E-2</v>
      </c>
      <c r="Z1084" s="49"/>
      <c r="AA1084" s="49"/>
      <c r="AB1084" s="51"/>
      <c r="AE1084" s="47">
        <v>42592</v>
      </c>
      <c r="AF1084" s="48">
        <f t="shared" si="67"/>
        <v>0.11461362505807016</v>
      </c>
      <c r="AG1084" s="49"/>
      <c r="AH1084" s="49"/>
      <c r="AI1084" s="51"/>
    </row>
    <row r="1085" spans="1:35" x14ac:dyDescent="0.3">
      <c r="A1085" s="20">
        <v>42587</v>
      </c>
      <c r="C1085">
        <f>-(Historical_Simulation!B1086-Historical_Simulation!B1087)</f>
        <v>-0.40249999999999986</v>
      </c>
      <c r="E1085">
        <f>-(Historical_Simulation!C1086-Historical_Simulation!C1087)</f>
        <v>-5.2100000000000364</v>
      </c>
      <c r="G1085">
        <f>-(Historical_Simulation!D1086-Historical_Simulation!D1087)</f>
        <v>-0.79000000000000625</v>
      </c>
      <c r="J1085" s="23">
        <v>42591</v>
      </c>
      <c r="K1085" s="24">
        <f t="shared" si="64"/>
        <v>-0.99463858335280264</v>
      </c>
      <c r="L1085" s="25"/>
      <c r="M1085" s="25"/>
      <c r="N1085" s="27"/>
      <c r="Q1085" s="23">
        <v>42591</v>
      </c>
      <c r="R1085" s="24">
        <f t="shared" si="65"/>
        <v>-0.71638914013540345</v>
      </c>
      <c r="S1085" s="25"/>
      <c r="T1085" s="25"/>
      <c r="U1085" s="27"/>
      <c r="X1085" s="47">
        <v>42591</v>
      </c>
      <c r="Y1085" s="48">
        <f t="shared" si="66"/>
        <v>1.6269497842040139</v>
      </c>
      <c r="Z1085" s="49"/>
      <c r="AA1085" s="49"/>
      <c r="AB1085" s="51"/>
      <c r="AE1085" s="47">
        <v>42591</v>
      </c>
      <c r="AF1085" s="48">
        <f t="shared" si="67"/>
        <v>1.1008789436447208</v>
      </c>
      <c r="AG1085" s="49"/>
      <c r="AH1085" s="49"/>
      <c r="AI1085" s="51"/>
    </row>
    <row r="1086" spans="1:35" x14ac:dyDescent="0.3">
      <c r="A1086" s="20">
        <v>42586</v>
      </c>
      <c r="C1086">
        <f>-(Historical_Simulation!B1087-Historical_Simulation!B1088)</f>
        <v>-1.9999999999999574E-2</v>
      </c>
      <c r="E1086">
        <f>-(Historical_Simulation!C1087-Historical_Simulation!C1088)</f>
        <v>-6.1300999999999704</v>
      </c>
      <c r="G1086">
        <f>-(Historical_Simulation!D1087-Historical_Simulation!D1088)</f>
        <v>-1.8499999999999943</v>
      </c>
      <c r="J1086" s="23">
        <v>42590</v>
      </c>
      <c r="K1086" s="24">
        <f t="shared" si="64"/>
        <v>-0.41539436427254661</v>
      </c>
      <c r="L1086" s="25"/>
      <c r="M1086" s="25"/>
      <c r="N1086" s="27"/>
      <c r="Q1086" s="23">
        <v>42590</v>
      </c>
      <c r="R1086" s="24">
        <f t="shared" si="65"/>
        <v>-0.35472241250757941</v>
      </c>
      <c r="S1086" s="25"/>
      <c r="T1086" s="25"/>
      <c r="U1086" s="27"/>
      <c r="X1086" s="47">
        <v>42590</v>
      </c>
      <c r="Y1086" s="48">
        <f t="shared" si="66"/>
        <v>0.40784467975145555</v>
      </c>
      <c r="Z1086" s="49"/>
      <c r="AA1086" s="49"/>
      <c r="AB1086" s="51"/>
      <c r="AE1086" s="47">
        <v>42590</v>
      </c>
      <c r="AF1086" s="48">
        <f t="shared" si="67"/>
        <v>0.21693187470977693</v>
      </c>
      <c r="AG1086" s="49"/>
      <c r="AH1086" s="49"/>
      <c r="AI1086" s="51"/>
    </row>
    <row r="1087" spans="1:35" x14ac:dyDescent="0.3">
      <c r="A1087" s="20">
        <v>42585</v>
      </c>
      <c r="C1087">
        <f>-(Historical_Simulation!B1088-Historical_Simulation!B1089)</f>
        <v>-0.32750000000000057</v>
      </c>
      <c r="E1087">
        <f>-(Historical_Simulation!C1088-Historical_Simulation!C1089)</f>
        <v>5.9402000000000044</v>
      </c>
      <c r="G1087">
        <f>-(Historical_Simulation!D1088-Historical_Simulation!D1089)</f>
        <v>0.57999999999999829</v>
      </c>
      <c r="J1087" s="23">
        <v>42587</v>
      </c>
      <c r="K1087" s="24">
        <f t="shared" si="64"/>
        <v>-2.9957317008955071</v>
      </c>
      <c r="L1087" s="25"/>
      <c r="M1087" s="25"/>
      <c r="N1087" s="27"/>
      <c r="Q1087" s="23">
        <v>42587</v>
      </c>
      <c r="R1087" s="24">
        <f t="shared" si="65"/>
        <v>-2.1800706043908389</v>
      </c>
      <c r="S1087" s="25"/>
      <c r="T1087" s="25"/>
      <c r="U1087" s="27"/>
      <c r="X1087" s="47">
        <v>42587</v>
      </c>
      <c r="Y1087" s="48">
        <f t="shared" si="66"/>
        <v>-2.573687230255036</v>
      </c>
      <c r="Z1087" s="49"/>
      <c r="AA1087" s="49"/>
      <c r="AB1087" s="51"/>
      <c r="AE1087" s="47">
        <v>42587</v>
      </c>
      <c r="AF1087" s="48">
        <f t="shared" si="67"/>
        <v>-1.9160986795559141</v>
      </c>
      <c r="AG1087" s="49"/>
      <c r="AH1087" s="49"/>
      <c r="AI1087" s="51"/>
    </row>
    <row r="1088" spans="1:35" x14ac:dyDescent="0.3">
      <c r="A1088" s="20">
        <v>42584</v>
      </c>
      <c r="C1088">
        <f>-(Historical_Simulation!B1089-Historical_Simulation!B1090)</f>
        <v>0.39249999999999829</v>
      </c>
      <c r="E1088">
        <f>-(Historical_Simulation!C1089-Historical_Simulation!C1090)</f>
        <v>7.1598999999999933</v>
      </c>
      <c r="G1088">
        <f>-(Historical_Simulation!D1089-Historical_Simulation!D1090)</f>
        <v>1.2199999999999989</v>
      </c>
      <c r="J1088" s="23">
        <v>42586</v>
      </c>
      <c r="K1088" s="24">
        <f t="shared" si="64"/>
        <v>-3.3158720781365454</v>
      </c>
      <c r="L1088" s="25"/>
      <c r="M1088" s="25"/>
      <c r="N1088" s="27"/>
      <c r="Q1088" s="23">
        <v>42586</v>
      </c>
      <c r="R1088" s="24">
        <f t="shared" si="65"/>
        <v>-2.27920627142763</v>
      </c>
      <c r="S1088" s="25"/>
      <c r="T1088" s="25"/>
      <c r="U1088" s="27"/>
      <c r="X1088" s="47">
        <v>42586</v>
      </c>
      <c r="Y1088" s="48">
        <f t="shared" si="66"/>
        <v>-10.273606790623585</v>
      </c>
      <c r="Z1088" s="49"/>
      <c r="AA1088" s="49"/>
      <c r="AB1088" s="51"/>
      <c r="AE1088" s="47">
        <v>42586</v>
      </c>
      <c r="AF1088" s="48">
        <f t="shared" si="67"/>
        <v>-7.1680918286123081</v>
      </c>
      <c r="AG1088" s="49"/>
      <c r="AH1088" s="49"/>
      <c r="AI1088" s="51"/>
    </row>
    <row r="1089" spans="1:35" x14ac:dyDescent="0.3">
      <c r="A1089" s="20">
        <v>42583</v>
      </c>
      <c r="C1089">
        <f>-(Historical_Simulation!B1090-Historical_Simulation!B1091)</f>
        <v>-0.46000000000000085</v>
      </c>
      <c r="E1089">
        <f>-(Historical_Simulation!C1090-Historical_Simulation!C1091)</f>
        <v>-8.9298999999999751</v>
      </c>
      <c r="G1089">
        <f>-(Historical_Simulation!D1090-Historical_Simulation!D1091)</f>
        <v>-0.37000000000000455</v>
      </c>
      <c r="J1089" s="23">
        <v>42585</v>
      </c>
      <c r="K1089" s="24">
        <f t="shared" si="64"/>
        <v>3.0533836883416865</v>
      </c>
      <c r="L1089" s="25"/>
      <c r="M1089" s="25"/>
      <c r="N1089" s="27"/>
      <c r="Q1089" s="23">
        <v>42585</v>
      </c>
      <c r="R1089" s="24">
        <f t="shared" si="65"/>
        <v>1.9899787887967515</v>
      </c>
      <c r="S1089" s="25"/>
      <c r="T1089" s="25"/>
      <c r="U1089" s="27"/>
      <c r="X1089" s="47">
        <v>42585</v>
      </c>
      <c r="Y1089" s="48">
        <f t="shared" si="66"/>
        <v>4.757280416661704</v>
      </c>
      <c r="Z1089" s="49"/>
      <c r="AA1089" s="49"/>
      <c r="AB1089" s="51"/>
      <c r="AE1089" s="47">
        <v>42585</v>
      </c>
      <c r="AF1089" s="48">
        <f t="shared" si="67"/>
        <v>3.2172504559921746</v>
      </c>
      <c r="AG1089" s="49"/>
      <c r="AH1089" s="49"/>
      <c r="AI1089" s="51"/>
    </row>
    <row r="1090" spans="1:35" x14ac:dyDescent="0.3">
      <c r="A1090" s="20">
        <v>42580</v>
      </c>
      <c r="C1090">
        <f>-(Historical_Simulation!B1091-Historical_Simulation!B1092)</f>
        <v>3.2500000000002416E-2</v>
      </c>
      <c r="E1090">
        <f>-(Historical_Simulation!C1091-Historical_Simulation!C1092)</f>
        <v>-6.2000000000000455</v>
      </c>
      <c r="G1090">
        <f>-(Historical_Simulation!D1091-Historical_Simulation!D1092)</f>
        <v>1.0600000000000023</v>
      </c>
      <c r="J1090" s="23">
        <v>42584</v>
      </c>
      <c r="K1090" s="24">
        <f t="shared" si="64"/>
        <v>4.0429287493791168</v>
      </c>
      <c r="L1090" s="25"/>
      <c r="M1090" s="25"/>
      <c r="N1090" s="27"/>
      <c r="Q1090" s="23">
        <v>42584</v>
      </c>
      <c r="R1090" s="24">
        <f t="shared" si="65"/>
        <v>2.8947426018001989</v>
      </c>
      <c r="S1090" s="25"/>
      <c r="T1090" s="25"/>
      <c r="U1090" s="27"/>
      <c r="X1090" s="47">
        <v>42584</v>
      </c>
      <c r="Y1090" s="48">
        <f t="shared" si="66"/>
        <v>5.0290353110606798</v>
      </c>
      <c r="Z1090" s="49"/>
      <c r="AA1090" s="49"/>
      <c r="AB1090" s="51"/>
      <c r="AE1090" s="47">
        <v>42584</v>
      </c>
      <c r="AF1090" s="48">
        <f t="shared" si="67"/>
        <v>3.6247655673096739</v>
      </c>
      <c r="AG1090" s="49"/>
      <c r="AH1090" s="49"/>
      <c r="AI1090" s="51"/>
    </row>
    <row r="1091" spans="1:35" x14ac:dyDescent="0.3">
      <c r="A1091" s="20">
        <v>42579</v>
      </c>
      <c r="C1091">
        <f>-(Historical_Simulation!B1092-Historical_Simulation!B1093)</f>
        <v>-0.34750000000000014</v>
      </c>
      <c r="E1091">
        <f>-(Historical_Simulation!C1092-Historical_Simulation!C1093)</f>
        <v>-15.940200000000004</v>
      </c>
      <c r="G1091">
        <f>-(Historical_Simulation!D1092-Historical_Simulation!D1093)</f>
        <v>-1.6599999999999966</v>
      </c>
      <c r="J1091" s="23">
        <v>42583</v>
      </c>
      <c r="K1091" s="24">
        <f t="shared" si="64"/>
        <v>-5.0287806933779775</v>
      </c>
      <c r="L1091" s="25"/>
      <c r="M1091" s="25"/>
      <c r="N1091" s="27"/>
      <c r="Q1091" s="23">
        <v>42583</v>
      </c>
      <c r="R1091" s="24">
        <f t="shared" si="65"/>
        <v>-3.5917410841663675</v>
      </c>
      <c r="S1091" s="25"/>
      <c r="T1091" s="25"/>
      <c r="U1091" s="27"/>
      <c r="X1091" s="47">
        <v>42583</v>
      </c>
      <c r="Y1091" s="48">
        <f t="shared" si="66"/>
        <v>4.4275743801139633E-2</v>
      </c>
      <c r="Z1091" s="49"/>
      <c r="AA1091" s="49"/>
      <c r="AB1091" s="51"/>
      <c r="AE1091" s="47">
        <v>42583</v>
      </c>
      <c r="AF1091" s="48">
        <f t="shared" si="67"/>
        <v>-0.10845450023219594</v>
      </c>
      <c r="AG1091" s="49"/>
      <c r="AH1091" s="49"/>
      <c r="AI1091" s="51"/>
    </row>
    <row r="1092" spans="1:35" x14ac:dyDescent="0.3">
      <c r="A1092" s="20">
        <v>42578</v>
      </c>
      <c r="C1092">
        <f>-(Historical_Simulation!B1093-Historical_Simulation!B1094)</f>
        <v>-1.5700000000000003</v>
      </c>
      <c r="E1092">
        <f>-(Historical_Simulation!C1093-Historical_Simulation!C1094)</f>
        <v>-1.0797999999999774</v>
      </c>
      <c r="G1092">
        <f>-(Historical_Simulation!D1093-Historical_Simulation!D1094)</f>
        <v>-2.1200000000000045</v>
      </c>
      <c r="J1092" s="23">
        <v>42580</v>
      </c>
      <c r="K1092" s="24">
        <f t="shared" si="64"/>
        <v>-3.329396323625843</v>
      </c>
      <c r="L1092" s="25"/>
      <c r="M1092" s="25"/>
      <c r="N1092" s="27"/>
      <c r="Q1092" s="23">
        <v>42580</v>
      </c>
      <c r="R1092" s="24">
        <f t="shared" si="65"/>
        <v>-2.2719636072523959</v>
      </c>
      <c r="S1092" s="25"/>
      <c r="T1092" s="25"/>
      <c r="U1092" s="27"/>
      <c r="X1092" s="47">
        <v>42580</v>
      </c>
      <c r="Y1092" s="48">
        <f t="shared" si="66"/>
        <v>5.7896480750632611</v>
      </c>
      <c r="Z1092" s="49"/>
      <c r="AA1092" s="49"/>
      <c r="AB1092" s="51"/>
      <c r="AE1092" s="47">
        <v>42580</v>
      </c>
      <c r="AF1092" s="48">
        <f t="shared" si="67"/>
        <v>4.0459777890159403</v>
      </c>
      <c r="AG1092" s="49"/>
      <c r="AH1092" s="49"/>
      <c r="AI1092" s="51"/>
    </row>
    <row r="1093" spans="1:35" x14ac:dyDescent="0.3">
      <c r="A1093" s="20">
        <v>42577</v>
      </c>
      <c r="C1093">
        <f>-(Historical_Simulation!B1094-Historical_Simulation!B1095)</f>
        <v>0.16750000000000043</v>
      </c>
      <c r="E1093">
        <f>-(Historical_Simulation!C1094-Historical_Simulation!C1095)</f>
        <v>4.0199999999999818</v>
      </c>
      <c r="G1093">
        <f>-(Historical_Simulation!D1094-Historical_Simulation!D1095)</f>
        <v>0.40999999999999659</v>
      </c>
      <c r="J1093" s="23">
        <v>42579</v>
      </c>
      <c r="K1093" s="24">
        <f t="shared" si="64"/>
        <v>-8.7584170967349095</v>
      </c>
      <c r="L1093" s="25"/>
      <c r="M1093" s="25"/>
      <c r="N1093" s="27"/>
      <c r="Q1093" s="23">
        <v>42579</v>
      </c>
      <c r="R1093" s="24">
        <f t="shared" si="65"/>
        <v>-6.1128926496276312</v>
      </c>
      <c r="S1093" s="25"/>
      <c r="T1093" s="25"/>
      <c r="U1093" s="27"/>
      <c r="X1093" s="47">
        <v>42579</v>
      </c>
      <c r="Y1093" s="48">
        <f t="shared" si="66"/>
        <v>-7.7015212637669173</v>
      </c>
      <c r="Z1093" s="49"/>
      <c r="AA1093" s="49"/>
      <c r="AB1093" s="51"/>
      <c r="AE1093" s="47">
        <v>42579</v>
      </c>
      <c r="AF1093" s="48">
        <f t="shared" si="67"/>
        <v>-5.4742052049473529</v>
      </c>
      <c r="AG1093" s="49"/>
      <c r="AH1093" s="49"/>
      <c r="AI1093" s="51"/>
    </row>
    <row r="1094" spans="1:35" x14ac:dyDescent="0.3">
      <c r="A1094" s="20">
        <v>42576</v>
      </c>
      <c r="C1094">
        <f>-(Historical_Simulation!B1095-Historical_Simulation!B1096)</f>
        <v>0.32999999999999829</v>
      </c>
      <c r="E1094">
        <f>-(Historical_Simulation!C1095-Historical_Simulation!C1096)</f>
        <v>5.25</v>
      </c>
      <c r="G1094">
        <f>-(Historical_Simulation!D1095-Historical_Simulation!D1096)</f>
        <v>-0.62999999999999545</v>
      </c>
      <c r="J1094" s="23">
        <v>42578</v>
      </c>
      <c r="K1094" s="24">
        <f t="shared" ref="K1094:K1157" si="68">C1092*$K$3+E1092*(1-$K$3)</f>
        <v>-1.3055793697807538</v>
      </c>
      <c r="L1094" s="25"/>
      <c r="M1094" s="25"/>
      <c r="N1094" s="27"/>
      <c r="Q1094" s="23">
        <v>42578</v>
      </c>
      <c r="R1094" s="24">
        <f t="shared" si="65"/>
        <v>-1.3887488070156169</v>
      </c>
      <c r="S1094" s="25"/>
      <c r="T1094" s="25"/>
      <c r="U1094" s="27"/>
      <c r="X1094" s="47">
        <v>42578</v>
      </c>
      <c r="Y1094" s="48">
        <f t="shared" si="66"/>
        <v>-4.6516851010071223</v>
      </c>
      <c r="Z1094" s="49"/>
      <c r="AA1094" s="49"/>
      <c r="AB1094" s="51"/>
      <c r="AE1094" s="47">
        <v>42578</v>
      </c>
      <c r="AF1094" s="48">
        <f t="shared" si="67"/>
        <v>-3.7183336096922464</v>
      </c>
      <c r="AG1094" s="49"/>
      <c r="AH1094" s="49"/>
      <c r="AI1094" s="51"/>
    </row>
    <row r="1095" spans="1:35" x14ac:dyDescent="0.3">
      <c r="A1095" s="20">
        <v>42573</v>
      </c>
      <c r="C1095">
        <f>-(Historical_Simulation!B1096-Historical_Simulation!B1097)</f>
        <v>0.19250000000000256</v>
      </c>
      <c r="E1095">
        <f>-(Historical_Simulation!C1096-Historical_Simulation!C1097)</f>
        <v>-0.43020000000001346</v>
      </c>
      <c r="G1095">
        <f>-(Historical_Simulation!D1096-Historical_Simulation!D1097)</f>
        <v>-0.39000000000000057</v>
      </c>
      <c r="J1095" s="23">
        <v>42577</v>
      </c>
      <c r="K1095" s="24">
        <f t="shared" si="68"/>
        <v>2.2455915502235717</v>
      </c>
      <c r="L1095" s="25"/>
      <c r="M1095" s="25"/>
      <c r="N1095" s="27"/>
      <c r="Q1095" s="23">
        <v>42577</v>
      </c>
      <c r="R1095" s="24">
        <f t="shared" ref="R1095:R1158" si="69">C1093*$R$3+E1093*(1-$R$3)</f>
        <v>1.5919598551046541</v>
      </c>
      <c r="S1095" s="25"/>
      <c r="T1095" s="25"/>
      <c r="U1095" s="27"/>
      <c r="X1095" s="47">
        <v>42577</v>
      </c>
      <c r="Y1095" s="48">
        <f t="shared" ref="Y1095:Y1158" si="70">C1093*$Y$3+G1093*(1-$Y$3)</f>
        <v>1.5262429763531082</v>
      </c>
      <c r="Z1095" s="49"/>
      <c r="AA1095" s="49"/>
      <c r="AB1095" s="51"/>
      <c r="AE1095" s="47">
        <v>42577</v>
      </c>
      <c r="AF1095" s="48">
        <f t="shared" ref="AF1095:AF1158" si="71">C1093*$AF$3+G1093*(1-$AF$3)</f>
        <v>1.1147198188188323</v>
      </c>
      <c r="AG1095" s="49"/>
      <c r="AH1095" s="49"/>
      <c r="AI1095" s="51"/>
    </row>
    <row r="1096" spans="1:35" x14ac:dyDescent="0.3">
      <c r="A1096" s="20">
        <v>42572</v>
      </c>
      <c r="C1096">
        <f>-(Historical_Simulation!B1097-Historical_Simulation!B1098)</f>
        <v>0.13249999999999673</v>
      </c>
      <c r="E1096">
        <f>-(Historical_Simulation!C1097-Historical_Simulation!C1098)</f>
        <v>1.2901000000000522</v>
      </c>
      <c r="G1096">
        <f>-(Historical_Simulation!D1097-Historical_Simulation!D1098)</f>
        <v>1.3100000000000023</v>
      </c>
      <c r="J1096" s="23">
        <v>42576</v>
      </c>
      <c r="K1096" s="24">
        <f t="shared" si="68"/>
        <v>2.9839157500584079</v>
      </c>
      <c r="L1096" s="25"/>
      <c r="M1096" s="25"/>
      <c r="N1096" s="27"/>
      <c r="Q1096" s="23">
        <v>42576</v>
      </c>
      <c r="R1096" s="24">
        <f t="shared" si="69"/>
        <v>2.1491674204062106</v>
      </c>
      <c r="S1096" s="25"/>
      <c r="T1096" s="25"/>
      <c r="U1096" s="27"/>
      <c r="X1096" s="47">
        <v>42576</v>
      </c>
      <c r="Y1096" s="48">
        <f t="shared" si="70"/>
        <v>-5.0489412672123546</v>
      </c>
      <c r="Z1096" s="49"/>
      <c r="AA1096" s="49"/>
      <c r="AB1096" s="51"/>
      <c r="AE1096" s="47">
        <v>42576</v>
      </c>
      <c r="AF1096" s="48">
        <f t="shared" si="71"/>
        <v>-3.4198186641900516</v>
      </c>
      <c r="AG1096" s="49"/>
      <c r="AH1096" s="49"/>
      <c r="AI1096" s="51"/>
    </row>
    <row r="1097" spans="1:35" x14ac:dyDescent="0.3">
      <c r="A1097" s="20">
        <v>42571</v>
      </c>
      <c r="C1097">
        <f>-(Historical_Simulation!B1098-Historical_Simulation!B1099)</f>
        <v>-2.24999999999973E-2</v>
      </c>
      <c r="E1097">
        <f>-(Historical_Simulation!C1098-Historical_Simulation!C1099)</f>
        <v>-5.7699999999999818</v>
      </c>
      <c r="G1097">
        <f>-(Historical_Simulation!D1098-Historical_Simulation!D1099)</f>
        <v>-1.3100000000000023</v>
      </c>
      <c r="J1097" s="23">
        <v>42573</v>
      </c>
      <c r="K1097" s="24">
        <f t="shared" si="68"/>
        <v>-0.14339295478890265</v>
      </c>
      <c r="L1097" s="25"/>
      <c r="M1097" s="25"/>
      <c r="N1097" s="27"/>
      <c r="Q1097" s="23">
        <v>42573</v>
      </c>
      <c r="R1097" s="24">
        <f t="shared" si="69"/>
        <v>-3.7742998513610668E-2</v>
      </c>
      <c r="S1097" s="25"/>
      <c r="T1097" s="25"/>
      <c r="U1097" s="27"/>
      <c r="X1097" s="47">
        <v>42573</v>
      </c>
      <c r="Y1097" s="48">
        <f t="shared" si="70"/>
        <v>-3.071284675157532</v>
      </c>
      <c r="Z1097" s="49"/>
      <c r="AA1097" s="49"/>
      <c r="AB1097" s="51"/>
      <c r="AE1097" s="47">
        <v>42573</v>
      </c>
      <c r="AF1097" s="48">
        <f t="shared" si="71"/>
        <v>-2.082780595719508</v>
      </c>
      <c r="AG1097" s="49"/>
      <c r="AH1097" s="49"/>
      <c r="AI1097" s="51"/>
    </row>
    <row r="1098" spans="1:35" x14ac:dyDescent="0.3">
      <c r="A1098" s="20">
        <v>42570</v>
      </c>
      <c r="C1098">
        <f>-(Historical_Simulation!B1099-Historical_Simulation!B1100)</f>
        <v>-1.0000000000001563E-2</v>
      </c>
      <c r="E1098">
        <f>-(Historical_Simulation!C1099-Historical_Simulation!C1100)</f>
        <v>-3.8799000000000206</v>
      </c>
      <c r="G1098">
        <f>-(Historical_Simulation!D1099-Historical_Simulation!D1100)</f>
        <v>-1.2399999999999949</v>
      </c>
      <c r="J1098" s="23">
        <v>42572</v>
      </c>
      <c r="K1098" s="24">
        <f t="shared" si="68"/>
        <v>0.75692538054222458</v>
      </c>
      <c r="L1098" s="25"/>
      <c r="M1098" s="25"/>
      <c r="N1098" s="27"/>
      <c r="Q1098" s="23">
        <v>42572</v>
      </c>
      <c r="R1098" s="24">
        <f t="shared" si="69"/>
        <v>0.56052199306144623</v>
      </c>
      <c r="S1098" s="25"/>
      <c r="T1098" s="25"/>
      <c r="U1098" s="27"/>
      <c r="X1098" s="47">
        <v>42572</v>
      </c>
      <c r="Y1098" s="48">
        <f t="shared" si="70"/>
        <v>6.7301076480652222</v>
      </c>
      <c r="Z1098" s="49"/>
      <c r="AA1098" s="49"/>
      <c r="AB1098" s="51"/>
      <c r="AE1098" s="47">
        <v>42572</v>
      </c>
      <c r="AF1098" s="48">
        <f t="shared" si="71"/>
        <v>4.7318869552956571</v>
      </c>
      <c r="AG1098" s="49"/>
      <c r="AH1098" s="49"/>
      <c r="AI1098" s="51"/>
    </row>
    <row r="1099" spans="1:35" x14ac:dyDescent="0.3">
      <c r="A1099" s="20">
        <v>42569</v>
      </c>
      <c r="C1099">
        <f>-(Historical_Simulation!B1100-Historical_Simulation!B1101)</f>
        <v>-0.26249999999999929</v>
      </c>
      <c r="E1099">
        <f>-(Historical_Simulation!C1100-Historical_Simulation!C1101)</f>
        <v>-0.63020000000005894</v>
      </c>
      <c r="G1099">
        <f>-(Historical_Simulation!D1100-Historical_Simulation!D1101)</f>
        <v>-2.5100000000000051</v>
      </c>
      <c r="J1099" s="23">
        <v>42571</v>
      </c>
      <c r="K1099" s="24">
        <f t="shared" si="68"/>
        <v>-3.1227806450123272</v>
      </c>
      <c r="L1099" s="25"/>
      <c r="M1099" s="25"/>
      <c r="N1099" s="27"/>
      <c r="Q1099" s="23">
        <v>42571</v>
      </c>
      <c r="R1099" s="24">
        <f t="shared" si="69"/>
        <v>-2.1476351115415975</v>
      </c>
      <c r="S1099" s="25"/>
      <c r="T1099" s="25"/>
      <c r="U1099" s="27"/>
      <c r="X1099" s="47">
        <v>42571</v>
      </c>
      <c r="Y1099" s="48">
        <f t="shared" si="70"/>
        <v>-7.236444668266639</v>
      </c>
      <c r="Z1099" s="49"/>
      <c r="AA1099" s="49"/>
      <c r="AB1099" s="51"/>
      <c r="AE1099" s="47">
        <v>42571</v>
      </c>
      <c r="AF1099" s="48">
        <f t="shared" si="71"/>
        <v>-5.051553677234101</v>
      </c>
      <c r="AG1099" s="49"/>
      <c r="AH1099" s="49"/>
      <c r="AI1099" s="51"/>
    </row>
    <row r="1100" spans="1:35" x14ac:dyDescent="0.3">
      <c r="A1100" s="20">
        <v>42566</v>
      </c>
      <c r="C1100">
        <f>-(Historical_Simulation!B1101-Historical_Simulation!B1102)</f>
        <v>2.500000000001279E-3</v>
      </c>
      <c r="E1100">
        <f>-(Historical_Simulation!C1101-Historical_Simulation!C1102)</f>
        <v>5.7601000000000795</v>
      </c>
      <c r="G1100">
        <f>-(Historical_Simulation!D1101-Historical_Simulation!D1102)</f>
        <v>0.43000000000000682</v>
      </c>
      <c r="J1100" s="23">
        <v>42570</v>
      </c>
      <c r="K1100" s="24">
        <f t="shared" si="68"/>
        <v>-2.0974773498274581</v>
      </c>
      <c r="L1100" s="25"/>
      <c r="M1100" s="25"/>
      <c r="N1100" s="27"/>
      <c r="Q1100" s="23">
        <v>42570</v>
      </c>
      <c r="R1100" s="24">
        <f t="shared" si="69"/>
        <v>-1.4408934959817155</v>
      </c>
      <c r="S1100" s="25"/>
      <c r="T1100" s="25"/>
      <c r="U1100" s="27"/>
      <c r="X1100" s="47">
        <v>42570</v>
      </c>
      <c r="Y1100" s="48">
        <f t="shared" si="70"/>
        <v>-6.9017684986158363</v>
      </c>
      <c r="Z1100" s="49"/>
      <c r="AA1100" s="49"/>
      <c r="AB1100" s="51"/>
      <c r="AE1100" s="47">
        <v>42570</v>
      </c>
      <c r="AF1100" s="48">
        <f t="shared" si="71"/>
        <v>-4.8144551634935082</v>
      </c>
      <c r="AG1100" s="49"/>
      <c r="AH1100" s="49"/>
      <c r="AI1100" s="51"/>
    </row>
    <row r="1101" spans="1:35" x14ac:dyDescent="0.3">
      <c r="A1101" s="20">
        <v>42565</v>
      </c>
      <c r="C1101">
        <f>-(Historical_Simulation!B1102-Historical_Simulation!B1103)</f>
        <v>-0.48000000000000043</v>
      </c>
      <c r="E1101">
        <f>-(Historical_Simulation!C1102-Historical_Simulation!C1103)</f>
        <v>1.4298999999999751</v>
      </c>
      <c r="G1101">
        <f>-(Historical_Simulation!D1102-Historical_Simulation!D1103)</f>
        <v>-0.51000000000000512</v>
      </c>
      <c r="J1101" s="23">
        <v>42569</v>
      </c>
      <c r="K1101" s="24">
        <f t="shared" si="68"/>
        <v>-0.46084244335297386</v>
      </c>
      <c r="L1101" s="25"/>
      <c r="M1101" s="25"/>
      <c r="N1101" s="27"/>
      <c r="Q1101" s="23">
        <v>42569</v>
      </c>
      <c r="R1101" s="24">
        <f t="shared" si="69"/>
        <v>-0.39845688221208719</v>
      </c>
      <c r="S1101" s="25"/>
      <c r="T1101" s="25"/>
      <c r="U1101" s="27"/>
      <c r="X1101" s="47">
        <v>42569</v>
      </c>
      <c r="Y1101" s="48">
        <f t="shared" si="70"/>
        <v>-12.855385935479035</v>
      </c>
      <c r="Z1101" s="49"/>
      <c r="AA1101" s="49"/>
      <c r="AB1101" s="51"/>
      <c r="AE1101" s="47">
        <v>42569</v>
      </c>
      <c r="AF1101" s="48">
        <f t="shared" si="71"/>
        <v>-9.0413723414241804</v>
      </c>
      <c r="AG1101" s="49"/>
      <c r="AH1101" s="49"/>
      <c r="AI1101" s="51"/>
    </row>
    <row r="1102" spans="1:35" x14ac:dyDescent="0.3">
      <c r="A1102" s="20">
        <v>42564</v>
      </c>
      <c r="C1102">
        <f>-(Historical_Simulation!B1103-Historical_Simulation!B1104)</f>
        <v>0.13749999999999929</v>
      </c>
      <c r="E1102">
        <f>-(Historical_Simulation!C1103-Historical_Simulation!C1104)</f>
        <v>5.5801000000000158</v>
      </c>
      <c r="G1102">
        <f>-(Historical_Simulation!D1103-Historical_Simulation!D1104)</f>
        <v>1.1500000000000057</v>
      </c>
      <c r="J1102" s="23">
        <v>42566</v>
      </c>
      <c r="K1102" s="24">
        <f t="shared" si="68"/>
        <v>3.1082287240927862</v>
      </c>
      <c r="L1102" s="25"/>
      <c r="M1102" s="25"/>
      <c r="N1102" s="27"/>
      <c r="Q1102" s="23">
        <v>42566</v>
      </c>
      <c r="R1102" s="24">
        <f t="shared" si="69"/>
        <v>2.1313695812461284</v>
      </c>
      <c r="S1102" s="25"/>
      <c r="T1102" s="25"/>
      <c r="U1102" s="27"/>
      <c r="X1102" s="47">
        <v>42566</v>
      </c>
      <c r="Y1102" s="48">
        <f t="shared" si="70"/>
        <v>2.3978097830555489</v>
      </c>
      <c r="Z1102" s="49"/>
      <c r="AA1102" s="49"/>
      <c r="AB1102" s="51"/>
      <c r="AE1102" s="47">
        <v>42566</v>
      </c>
      <c r="AF1102" s="48">
        <f t="shared" si="71"/>
        <v>1.6723411238971653</v>
      </c>
      <c r="AG1102" s="49"/>
      <c r="AH1102" s="49"/>
      <c r="AI1102" s="51"/>
    </row>
    <row r="1103" spans="1:35" x14ac:dyDescent="0.3">
      <c r="A1103" s="20">
        <v>42563</v>
      </c>
      <c r="C1103">
        <f>-(Historical_Simulation!B1104-Historical_Simulation!B1105)</f>
        <v>-0.10999999999999943</v>
      </c>
      <c r="E1103">
        <f>-(Historical_Simulation!C1104-Historical_Simulation!C1105)</f>
        <v>5.5699999999999363</v>
      </c>
      <c r="G1103">
        <f>-(Historical_Simulation!D1104-Historical_Simulation!D1105)</f>
        <v>-6.0000000000002274E-2</v>
      </c>
      <c r="J1103" s="23">
        <v>42565</v>
      </c>
      <c r="K1103" s="24">
        <f t="shared" si="68"/>
        <v>0.55022635996676583</v>
      </c>
      <c r="L1103" s="25"/>
      <c r="M1103" s="25"/>
      <c r="N1103" s="27"/>
      <c r="Q1103" s="23">
        <v>42565</v>
      </c>
      <c r="R1103" s="24">
        <f t="shared" si="69"/>
        <v>0.22618452362475139</v>
      </c>
      <c r="S1103" s="25"/>
      <c r="T1103" s="25"/>
      <c r="U1103" s="27"/>
      <c r="X1103" s="47">
        <v>42565</v>
      </c>
      <c r="Y1103" s="48">
        <f t="shared" si="70"/>
        <v>-0.64809191460041404</v>
      </c>
      <c r="Z1103" s="49"/>
      <c r="AA1103" s="49"/>
      <c r="AB1103" s="51"/>
      <c r="AE1103" s="47">
        <v>42565</v>
      </c>
      <c r="AF1103" s="48">
        <f t="shared" si="71"/>
        <v>-0.59718183325595864</v>
      </c>
      <c r="AG1103" s="49"/>
      <c r="AH1103" s="49"/>
      <c r="AI1103" s="51"/>
    </row>
    <row r="1104" spans="1:35" x14ac:dyDescent="0.3">
      <c r="A1104" s="20">
        <v>42562</v>
      </c>
      <c r="C1104">
        <f>-(Historical_Simulation!B1105-Historical_Simulation!B1106)</f>
        <v>-7.4999999999999289E-2</v>
      </c>
      <c r="E1104">
        <f>-(Historical_Simulation!C1105-Historical_Simulation!C1106)</f>
        <v>-7.9698999999999387</v>
      </c>
      <c r="G1104">
        <f>-(Historical_Simulation!D1105-Historical_Simulation!D1106)</f>
        <v>-0.63000000000000966</v>
      </c>
      <c r="J1104" s="23">
        <v>42564</v>
      </c>
      <c r="K1104" s="24">
        <f t="shared" si="68"/>
        <v>3.0733133864365723</v>
      </c>
      <c r="L1104" s="25"/>
      <c r="M1104" s="25"/>
      <c r="N1104" s="27"/>
      <c r="Q1104" s="23">
        <v>42564</v>
      </c>
      <c r="R1104" s="24">
        <f t="shared" si="69"/>
        <v>2.149898496403023</v>
      </c>
      <c r="S1104" s="25"/>
      <c r="T1104" s="25"/>
      <c r="U1104" s="27"/>
      <c r="X1104" s="47">
        <v>42564</v>
      </c>
      <c r="Y1104" s="48">
        <f t="shared" si="70"/>
        <v>5.8106021177631009</v>
      </c>
      <c r="Z1104" s="49"/>
      <c r="AA1104" s="49"/>
      <c r="AB1104" s="51"/>
      <c r="AE1104" s="47">
        <v>42564</v>
      </c>
      <c r="AF1104" s="48">
        <f t="shared" si="71"/>
        <v>4.0923868723879933</v>
      </c>
      <c r="AG1104" s="49"/>
      <c r="AH1104" s="49"/>
      <c r="AI1104" s="51"/>
    </row>
    <row r="1105" spans="1:35" x14ac:dyDescent="0.3">
      <c r="A1105" s="20">
        <v>42559</v>
      </c>
      <c r="C1105">
        <f>-(Historical_Simulation!B1106-Historical_Simulation!B1107)</f>
        <v>-0.18500000000000227</v>
      </c>
      <c r="E1105">
        <f>-(Historical_Simulation!C1106-Historical_Simulation!C1107)</f>
        <v>-9.2400000000000091</v>
      </c>
      <c r="G1105">
        <f>-(Historical_Simulation!D1106-Historical_Simulation!D1107)</f>
        <v>-1.3900000000000006</v>
      </c>
      <c r="J1105" s="23">
        <v>42563</v>
      </c>
      <c r="K1105" s="24">
        <f t="shared" si="68"/>
        <v>2.9538702155145513</v>
      </c>
      <c r="L1105" s="25"/>
      <c r="M1105" s="25"/>
      <c r="N1105" s="27"/>
      <c r="Q1105" s="23">
        <v>42563</v>
      </c>
      <c r="R1105" s="24">
        <f t="shared" si="69"/>
        <v>1.9901770219323509</v>
      </c>
      <c r="S1105" s="25"/>
      <c r="T1105" s="25"/>
      <c r="U1105" s="27"/>
      <c r="X1105" s="47">
        <v>42563</v>
      </c>
      <c r="Y1105" s="48">
        <f t="shared" si="70"/>
        <v>0.17015319100062992</v>
      </c>
      <c r="Z1105" s="49"/>
      <c r="AA1105" s="49"/>
      <c r="AB1105" s="51"/>
      <c r="AE1105" s="47">
        <v>42563</v>
      </c>
      <c r="AF1105" s="48">
        <f t="shared" si="71"/>
        <v>8.5303055426555835E-2</v>
      </c>
      <c r="AG1105" s="49"/>
      <c r="AH1105" s="49"/>
      <c r="AI1105" s="51"/>
    </row>
    <row r="1106" spans="1:35" x14ac:dyDescent="0.3">
      <c r="A1106" s="20">
        <v>42558</v>
      </c>
      <c r="C1106">
        <f>-(Historical_Simulation!B1107-Historical_Simulation!B1108)</f>
        <v>-0.10249999999999915</v>
      </c>
      <c r="E1106">
        <f>-(Historical_Simulation!C1107-Historical_Simulation!C1108)</f>
        <v>1.0399999999999636</v>
      </c>
      <c r="G1106">
        <f>-(Historical_Simulation!D1107-Historical_Simulation!D1108)</f>
        <v>0.85000000000000853</v>
      </c>
      <c r="J1106" s="23">
        <v>42562</v>
      </c>
      <c r="K1106" s="24">
        <f t="shared" si="68"/>
        <v>-4.3336177754341394</v>
      </c>
      <c r="L1106" s="25"/>
      <c r="M1106" s="25"/>
      <c r="N1106" s="27"/>
      <c r="Q1106" s="23">
        <v>42562</v>
      </c>
      <c r="R1106" s="24">
        <f t="shared" si="69"/>
        <v>-2.9941351356432695</v>
      </c>
      <c r="S1106" s="25"/>
      <c r="T1106" s="25"/>
      <c r="U1106" s="27"/>
      <c r="X1106" s="47">
        <v>42562</v>
      </c>
      <c r="Y1106" s="48">
        <f t="shared" si="70"/>
        <v>-3.1847004201072191</v>
      </c>
      <c r="Z1106" s="49"/>
      <c r="AA1106" s="49"/>
      <c r="AB1106" s="51"/>
      <c r="AE1106" s="47">
        <v>42562</v>
      </c>
      <c r="AF1106" s="48">
        <f t="shared" si="71"/>
        <v>-2.2428639152349268</v>
      </c>
      <c r="AG1106" s="49"/>
      <c r="AH1106" s="49"/>
      <c r="AI1106" s="51"/>
    </row>
    <row r="1107" spans="1:35" x14ac:dyDescent="0.3">
      <c r="A1107" s="20">
        <v>42557</v>
      </c>
      <c r="C1107">
        <f>-(Historical_Simulation!B1108-Historical_Simulation!B1109)</f>
        <v>-0.13500000000000156</v>
      </c>
      <c r="E1107">
        <f>-(Historical_Simulation!C1108-Historical_Simulation!C1109)</f>
        <v>-9.5099999999999909</v>
      </c>
      <c r="G1107">
        <f>-(Historical_Simulation!D1108-Historical_Simulation!D1109)</f>
        <v>-2.7000000000000028</v>
      </c>
      <c r="J1107" s="23">
        <v>42559</v>
      </c>
      <c r="K1107" s="24">
        <f t="shared" si="68"/>
        <v>-5.0693916904022194</v>
      </c>
      <c r="L1107" s="25"/>
      <c r="M1107" s="25"/>
      <c r="N1107" s="27"/>
      <c r="Q1107" s="23">
        <v>42559</v>
      </c>
      <c r="R1107" s="24">
        <f t="shared" si="69"/>
        <v>-3.5330815023939568</v>
      </c>
      <c r="S1107" s="25"/>
      <c r="T1107" s="25"/>
      <c r="U1107" s="27"/>
      <c r="X1107" s="47">
        <v>42559</v>
      </c>
      <c r="Y1107" s="48">
        <f t="shared" si="70"/>
        <v>-6.936691903115543</v>
      </c>
      <c r="Z1107" s="49"/>
      <c r="AA1107" s="49"/>
      <c r="AB1107" s="51"/>
      <c r="AE1107" s="47">
        <v>42559</v>
      </c>
      <c r="AF1107" s="48">
        <f t="shared" si="71"/>
        <v>-4.8918036357802457</v>
      </c>
      <c r="AG1107" s="49"/>
      <c r="AH1107" s="49"/>
      <c r="AI1107" s="51"/>
    </row>
    <row r="1108" spans="1:35" x14ac:dyDescent="0.3">
      <c r="A1108" s="20">
        <v>42556</v>
      </c>
      <c r="C1108">
        <f>-(Historical_Simulation!B1109-Historical_Simulation!B1110)</f>
        <v>0.22500000000000142</v>
      </c>
      <c r="E1108">
        <f>-(Historical_Simulation!C1109-Historical_Simulation!C1110)</f>
        <v>-2.4202000000000226</v>
      </c>
      <c r="G1108">
        <f>-(Historical_Simulation!D1109-Historical_Simulation!D1110)</f>
        <v>0.18999999999999773</v>
      </c>
      <c r="J1108" s="23">
        <v>42558</v>
      </c>
      <c r="K1108" s="24">
        <f t="shared" si="68"/>
        <v>0.51378023261008887</v>
      </c>
      <c r="L1108" s="25"/>
      <c r="M1108" s="25"/>
      <c r="N1108" s="27"/>
      <c r="Q1108" s="23">
        <v>42558</v>
      </c>
      <c r="R1108" s="24">
        <f t="shared" si="69"/>
        <v>0.31993877597846199</v>
      </c>
      <c r="S1108" s="25"/>
      <c r="T1108" s="25"/>
      <c r="U1108" s="27"/>
      <c r="X1108" s="47">
        <v>42558</v>
      </c>
      <c r="Y1108" s="48">
        <f t="shared" si="70"/>
        <v>5.2344182885623356</v>
      </c>
      <c r="Z1108" s="49"/>
      <c r="AA1108" s="49"/>
      <c r="AB1108" s="51"/>
      <c r="AE1108" s="47">
        <v>42558</v>
      </c>
      <c r="AF1108" s="48">
        <f t="shared" si="71"/>
        <v>3.6180232058761201</v>
      </c>
      <c r="AG1108" s="49"/>
      <c r="AH1108" s="49"/>
      <c r="AI1108" s="51"/>
    </row>
    <row r="1109" spans="1:35" x14ac:dyDescent="0.3">
      <c r="A1109" s="20">
        <v>42555</v>
      </c>
      <c r="C1109">
        <f>-(Historical_Simulation!B1110-Historical_Simulation!B1111)</f>
        <v>0</v>
      </c>
      <c r="E1109">
        <f>-(Historical_Simulation!C1110-Historical_Simulation!C1111)</f>
        <v>0</v>
      </c>
      <c r="G1109">
        <f>-(Historical_Simulation!D1110-Historical_Simulation!D1111)</f>
        <v>0</v>
      </c>
      <c r="J1109" s="23">
        <v>42557</v>
      </c>
      <c r="K1109" s="24">
        <f t="shared" si="68"/>
        <v>-5.1920040969100736</v>
      </c>
      <c r="L1109" s="25"/>
      <c r="M1109" s="25"/>
      <c r="N1109" s="27"/>
      <c r="Q1109" s="23">
        <v>42557</v>
      </c>
      <c r="R1109" s="24">
        <f t="shared" si="69"/>
        <v>-3.6014013346154923</v>
      </c>
      <c r="S1109" s="25"/>
      <c r="T1109" s="25"/>
      <c r="U1109" s="27"/>
      <c r="X1109" s="47">
        <v>42557</v>
      </c>
      <c r="Y1109" s="48">
        <f t="shared" si="70"/>
        <v>-14.506858698333108</v>
      </c>
      <c r="Z1109" s="49"/>
      <c r="AA1109" s="49"/>
      <c r="AB1109" s="51"/>
      <c r="AE1109" s="47">
        <v>42557</v>
      </c>
      <c r="AF1109" s="48">
        <f t="shared" si="71"/>
        <v>-10.154046743382862</v>
      </c>
      <c r="AG1109" s="49"/>
      <c r="AH1109" s="49"/>
      <c r="AI1109" s="51"/>
    </row>
    <row r="1110" spans="1:35" x14ac:dyDescent="0.3">
      <c r="A1110" s="20">
        <v>42552</v>
      </c>
      <c r="C1110">
        <f>-(Historical_Simulation!B1111-Historical_Simulation!B1112)</f>
        <v>-7.2500000000001563E-2</v>
      </c>
      <c r="E1110">
        <f>-(Historical_Simulation!C1111-Historical_Simulation!C1112)</f>
        <v>-10.059799999999996</v>
      </c>
      <c r="G1110">
        <f>-(Historical_Simulation!D1111-Historical_Simulation!D1112)</f>
        <v>9.0000000000003411E-2</v>
      </c>
      <c r="J1110" s="23">
        <v>42556</v>
      </c>
      <c r="K1110" s="24">
        <f t="shared" si="68"/>
        <v>-1.2018573052956423</v>
      </c>
      <c r="L1110" s="25"/>
      <c r="M1110" s="25"/>
      <c r="N1110" s="27"/>
      <c r="Q1110" s="23">
        <v>42556</v>
      </c>
      <c r="R1110" s="24">
        <f t="shared" si="69"/>
        <v>-0.75306131310133084</v>
      </c>
      <c r="S1110" s="25"/>
      <c r="T1110" s="25"/>
      <c r="U1110" s="27"/>
      <c r="X1110" s="47">
        <v>42556</v>
      </c>
      <c r="Y1110" s="48">
        <f t="shared" si="70"/>
        <v>2.8892766299529082E-2</v>
      </c>
      <c r="Z1110" s="49"/>
      <c r="AA1110" s="49"/>
      <c r="AB1110" s="51"/>
      <c r="AE1110" s="47">
        <v>42556</v>
      </c>
      <c r="AF1110" s="48">
        <f t="shared" si="71"/>
        <v>8.8287861201390538E-2</v>
      </c>
      <c r="AG1110" s="49"/>
      <c r="AH1110" s="49"/>
      <c r="AI1110" s="51"/>
    </row>
    <row r="1111" spans="1:35" x14ac:dyDescent="0.3">
      <c r="A1111" s="20">
        <v>42551</v>
      </c>
      <c r="C1111">
        <f>-(Historical_Simulation!B1112-Historical_Simulation!B1113)</f>
        <v>-0.29999999999999716</v>
      </c>
      <c r="E1111">
        <f>-(Historical_Simulation!C1112-Historical_Simulation!C1113)</f>
        <v>-1.999999999998181E-2</v>
      </c>
      <c r="G1111">
        <f>-(Historical_Simulation!D1112-Historical_Simulation!D1113)</f>
        <v>-0.12000000000000455</v>
      </c>
      <c r="J1111" s="23">
        <v>42555</v>
      </c>
      <c r="K1111" s="24">
        <f t="shared" si="68"/>
        <v>0</v>
      </c>
      <c r="L1111" s="25"/>
      <c r="M1111" s="25"/>
      <c r="N1111" s="27"/>
      <c r="Q1111" s="23">
        <v>42555</v>
      </c>
      <c r="R1111" s="24">
        <f t="shared" si="69"/>
        <v>0</v>
      </c>
      <c r="S1111" s="25"/>
      <c r="T1111" s="25"/>
      <c r="U1111" s="27"/>
      <c r="X1111" s="47">
        <v>42555</v>
      </c>
      <c r="Y1111" s="48">
        <f t="shared" si="70"/>
        <v>0</v>
      </c>
      <c r="Z1111" s="49"/>
      <c r="AA1111" s="49"/>
      <c r="AB1111" s="51"/>
      <c r="AE1111" s="47">
        <v>42555</v>
      </c>
      <c r="AF1111" s="48">
        <f t="shared" si="71"/>
        <v>0</v>
      </c>
      <c r="AG1111" s="49"/>
      <c r="AH1111" s="49"/>
      <c r="AI1111" s="51"/>
    </row>
    <row r="1112" spans="1:35" x14ac:dyDescent="0.3">
      <c r="A1112" s="20">
        <v>42550</v>
      </c>
      <c r="C1112">
        <f>-(Historical_Simulation!B1113-Historical_Simulation!B1114)</f>
        <v>-0.20250000000000057</v>
      </c>
      <c r="E1112">
        <f>-(Historical_Simulation!C1113-Historical_Simulation!C1114)</f>
        <v>-7.6500999999999522</v>
      </c>
      <c r="G1112">
        <f>-(Historical_Simulation!D1113-Historical_Simulation!D1114)</f>
        <v>-1.4599999999999937</v>
      </c>
      <c r="J1112" s="23">
        <v>42552</v>
      </c>
      <c r="K1112" s="24">
        <f t="shared" si="68"/>
        <v>-5.4597871484874672</v>
      </c>
      <c r="L1112" s="25"/>
      <c r="M1112" s="25"/>
      <c r="N1112" s="27"/>
      <c r="Q1112" s="23">
        <v>42552</v>
      </c>
      <c r="R1112" s="24">
        <f t="shared" si="69"/>
        <v>-3.7652989385819011</v>
      </c>
      <c r="S1112" s="25"/>
      <c r="T1112" s="25"/>
      <c r="U1112" s="27"/>
      <c r="X1112" s="47">
        <v>42552</v>
      </c>
      <c r="Y1112" s="48">
        <f t="shared" si="70"/>
        <v>0.83799787075212318</v>
      </c>
      <c r="Z1112" s="49"/>
      <c r="AA1112" s="49"/>
      <c r="AB1112" s="51"/>
      <c r="AE1112" s="47">
        <v>42552</v>
      </c>
      <c r="AF1112" s="48">
        <f t="shared" si="71"/>
        <v>0.5622349301363585</v>
      </c>
      <c r="AG1112" s="49"/>
      <c r="AH1112" s="49"/>
      <c r="AI1112" s="51"/>
    </row>
    <row r="1113" spans="1:35" x14ac:dyDescent="0.3">
      <c r="A1113" s="20">
        <v>42549</v>
      </c>
      <c r="C1113">
        <f>-(Historical_Simulation!B1114-Historical_Simulation!B1115)</f>
        <v>-0.38749999999999929</v>
      </c>
      <c r="E1113">
        <f>-(Historical_Simulation!C1114-Historical_Simulation!C1115)</f>
        <v>-16.589900000000057</v>
      </c>
      <c r="G1113">
        <f>-(Historical_Simulation!D1114-Historical_Simulation!D1115)</f>
        <v>-3.730000000000004</v>
      </c>
      <c r="J1113" s="23">
        <v>42551</v>
      </c>
      <c r="K1113" s="24">
        <f t="shared" si="68"/>
        <v>-0.14896414430560789</v>
      </c>
      <c r="L1113" s="25"/>
      <c r="M1113" s="25"/>
      <c r="N1113" s="27"/>
      <c r="Q1113" s="23">
        <v>42551</v>
      </c>
      <c r="R1113" s="24">
        <f t="shared" si="69"/>
        <v>-0.19647014680614203</v>
      </c>
      <c r="S1113" s="25"/>
      <c r="T1113" s="25"/>
      <c r="U1113" s="27"/>
      <c r="X1113" s="47">
        <v>42551</v>
      </c>
      <c r="Y1113" s="48">
        <f t="shared" si="70"/>
        <v>0.70855148760228415</v>
      </c>
      <c r="Z1113" s="49"/>
      <c r="AA1113" s="49"/>
      <c r="AB1113" s="51"/>
      <c r="AE1113" s="47">
        <v>42551</v>
      </c>
      <c r="AF1113" s="48">
        <f t="shared" si="71"/>
        <v>0.40309099953561284</v>
      </c>
      <c r="AG1113" s="49"/>
      <c r="AH1113" s="49"/>
      <c r="AI1113" s="51"/>
    </row>
    <row r="1114" spans="1:35" x14ac:dyDescent="0.3">
      <c r="A1114" s="20">
        <v>42548</v>
      </c>
      <c r="C1114">
        <f>-(Historical_Simulation!B1115-Historical_Simulation!B1116)</f>
        <v>0.33999999999999986</v>
      </c>
      <c r="E1114">
        <f>-(Historical_Simulation!C1115-Historical_Simulation!C1116)</f>
        <v>7.5999000000000478</v>
      </c>
      <c r="G1114">
        <f>-(Historical_Simulation!D1115-Historical_Simulation!D1116)</f>
        <v>3.1099999999999994</v>
      </c>
      <c r="J1114" s="23">
        <v>42550</v>
      </c>
      <c r="K1114" s="24">
        <f t="shared" si="68"/>
        <v>-4.219837995962374</v>
      </c>
      <c r="L1114" s="25"/>
      <c r="M1114" s="25"/>
      <c r="N1114" s="27"/>
      <c r="Q1114" s="23">
        <v>42550</v>
      </c>
      <c r="R1114" s="24">
        <f t="shared" si="69"/>
        <v>-2.9562461951661012</v>
      </c>
      <c r="S1114" s="25"/>
      <c r="T1114" s="25"/>
      <c r="U1114" s="27"/>
      <c r="X1114" s="47">
        <v>42550</v>
      </c>
      <c r="Y1114" s="48">
        <f t="shared" si="70"/>
        <v>-7.2483527536661905</v>
      </c>
      <c r="Z1114" s="49"/>
      <c r="AA1114" s="49"/>
      <c r="AB1114" s="51"/>
      <c r="AE1114" s="47">
        <v>42550</v>
      </c>
      <c r="AF1114" s="48">
        <f t="shared" si="71"/>
        <v>-5.1143718439781178</v>
      </c>
      <c r="AG1114" s="49"/>
      <c r="AH1114" s="49"/>
      <c r="AI1114" s="51"/>
    </row>
    <row r="1115" spans="1:35" x14ac:dyDescent="0.3">
      <c r="A1115" s="20">
        <v>42545</v>
      </c>
      <c r="C1115">
        <f>-(Historical_Simulation!B1116-Historical_Simulation!B1117)</f>
        <v>0.67499999999999716</v>
      </c>
      <c r="E1115">
        <f>-(Historical_Simulation!C1116-Historical_Simulation!C1117)</f>
        <v>23.120099999999979</v>
      </c>
      <c r="G1115">
        <f>-(Historical_Simulation!D1116-Historical_Simulation!D1117)</f>
        <v>3</v>
      </c>
      <c r="J1115" s="23">
        <v>42549</v>
      </c>
      <c r="K1115" s="24">
        <f t="shared" si="68"/>
        <v>-9.127297672509453</v>
      </c>
      <c r="L1115" s="25"/>
      <c r="M1115" s="25"/>
      <c r="N1115" s="27"/>
      <c r="Q1115" s="23">
        <v>42549</v>
      </c>
      <c r="R1115" s="24">
        <f t="shared" si="69"/>
        <v>-6.3783289049572565</v>
      </c>
      <c r="S1115" s="25"/>
      <c r="T1115" s="25"/>
      <c r="U1115" s="27"/>
      <c r="X1115" s="47">
        <v>42549</v>
      </c>
      <c r="Y1115" s="48">
        <f t="shared" si="70"/>
        <v>-19.115740818393157</v>
      </c>
      <c r="Z1115" s="49"/>
      <c r="AA1115" s="49"/>
      <c r="AB1115" s="51"/>
      <c r="AE1115" s="47">
        <v>42549</v>
      </c>
      <c r="AF1115" s="48">
        <f t="shared" si="71"/>
        <v>-13.443509255265978</v>
      </c>
      <c r="AG1115" s="49"/>
      <c r="AH1115" s="49"/>
      <c r="AI1115" s="51"/>
    </row>
    <row r="1116" spans="1:35" x14ac:dyDescent="0.3">
      <c r="A1116" s="20">
        <v>42544</v>
      </c>
      <c r="C1116">
        <f>-(Historical_Simulation!B1117-Historical_Simulation!B1118)</f>
        <v>-0.13749999999999929</v>
      </c>
      <c r="E1116">
        <f>-(Historical_Simulation!C1117-Historical_Simulation!C1118)</f>
        <v>-11.480000000000018</v>
      </c>
      <c r="G1116">
        <f>-(Historical_Simulation!D1117-Historical_Simulation!D1118)</f>
        <v>-1.1700000000000017</v>
      </c>
      <c r="J1116" s="23">
        <v>42548</v>
      </c>
      <c r="K1116" s="24">
        <f t="shared" si="68"/>
        <v>4.2560900312701557</v>
      </c>
      <c r="L1116" s="25"/>
      <c r="M1116" s="25"/>
      <c r="N1116" s="27"/>
      <c r="Q1116" s="23">
        <v>42548</v>
      </c>
      <c r="R1116" s="24">
        <f t="shared" si="69"/>
        <v>3.0243442185786873</v>
      </c>
      <c r="S1116" s="25"/>
      <c r="T1116" s="25"/>
      <c r="U1116" s="27"/>
      <c r="X1116" s="47">
        <v>42548</v>
      </c>
      <c r="Y1116" s="48">
        <f t="shared" si="70"/>
        <v>15.860486781435741</v>
      </c>
      <c r="Z1116" s="49"/>
      <c r="AA1116" s="49"/>
      <c r="AB1116" s="51"/>
      <c r="AE1116" s="47">
        <v>42548</v>
      </c>
      <c r="AF1116" s="48">
        <f t="shared" si="71"/>
        <v>11.159789270631775</v>
      </c>
      <c r="AG1116" s="49"/>
      <c r="AH1116" s="49"/>
      <c r="AI1116" s="51"/>
    </row>
    <row r="1117" spans="1:35" x14ac:dyDescent="0.3">
      <c r="A1117" s="20">
        <v>42543</v>
      </c>
      <c r="C1117">
        <f>-(Historical_Simulation!B1118-Historical_Simulation!B1119)</f>
        <v>8.9999999999999858E-2</v>
      </c>
      <c r="E1117">
        <f>-(Historical_Simulation!C1118-Historical_Simulation!C1119)</f>
        <v>5.2200000000000273</v>
      </c>
      <c r="G1117">
        <f>-(Historical_Simulation!D1118-Historical_Simulation!D1119)</f>
        <v>0.46999999999999886</v>
      </c>
      <c r="J1117" s="23">
        <v>42545</v>
      </c>
      <c r="K1117" s="24">
        <f t="shared" si="68"/>
        <v>12.782196016592668</v>
      </c>
      <c r="L1117" s="25"/>
      <c r="M1117" s="25"/>
      <c r="N1117" s="27"/>
      <c r="Q1117" s="23">
        <v>42545</v>
      </c>
      <c r="R1117" s="24">
        <f t="shared" si="69"/>
        <v>8.9740639568616682</v>
      </c>
      <c r="S1117" s="25"/>
      <c r="T1117" s="25"/>
      <c r="U1117" s="27"/>
      <c r="X1117" s="47">
        <v>42545</v>
      </c>
      <c r="Y1117" s="48">
        <f t="shared" si="70"/>
        <v>13.702123381530015</v>
      </c>
      <c r="Z1117" s="49"/>
      <c r="AA1117" s="49"/>
      <c r="AB1117" s="51"/>
      <c r="AE1117" s="47">
        <v>42545</v>
      </c>
      <c r="AF1117" s="48">
        <f t="shared" si="71"/>
        <v>9.7565920773353447</v>
      </c>
      <c r="AG1117" s="49"/>
      <c r="AH1117" s="49"/>
      <c r="AI1117" s="51"/>
    </row>
    <row r="1118" spans="1:35" x14ac:dyDescent="0.3">
      <c r="A1118" s="20">
        <v>42542</v>
      </c>
      <c r="C1118">
        <f>-(Historical_Simulation!B1119-Historical_Simulation!B1120)</f>
        <v>-0.20250000000000057</v>
      </c>
      <c r="E1118">
        <f>-(Historical_Simulation!C1119-Historical_Simulation!C1120)</f>
        <v>-1.810100000000034</v>
      </c>
      <c r="G1118">
        <f>-(Historical_Simulation!D1119-Historical_Simulation!D1120)</f>
        <v>-1.0099999999999909</v>
      </c>
      <c r="J1118" s="23">
        <v>42544</v>
      </c>
      <c r="K1118" s="24">
        <f t="shared" si="68"/>
        <v>-6.2558006900482823</v>
      </c>
      <c r="L1118" s="25"/>
      <c r="M1118" s="25"/>
      <c r="N1118" s="27"/>
      <c r="Q1118" s="23">
        <v>42544</v>
      </c>
      <c r="R1118" s="24">
        <f t="shared" si="69"/>
        <v>-4.3313834280401391</v>
      </c>
      <c r="S1118" s="25"/>
      <c r="T1118" s="25"/>
      <c r="U1118" s="27"/>
      <c r="X1118" s="47">
        <v>42544</v>
      </c>
      <c r="Y1118" s="48">
        <f t="shared" si="70"/>
        <v>-5.9226633941633366</v>
      </c>
      <c r="Z1118" s="49"/>
      <c r="AA1118" s="49"/>
      <c r="AB1118" s="51"/>
      <c r="AE1118" s="47">
        <v>42544</v>
      </c>
      <c r="AF1118" s="48">
        <f t="shared" si="71"/>
        <v>-4.1705080945586044</v>
      </c>
      <c r="AG1118" s="49"/>
      <c r="AH1118" s="49"/>
      <c r="AI1118" s="51"/>
    </row>
    <row r="1119" spans="1:35" x14ac:dyDescent="0.3">
      <c r="A1119" s="20">
        <v>42541</v>
      </c>
      <c r="C1119">
        <f>-(Historical_Simulation!B1120-Historical_Simulation!B1121)</f>
        <v>5.7500000000000995E-2</v>
      </c>
      <c r="E1119">
        <f>-(Historical_Simulation!C1120-Historical_Simulation!C1121)</f>
        <v>-7.6200999999999794</v>
      </c>
      <c r="G1119">
        <f>-(Historical_Simulation!D1120-Historical_Simulation!D1121)</f>
        <v>-0.35000000000000853</v>
      </c>
      <c r="J1119" s="23">
        <v>42543</v>
      </c>
      <c r="K1119" s="24">
        <f t="shared" si="68"/>
        <v>2.8571926418292093</v>
      </c>
      <c r="L1119" s="25"/>
      <c r="M1119" s="25"/>
      <c r="N1119" s="27"/>
      <c r="Q1119" s="23">
        <v>42543</v>
      </c>
      <c r="R1119" s="24">
        <f t="shared" si="69"/>
        <v>1.9868148103016086</v>
      </c>
      <c r="S1119" s="25"/>
      <c r="T1119" s="25"/>
      <c r="U1119" s="27"/>
      <c r="X1119" s="47">
        <v>42543</v>
      </c>
      <c r="Y1119" s="48">
        <f t="shared" si="70"/>
        <v>2.2191642516048979</v>
      </c>
      <c r="Z1119" s="49"/>
      <c r="AA1119" s="49"/>
      <c r="AB1119" s="51"/>
      <c r="AE1119" s="47">
        <v>42543</v>
      </c>
      <c r="AF1119" s="48">
        <f t="shared" si="71"/>
        <v>1.5743032212419004</v>
      </c>
      <c r="AG1119" s="49"/>
      <c r="AH1119" s="49"/>
      <c r="AI1119" s="51"/>
    </row>
    <row r="1120" spans="1:35" x14ac:dyDescent="0.3">
      <c r="A1120" s="20">
        <v>42538</v>
      </c>
      <c r="C1120">
        <f>-(Historical_Simulation!B1121-Historical_Simulation!B1122)</f>
        <v>0.55499999999999972</v>
      </c>
      <c r="E1120">
        <f>-(Historical_Simulation!C1121-Historical_Simulation!C1122)</f>
        <v>11.120099999999979</v>
      </c>
      <c r="G1120">
        <f>-(Historical_Simulation!D1121-Historical_Simulation!D1122)</f>
        <v>1.3700000000000045</v>
      </c>
      <c r="J1120" s="23">
        <v>42542</v>
      </c>
      <c r="K1120" s="24">
        <f t="shared" si="68"/>
        <v>-1.0696615771939002</v>
      </c>
      <c r="L1120" s="25"/>
      <c r="M1120" s="25"/>
      <c r="N1120" s="27"/>
      <c r="Q1120" s="23">
        <v>42542</v>
      </c>
      <c r="R1120" s="24">
        <f t="shared" si="69"/>
        <v>-0.79690925712298566</v>
      </c>
      <c r="S1120" s="25"/>
      <c r="T1120" s="25"/>
      <c r="U1120" s="27"/>
      <c r="X1120" s="47">
        <v>42542</v>
      </c>
      <c r="Y1120" s="48">
        <f t="shared" si="70"/>
        <v>-4.7269740346603673</v>
      </c>
      <c r="Z1120" s="49"/>
      <c r="AA1120" s="49"/>
      <c r="AB1120" s="51"/>
      <c r="AE1120" s="47">
        <v>42542</v>
      </c>
      <c r="AF1120" s="48">
        <f t="shared" si="71"/>
        <v>-3.3566443451390096</v>
      </c>
      <c r="AG1120" s="49"/>
      <c r="AH1120" s="49"/>
      <c r="AI1120" s="51"/>
    </row>
    <row r="1121" spans="1:35" x14ac:dyDescent="0.3">
      <c r="A1121" s="20">
        <v>42537</v>
      </c>
      <c r="C1121">
        <f>-(Historical_Simulation!B1122-Historical_Simulation!B1123)</f>
        <v>-0.10249999999999915</v>
      </c>
      <c r="E1121">
        <f>-(Historical_Simulation!C1122-Historical_Simulation!C1123)</f>
        <v>-3.25</v>
      </c>
      <c r="G1121">
        <f>-(Historical_Simulation!D1122-Historical_Simulation!D1123)</f>
        <v>0.20999999999999375</v>
      </c>
      <c r="J1121" s="23">
        <v>42541</v>
      </c>
      <c r="K1121" s="24">
        <f t="shared" si="68"/>
        <v>-4.0839031631399152</v>
      </c>
      <c r="L1121" s="25"/>
      <c r="M1121" s="25"/>
      <c r="N1121" s="27"/>
      <c r="Q1121" s="23">
        <v>42541</v>
      </c>
      <c r="R1121" s="24">
        <f t="shared" si="69"/>
        <v>-2.7812885745753433</v>
      </c>
      <c r="S1121" s="25"/>
      <c r="T1121" s="25"/>
      <c r="U1121" s="27"/>
      <c r="X1121" s="47">
        <v>42541</v>
      </c>
      <c r="Y1121" s="48">
        <f t="shared" si="70"/>
        <v>-2.2257485066553109</v>
      </c>
      <c r="Z1121" s="49"/>
      <c r="AA1121" s="49"/>
      <c r="AB1121" s="51"/>
      <c r="AE1121" s="47">
        <v>42541</v>
      </c>
      <c r="AF1121" s="48">
        <f t="shared" si="71"/>
        <v>-1.5342199017265521</v>
      </c>
      <c r="AG1121" s="49"/>
      <c r="AH1121" s="49"/>
      <c r="AI1121" s="51"/>
    </row>
    <row r="1122" spans="1:35" x14ac:dyDescent="0.3">
      <c r="A1122" s="20">
        <v>42536</v>
      </c>
      <c r="C1122">
        <f>-(Historical_Simulation!B1123-Historical_Simulation!B1124)</f>
        <v>7.9999999999998295E-2</v>
      </c>
      <c r="E1122">
        <f>-(Historical_Simulation!C1123-Historical_Simulation!C1124)</f>
        <v>5.0399999999999636</v>
      </c>
      <c r="G1122">
        <f>-(Historical_Simulation!D1123-Historical_Simulation!D1124)</f>
        <v>0.34000000000000341</v>
      </c>
      <c r="J1122" s="23">
        <v>42538</v>
      </c>
      <c r="K1122" s="24">
        <f t="shared" si="68"/>
        <v>6.253960424988219</v>
      </c>
      <c r="L1122" s="25"/>
      <c r="M1122" s="25"/>
      <c r="N1122" s="27"/>
      <c r="Q1122" s="23">
        <v>42538</v>
      </c>
      <c r="R1122" s="24">
        <f t="shared" si="69"/>
        <v>4.4614401856369161</v>
      </c>
      <c r="S1122" s="25"/>
      <c r="T1122" s="25"/>
      <c r="U1122" s="27"/>
      <c r="X1122" s="47">
        <v>42538</v>
      </c>
      <c r="Y1122" s="48">
        <f t="shared" si="70"/>
        <v>5.1214970133105435</v>
      </c>
      <c r="Z1122" s="49"/>
      <c r="AA1122" s="49"/>
      <c r="AB1122" s="51"/>
      <c r="AE1122" s="47">
        <v>42538</v>
      </c>
      <c r="AF1122" s="48">
        <f t="shared" si="71"/>
        <v>3.7384398034530504</v>
      </c>
      <c r="AG1122" s="49"/>
      <c r="AH1122" s="49"/>
      <c r="AI1122" s="51"/>
    </row>
    <row r="1123" spans="1:35" x14ac:dyDescent="0.3">
      <c r="A1123" s="20">
        <v>42535</v>
      </c>
      <c r="C1123">
        <f>-(Historical_Simulation!B1124-Historical_Simulation!B1125)</f>
        <v>-2.9999999999997584E-2</v>
      </c>
      <c r="E1123">
        <f>-(Historical_Simulation!C1124-Historical_Simulation!C1125)</f>
        <v>-4.0599999999999454</v>
      </c>
      <c r="G1123">
        <f>-(Historical_Simulation!D1124-Historical_Simulation!D1125)</f>
        <v>-0.98999999999999488</v>
      </c>
      <c r="J1123" s="23">
        <v>42537</v>
      </c>
      <c r="K1123" s="24">
        <f t="shared" si="68"/>
        <v>-1.8003048421359429</v>
      </c>
      <c r="L1123" s="25"/>
      <c r="M1123" s="25"/>
      <c r="N1123" s="27"/>
      <c r="Q1123" s="23">
        <v>42537</v>
      </c>
      <c r="R1123" s="24">
        <f t="shared" si="69"/>
        <v>-1.266286474741575</v>
      </c>
      <c r="S1123" s="25"/>
      <c r="T1123" s="25"/>
      <c r="U1123" s="27"/>
      <c r="X1123" s="47">
        <v>42537</v>
      </c>
      <c r="Y1123" s="48">
        <f t="shared" si="70"/>
        <v>1.6484574437539936</v>
      </c>
      <c r="Z1123" s="49"/>
      <c r="AA1123" s="49"/>
      <c r="AB1123" s="51"/>
      <c r="AE1123" s="47">
        <v>42537</v>
      </c>
      <c r="AF1123" s="48">
        <f t="shared" si="71"/>
        <v>1.118144096416013</v>
      </c>
      <c r="AG1123" s="49"/>
      <c r="AH1123" s="49"/>
      <c r="AI1123" s="51"/>
    </row>
    <row r="1124" spans="1:35" x14ac:dyDescent="0.3">
      <c r="A1124" s="20">
        <v>42534</v>
      </c>
      <c r="C1124">
        <f>-(Historical_Simulation!B1125-Historical_Simulation!B1126)</f>
        <v>0.37249999999999872</v>
      </c>
      <c r="E1124">
        <f>-(Historical_Simulation!C1125-Historical_Simulation!C1126)</f>
        <v>2.6698999999999842</v>
      </c>
      <c r="G1124">
        <f>-(Historical_Simulation!D1125-Historical_Simulation!D1126)</f>
        <v>2.6700000000000017</v>
      </c>
      <c r="J1124" s="23">
        <v>42536</v>
      </c>
      <c r="K1124" s="24">
        <f t="shared" si="68"/>
        <v>2.7554923008718712</v>
      </c>
      <c r="L1124" s="25"/>
      <c r="M1124" s="25"/>
      <c r="N1124" s="27"/>
      <c r="Q1124" s="23">
        <v>42536</v>
      </c>
      <c r="R1124" s="24">
        <f t="shared" si="69"/>
        <v>1.9139573994338899</v>
      </c>
      <c r="S1124" s="25"/>
      <c r="T1124" s="25"/>
      <c r="U1124" s="27"/>
      <c r="X1124" s="47">
        <v>42536</v>
      </c>
      <c r="Y1124" s="48">
        <f t="shared" si="70"/>
        <v>1.536796593203382</v>
      </c>
      <c r="Z1124" s="49"/>
      <c r="AA1124" s="49"/>
      <c r="AB1124" s="51"/>
      <c r="AE1124" s="47">
        <v>42536</v>
      </c>
      <c r="AF1124" s="48">
        <f t="shared" si="71"/>
        <v>1.0955758882181632</v>
      </c>
      <c r="AG1124" s="49"/>
      <c r="AH1124" s="49"/>
      <c r="AI1124" s="51"/>
    </row>
    <row r="1125" spans="1:35" x14ac:dyDescent="0.3">
      <c r="A1125" s="20">
        <v>42531</v>
      </c>
      <c r="C1125">
        <f>-(Historical_Simulation!B1126-Historical_Simulation!B1127)</f>
        <v>0.20500000000000185</v>
      </c>
      <c r="E1125">
        <f>-(Historical_Simulation!C1126-Historical_Simulation!C1127)</f>
        <v>9.7400000000000091</v>
      </c>
      <c r="G1125">
        <f>-(Historical_Simulation!D1126-Historical_Simulation!D1127)</f>
        <v>1.9399999999999977</v>
      </c>
      <c r="J1125" s="23">
        <v>42535</v>
      </c>
      <c r="K1125" s="24">
        <f t="shared" si="68"/>
        <v>-2.2038374944583814</v>
      </c>
      <c r="L1125" s="25"/>
      <c r="M1125" s="25"/>
      <c r="N1125" s="27"/>
      <c r="Q1125" s="23">
        <v>42535</v>
      </c>
      <c r="R1125" s="24">
        <f t="shared" si="69"/>
        <v>-1.5200903870400255</v>
      </c>
      <c r="S1125" s="25"/>
      <c r="T1125" s="25"/>
      <c r="U1125" s="27"/>
      <c r="X1125" s="47">
        <v>42535</v>
      </c>
      <c r="Y1125" s="48">
        <f t="shared" si="70"/>
        <v>-5.4089412672123709</v>
      </c>
      <c r="Z1125" s="49"/>
      <c r="AA1125" s="49"/>
      <c r="AB1125" s="51"/>
      <c r="AE1125" s="47">
        <v>42535</v>
      </c>
      <c r="AF1125" s="48">
        <f t="shared" si="71"/>
        <v>-3.7798186641900613</v>
      </c>
      <c r="AG1125" s="49"/>
      <c r="AH1125" s="49"/>
      <c r="AI1125" s="51"/>
    </row>
    <row r="1126" spans="1:35" x14ac:dyDescent="0.3">
      <c r="A1126" s="20">
        <v>42530</v>
      </c>
      <c r="C1126">
        <f>-(Historical_Simulation!B1127-Historical_Simulation!B1128)</f>
        <v>-0.17750000000000199</v>
      </c>
      <c r="E1126">
        <f>-(Historical_Simulation!C1127-Historical_Simulation!C1128)</f>
        <v>-1.0099999999999909</v>
      </c>
      <c r="G1126">
        <f>-(Historical_Simulation!D1127-Historical_Simulation!D1128)</f>
        <v>-0.17000000000000171</v>
      </c>
      <c r="J1126" s="23">
        <v>42534</v>
      </c>
      <c r="K1126" s="24">
        <f t="shared" si="68"/>
        <v>1.6117491959723869</v>
      </c>
      <c r="L1126" s="25"/>
      <c r="M1126" s="25"/>
      <c r="N1126" s="27"/>
      <c r="Q1126" s="23">
        <v>42534</v>
      </c>
      <c r="R1126" s="24">
        <f t="shared" si="69"/>
        <v>1.221962445455528</v>
      </c>
      <c r="S1126" s="25"/>
      <c r="T1126" s="25"/>
      <c r="U1126" s="27"/>
      <c r="X1126" s="47">
        <v>42534</v>
      </c>
      <c r="Y1126" s="48">
        <f t="shared" si="70"/>
        <v>13.245539126479663</v>
      </c>
      <c r="Z1126" s="49"/>
      <c r="AA1126" s="49"/>
      <c r="AB1126" s="51"/>
      <c r="AE1126" s="47">
        <v>42534</v>
      </c>
      <c r="AF1126" s="48">
        <f t="shared" si="71"/>
        <v>9.3466753968507348</v>
      </c>
      <c r="AG1126" s="49"/>
      <c r="AH1126" s="49"/>
      <c r="AI1126" s="51"/>
    </row>
    <row r="1127" spans="1:35" x14ac:dyDescent="0.3">
      <c r="A1127" s="20">
        <v>42529</v>
      </c>
      <c r="C1127">
        <f>-(Historical_Simulation!B1128-Historical_Simulation!B1129)</f>
        <v>2.2500000000000853E-2</v>
      </c>
      <c r="E1127">
        <f>-(Historical_Simulation!C1128-Historical_Simulation!C1129)</f>
        <v>-2.8999000000000024</v>
      </c>
      <c r="G1127">
        <f>-(Historical_Simulation!D1128-Historical_Simulation!D1129)</f>
        <v>-0.62999999999999545</v>
      </c>
      <c r="J1127" s="23">
        <v>42531</v>
      </c>
      <c r="K1127" s="24">
        <f t="shared" si="68"/>
        <v>5.3483103001640151</v>
      </c>
      <c r="L1127" s="25"/>
      <c r="M1127" s="25"/>
      <c r="N1127" s="27"/>
      <c r="Q1127" s="23">
        <v>42531</v>
      </c>
      <c r="R1127" s="24">
        <f t="shared" si="69"/>
        <v>3.7305612507262702</v>
      </c>
      <c r="S1127" s="25"/>
      <c r="T1127" s="25"/>
      <c r="U1127" s="27"/>
      <c r="X1127" s="47">
        <v>42531</v>
      </c>
      <c r="Y1127" s="48">
        <f t="shared" si="70"/>
        <v>9.9263157277223684</v>
      </c>
      <c r="Z1127" s="49"/>
      <c r="AA1127" s="49"/>
      <c r="AB1127" s="51"/>
      <c r="AE1127" s="47">
        <v>42531</v>
      </c>
      <c r="AF1127" s="48">
        <f t="shared" si="71"/>
        <v>6.9820160233018385</v>
      </c>
      <c r="AG1127" s="49"/>
      <c r="AH1127" s="49"/>
      <c r="AI1127" s="51"/>
    </row>
    <row r="1128" spans="1:35" x14ac:dyDescent="0.3">
      <c r="A1128" s="20">
        <v>42528</v>
      </c>
      <c r="C1128">
        <f>-(Historical_Simulation!B1129-Historical_Simulation!B1130)</f>
        <v>-0.10000000000000142</v>
      </c>
      <c r="E1128">
        <f>-(Historical_Simulation!C1129-Historical_Simulation!C1130)</f>
        <v>2.9900000000000091</v>
      </c>
      <c r="G1128">
        <f>-(Historical_Simulation!D1129-Historical_Simulation!D1130)</f>
        <v>1.0300000000000011</v>
      </c>
      <c r="J1128" s="23">
        <v>42530</v>
      </c>
      <c r="K1128" s="24">
        <f t="shared" si="68"/>
        <v>-0.62656196380561091</v>
      </c>
      <c r="L1128" s="25"/>
      <c r="M1128" s="25"/>
      <c r="N1128" s="27"/>
      <c r="Q1128" s="23">
        <v>42530</v>
      </c>
      <c r="R1128" s="24">
        <f t="shared" si="69"/>
        <v>-0.48531643851385381</v>
      </c>
      <c r="S1128" s="25"/>
      <c r="T1128" s="25"/>
      <c r="U1128" s="27"/>
      <c r="X1128" s="47">
        <v>42530</v>
      </c>
      <c r="Y1128" s="48">
        <f t="shared" si="70"/>
        <v>-0.13547702134990358</v>
      </c>
      <c r="Z1128" s="49"/>
      <c r="AA1128" s="49"/>
      <c r="AB1128" s="51"/>
      <c r="AE1128" s="47">
        <v>42530</v>
      </c>
      <c r="AF1128" s="48">
        <f t="shared" si="71"/>
        <v>-0.14820454168601582</v>
      </c>
      <c r="AG1128" s="49"/>
      <c r="AH1128" s="49"/>
      <c r="AI1128" s="51"/>
    </row>
    <row r="1129" spans="1:35" x14ac:dyDescent="0.3">
      <c r="A1129" s="20">
        <v>42527</v>
      </c>
      <c r="C1129">
        <f>-(Historical_Simulation!B1130-Historical_Simulation!B1131)</f>
        <v>-0.17749999999999844</v>
      </c>
      <c r="E1129">
        <f>-(Historical_Simulation!C1130-Historical_Simulation!C1131)</f>
        <v>-1.1900000000000546</v>
      </c>
      <c r="G1129">
        <f>-(Historical_Simulation!D1130-Historical_Simulation!D1131)</f>
        <v>-0.32000000000000739</v>
      </c>
      <c r="J1129" s="23">
        <v>42529</v>
      </c>
      <c r="K1129" s="24">
        <f t="shared" si="68"/>
        <v>-1.5538828024330686</v>
      </c>
      <c r="L1129" s="25"/>
      <c r="M1129" s="25"/>
      <c r="N1129" s="27"/>
      <c r="Q1129" s="23">
        <v>42529</v>
      </c>
      <c r="R1129" s="24">
        <f t="shared" si="69"/>
        <v>-1.0580558677632348</v>
      </c>
      <c r="S1129" s="25"/>
      <c r="T1129" s="25"/>
      <c r="U1129" s="27"/>
      <c r="X1129" s="47">
        <v>42529</v>
      </c>
      <c r="Y1129" s="48">
        <f t="shared" si="70"/>
        <v>-3.6334991425583985</v>
      </c>
      <c r="Z1129" s="49"/>
      <c r="AA1129" s="49"/>
      <c r="AB1129" s="51"/>
      <c r="AE1129" s="47">
        <v>42529</v>
      </c>
      <c r="AF1129" s="48">
        <f t="shared" si="71"/>
        <v>-2.5262048733166758</v>
      </c>
      <c r="AG1129" s="49"/>
      <c r="AH1129" s="49"/>
      <c r="AI1129" s="51"/>
    </row>
    <row r="1130" spans="1:35" x14ac:dyDescent="0.3">
      <c r="A1130" s="20">
        <v>42524</v>
      </c>
      <c r="C1130">
        <f>-(Historical_Simulation!B1131-Historical_Simulation!B1132)</f>
        <v>-5.0000000000000711E-2</v>
      </c>
      <c r="E1130">
        <f>-(Historical_Simulation!C1131-Historical_Simulation!C1132)</f>
        <v>2.7000000000000455</v>
      </c>
      <c r="G1130">
        <f>-(Historical_Simulation!D1131-Historical_Simulation!D1132)</f>
        <v>0.46000000000000796</v>
      </c>
      <c r="J1130" s="23">
        <v>42528</v>
      </c>
      <c r="K1130" s="24">
        <f t="shared" si="68"/>
        <v>1.5667885503415657</v>
      </c>
      <c r="L1130" s="25"/>
      <c r="M1130" s="25"/>
      <c r="N1130" s="27"/>
      <c r="Q1130" s="23">
        <v>42528</v>
      </c>
      <c r="R1130" s="24">
        <f t="shared" si="69"/>
        <v>1.0425258798892694</v>
      </c>
      <c r="S1130" s="25"/>
      <c r="T1130" s="25"/>
      <c r="U1130" s="27"/>
      <c r="X1130" s="47">
        <v>42528</v>
      </c>
      <c r="Y1130" s="48">
        <f t="shared" si="70"/>
        <v>6.2314621166145949</v>
      </c>
      <c r="Z1130" s="49"/>
      <c r="AA1130" s="49"/>
      <c r="AB1130" s="51"/>
      <c r="AE1130" s="47">
        <v>42528</v>
      </c>
      <c r="AF1130" s="48">
        <f t="shared" si="71"/>
        <v>4.3138490526404087</v>
      </c>
      <c r="AG1130" s="49"/>
      <c r="AH1130" s="49"/>
      <c r="AI1130" s="51"/>
    </row>
    <row r="1131" spans="1:35" x14ac:dyDescent="0.3">
      <c r="A1131" s="20">
        <v>42523</v>
      </c>
      <c r="C1131">
        <f>-(Historical_Simulation!B1132-Historical_Simulation!B1133)</f>
        <v>0.18499999999999872</v>
      </c>
      <c r="E1131">
        <f>-(Historical_Simulation!C1132-Historical_Simulation!C1133)</f>
        <v>-8.8001000000000431</v>
      </c>
      <c r="G1131">
        <f>-(Historical_Simulation!D1132-Historical_Simulation!D1133)</f>
        <v>-0.15000000000000568</v>
      </c>
      <c r="J1131" s="23">
        <v>42527</v>
      </c>
      <c r="K1131" s="24">
        <f t="shared" si="68"/>
        <v>-0.72365644246631711</v>
      </c>
      <c r="L1131" s="25"/>
      <c r="M1131" s="25"/>
      <c r="N1131" s="27"/>
      <c r="Q1131" s="23">
        <v>42527</v>
      </c>
      <c r="R1131" s="24">
        <f t="shared" si="69"/>
        <v>-0.55187134413849259</v>
      </c>
      <c r="S1131" s="25"/>
      <c r="T1131" s="25"/>
      <c r="U1131" s="27"/>
      <c r="X1131" s="47">
        <v>42527</v>
      </c>
      <c r="Y1131" s="48">
        <f t="shared" si="70"/>
        <v>-0.9759365943518874</v>
      </c>
      <c r="Z1131" s="49"/>
      <c r="AA1131" s="49"/>
      <c r="AB1131" s="51"/>
      <c r="AE1131" s="47">
        <v>42527</v>
      </c>
      <c r="AF1131" s="48">
        <f t="shared" si="71"/>
        <v>-0.73411370796574749</v>
      </c>
      <c r="AG1131" s="49"/>
      <c r="AH1131" s="49"/>
      <c r="AI1131" s="51"/>
    </row>
    <row r="1132" spans="1:35" x14ac:dyDescent="0.3">
      <c r="A1132" s="20">
        <v>42522</v>
      </c>
      <c r="C1132">
        <f>-(Historical_Simulation!B1133-Historical_Simulation!B1134)</f>
        <v>0.35000000000000142</v>
      </c>
      <c r="E1132">
        <f>-(Historical_Simulation!C1133-Historical_Simulation!C1134)</f>
        <v>3.3500999999999976</v>
      </c>
      <c r="G1132">
        <f>-(Historical_Simulation!D1133-Historical_Simulation!D1134)</f>
        <v>3.0000000000001137E-2</v>
      </c>
      <c r="J1132" s="23">
        <v>42524</v>
      </c>
      <c r="K1132" s="24">
        <f t="shared" si="68"/>
        <v>1.4333878684269803</v>
      </c>
      <c r="L1132" s="25"/>
      <c r="M1132" s="25"/>
      <c r="N1132" s="27"/>
      <c r="Q1132" s="23">
        <v>42524</v>
      </c>
      <c r="R1132" s="24">
        <f t="shared" si="69"/>
        <v>0.96681105815389479</v>
      </c>
      <c r="S1132" s="25"/>
      <c r="T1132" s="25"/>
      <c r="U1132" s="27"/>
      <c r="X1132" s="47">
        <v>42524</v>
      </c>
      <c r="Y1132" s="48">
        <f t="shared" si="70"/>
        <v>2.8075625482066293</v>
      </c>
      <c r="Z1132" s="49"/>
      <c r="AA1132" s="49"/>
      <c r="AB1132" s="51"/>
      <c r="AE1132" s="47">
        <v>42524</v>
      </c>
      <c r="AF1132" s="48">
        <f t="shared" si="71"/>
        <v>1.94209116535101</v>
      </c>
      <c r="AG1132" s="49"/>
      <c r="AH1132" s="49"/>
      <c r="AI1132" s="51"/>
    </row>
    <row r="1133" spans="1:35" x14ac:dyDescent="0.3">
      <c r="A1133" s="20">
        <v>42521</v>
      </c>
      <c r="C1133">
        <f>-(Historical_Simulation!B1134-Historical_Simulation!B1135)</f>
        <v>0.12249999999999872</v>
      </c>
      <c r="E1133">
        <f>-(Historical_Simulation!C1134-Historical_Simulation!C1135)</f>
        <v>-10.549999999999955</v>
      </c>
      <c r="G1133">
        <f>-(Historical_Simulation!D1134-Historical_Simulation!D1135)</f>
        <v>0.56999999999999318</v>
      </c>
      <c r="J1133" s="23">
        <v>42523</v>
      </c>
      <c r="K1133" s="24">
        <f t="shared" si="68"/>
        <v>-4.6616866678556752</v>
      </c>
      <c r="L1133" s="25"/>
      <c r="M1133" s="25"/>
      <c r="N1133" s="27"/>
      <c r="Q1133" s="23">
        <v>42523</v>
      </c>
      <c r="R1133" s="24">
        <f t="shared" si="69"/>
        <v>-3.1372360140430762</v>
      </c>
      <c r="S1133" s="25"/>
      <c r="T1133" s="25"/>
      <c r="U1133" s="27"/>
      <c r="X1133" s="47">
        <v>42523</v>
      </c>
      <c r="Y1133" s="48">
        <f t="shared" si="70"/>
        <v>-1.6920263797043489</v>
      </c>
      <c r="Z1133" s="49"/>
      <c r="AA1133" s="49"/>
      <c r="AB1133" s="51"/>
      <c r="AE1133" s="47">
        <v>42523</v>
      </c>
      <c r="AF1133" s="48">
        <f t="shared" si="71"/>
        <v>-1.1235304713580132</v>
      </c>
      <c r="AG1133" s="49"/>
      <c r="AH1133" s="49"/>
      <c r="AI1133" s="51"/>
    </row>
    <row r="1134" spans="1:35" x14ac:dyDescent="0.3">
      <c r="A1134" s="20">
        <v>42520</v>
      </c>
      <c r="C1134">
        <f>-(Historical_Simulation!B1135-Historical_Simulation!B1136)</f>
        <v>0</v>
      </c>
      <c r="E1134">
        <f>-(Historical_Simulation!C1135-Historical_Simulation!C1136)</f>
        <v>0</v>
      </c>
      <c r="G1134">
        <f>-(Historical_Simulation!D1135-Historical_Simulation!D1136)</f>
        <v>0</v>
      </c>
      <c r="J1134" s="23">
        <v>42522</v>
      </c>
      <c r="K1134" s="24">
        <f t="shared" si="68"/>
        <v>1.968295252388258</v>
      </c>
      <c r="L1134" s="25"/>
      <c r="M1134" s="25"/>
      <c r="N1134" s="27"/>
      <c r="Q1134" s="23">
        <v>42522</v>
      </c>
      <c r="R1134" s="24">
        <f t="shared" si="69"/>
        <v>1.4592854020245274</v>
      </c>
      <c r="S1134" s="25"/>
      <c r="T1134" s="25"/>
      <c r="U1134" s="27"/>
      <c r="X1134" s="47">
        <v>42522</v>
      </c>
      <c r="Y1134" s="48">
        <f t="shared" si="70"/>
        <v>-1.4429804224041296</v>
      </c>
      <c r="Z1134" s="49"/>
      <c r="AA1134" s="49"/>
      <c r="AB1134" s="51"/>
      <c r="AE1134" s="47">
        <v>42522</v>
      </c>
      <c r="AF1134" s="48">
        <f t="shared" si="71"/>
        <v>-0.8999395547300244</v>
      </c>
      <c r="AG1134" s="49"/>
      <c r="AH1134" s="49"/>
      <c r="AI1134" s="51"/>
    </row>
    <row r="1135" spans="1:35" x14ac:dyDescent="0.3">
      <c r="A1135" s="20">
        <v>42517</v>
      </c>
      <c r="C1135">
        <f>-(Historical_Simulation!B1136-Historical_Simulation!B1137)</f>
        <v>1.5000000000000568E-2</v>
      </c>
      <c r="E1135">
        <f>-(Historical_Simulation!C1136-Historical_Simulation!C1137)</f>
        <v>2.6698999999999842</v>
      </c>
      <c r="G1135">
        <f>-(Historical_Simulation!D1136-Historical_Simulation!D1137)</f>
        <v>9.0000000000003411E-2</v>
      </c>
      <c r="J1135" s="23">
        <v>42521</v>
      </c>
      <c r="K1135" s="24">
        <f t="shared" si="68"/>
        <v>-5.6343934639224091</v>
      </c>
      <c r="L1135" s="25"/>
      <c r="M1135" s="25"/>
      <c r="N1135" s="27"/>
      <c r="Q1135" s="23">
        <v>42521</v>
      </c>
      <c r="R1135" s="24">
        <f t="shared" si="69"/>
        <v>-3.8236512793262629</v>
      </c>
      <c r="S1135" s="25"/>
      <c r="T1135" s="25"/>
      <c r="U1135" s="27"/>
      <c r="X1135" s="47">
        <v>42521</v>
      </c>
      <c r="Y1135" s="48">
        <f t="shared" si="70"/>
        <v>2.6298710594557426</v>
      </c>
      <c r="Z1135" s="49"/>
      <c r="AA1135" s="49"/>
      <c r="AB1135" s="51"/>
      <c r="AE1135" s="47">
        <v>42521</v>
      </c>
      <c r="AF1135" s="48">
        <f t="shared" si="71"/>
        <v>1.8704623460677463</v>
      </c>
      <c r="AG1135" s="49"/>
      <c r="AH1135" s="49"/>
      <c r="AI1135" s="51"/>
    </row>
    <row r="1136" spans="1:35" x14ac:dyDescent="0.3">
      <c r="A1136" s="20">
        <v>42516</v>
      </c>
      <c r="C1136">
        <f>-(Historical_Simulation!B1137-Historical_Simulation!B1138)</f>
        <v>-0.19749999999999801</v>
      </c>
      <c r="E1136">
        <f>-(Historical_Simulation!C1137-Historical_Simulation!C1138)</f>
        <v>-6.5597999999999956</v>
      </c>
      <c r="G1136">
        <f>-(Historical_Simulation!D1137-Historical_Simulation!D1138)</f>
        <v>-1.5799999999999983</v>
      </c>
      <c r="J1136" s="23">
        <v>42520</v>
      </c>
      <c r="K1136" s="24">
        <f t="shared" si="68"/>
        <v>0</v>
      </c>
      <c r="L1136" s="25"/>
      <c r="M1136" s="25"/>
      <c r="N1136" s="27"/>
      <c r="Q1136" s="23">
        <v>42520</v>
      </c>
      <c r="R1136" s="24">
        <f t="shared" si="69"/>
        <v>0</v>
      </c>
      <c r="S1136" s="25"/>
      <c r="T1136" s="25"/>
      <c r="U1136" s="27"/>
      <c r="X1136" s="47">
        <v>42520</v>
      </c>
      <c r="Y1136" s="48">
        <f t="shared" si="70"/>
        <v>0</v>
      </c>
      <c r="Z1136" s="49"/>
      <c r="AA1136" s="49"/>
      <c r="AB1136" s="51"/>
      <c r="AE1136" s="47">
        <v>42520</v>
      </c>
      <c r="AF1136" s="48">
        <f t="shared" si="71"/>
        <v>0</v>
      </c>
      <c r="AG1136" s="49"/>
      <c r="AH1136" s="49"/>
      <c r="AI1136" s="51"/>
    </row>
    <row r="1137" spans="1:35" x14ac:dyDescent="0.3">
      <c r="A1137" s="20">
        <v>42515</v>
      </c>
      <c r="C1137">
        <f>-(Historical_Simulation!B1138-Historical_Simulation!B1139)</f>
        <v>-0.42999999999999972</v>
      </c>
      <c r="E1137">
        <f>-(Historical_Simulation!C1138-Historical_Simulation!C1139)</f>
        <v>-4.1500999999999522</v>
      </c>
      <c r="G1137">
        <f>-(Historical_Simulation!D1138-Historical_Simulation!D1139)</f>
        <v>-0.18999999999999773</v>
      </c>
      <c r="J1137" s="23">
        <v>42517</v>
      </c>
      <c r="K1137" s="24">
        <f t="shared" si="68"/>
        <v>1.4470896188678919</v>
      </c>
      <c r="L1137" s="25"/>
      <c r="M1137" s="25"/>
      <c r="N1137" s="27"/>
      <c r="Q1137" s="23">
        <v>42517</v>
      </c>
      <c r="R1137" s="24">
        <f t="shared" si="69"/>
        <v>0.99664788301553331</v>
      </c>
      <c r="S1137" s="25"/>
      <c r="T1137" s="25"/>
      <c r="U1137" s="27"/>
      <c r="X1137" s="47">
        <v>42517</v>
      </c>
      <c r="Y1137" s="48">
        <f t="shared" si="70"/>
        <v>0.43522978650098426</v>
      </c>
      <c r="Z1137" s="49"/>
      <c r="AA1137" s="49"/>
      <c r="AB1137" s="51"/>
      <c r="AE1137" s="47">
        <v>42517</v>
      </c>
      <c r="AF1137" s="48">
        <f t="shared" si="71"/>
        <v>0.30795458313986124</v>
      </c>
      <c r="AG1137" s="49"/>
      <c r="AH1137" s="49"/>
      <c r="AI1137" s="51"/>
    </row>
    <row r="1138" spans="1:35" x14ac:dyDescent="0.3">
      <c r="A1138" s="20">
        <v>42514</v>
      </c>
      <c r="C1138">
        <f>-(Historical_Simulation!B1139-Historical_Simulation!B1140)</f>
        <v>-0.36749999999999972</v>
      </c>
      <c r="E1138">
        <f>-(Historical_Simulation!C1139-Historical_Simulation!C1140)</f>
        <v>-7.4500000000000455</v>
      </c>
      <c r="G1138">
        <f>-(Historical_Simulation!D1139-Historical_Simulation!D1140)</f>
        <v>-1.730000000000004</v>
      </c>
      <c r="J1138" s="23">
        <v>42516</v>
      </c>
      <c r="K1138" s="24">
        <f t="shared" si="68"/>
        <v>-3.6294122310155688</v>
      </c>
      <c r="L1138" s="25"/>
      <c r="M1138" s="25"/>
      <c r="N1138" s="27"/>
      <c r="Q1138" s="23">
        <v>42516</v>
      </c>
      <c r="R1138" s="24">
        <f t="shared" si="69"/>
        <v>-2.5499570891972407</v>
      </c>
      <c r="S1138" s="25"/>
      <c r="T1138" s="25"/>
      <c r="U1138" s="27"/>
      <c r="X1138" s="47">
        <v>42516</v>
      </c>
      <c r="Y1138" s="48">
        <f t="shared" si="70"/>
        <v>-7.9437357311678394</v>
      </c>
      <c r="Z1138" s="49"/>
      <c r="AA1138" s="49"/>
      <c r="AB1138" s="51"/>
      <c r="AE1138" s="47">
        <v>42516</v>
      </c>
      <c r="AF1138" s="48">
        <f t="shared" si="71"/>
        <v>-5.5976294825445594</v>
      </c>
      <c r="AG1138" s="49"/>
      <c r="AH1138" s="49"/>
      <c r="AI1138" s="51"/>
    </row>
    <row r="1139" spans="1:35" x14ac:dyDescent="0.3">
      <c r="A1139" s="20">
        <v>42513</v>
      </c>
      <c r="C1139">
        <f>-(Historical_Simulation!B1140-Historical_Simulation!B1141)</f>
        <v>-0.30250000000000199</v>
      </c>
      <c r="E1139">
        <f>-(Historical_Simulation!C1140-Historical_Simulation!C1141)</f>
        <v>6.0499999999999545</v>
      </c>
      <c r="G1139">
        <f>-(Historical_Simulation!D1140-Historical_Simulation!D1141)</f>
        <v>1.3799999999999955</v>
      </c>
      <c r="J1139" s="23">
        <v>42515</v>
      </c>
      <c r="K1139" s="24">
        <f t="shared" si="68"/>
        <v>-2.4366731670309267</v>
      </c>
      <c r="L1139" s="25"/>
      <c r="M1139" s="25"/>
      <c r="N1139" s="27"/>
      <c r="Q1139" s="23">
        <v>42515</v>
      </c>
      <c r="R1139" s="24">
        <f t="shared" si="69"/>
        <v>-1.8055050245229796</v>
      </c>
      <c r="S1139" s="25"/>
      <c r="T1139" s="25"/>
      <c r="U1139" s="27"/>
      <c r="X1139" s="47">
        <v>42515</v>
      </c>
      <c r="Y1139" s="48">
        <f t="shared" si="70"/>
        <v>0.91473531680310849</v>
      </c>
      <c r="Z1139" s="49"/>
      <c r="AA1139" s="49"/>
      <c r="AB1139" s="51"/>
      <c r="AE1139" s="47">
        <v>42515</v>
      </c>
      <c r="AF1139" s="48">
        <f t="shared" si="71"/>
        <v>0.50745466604752665</v>
      </c>
      <c r="AG1139" s="49"/>
      <c r="AH1139" s="49"/>
      <c r="AI1139" s="51"/>
    </row>
    <row r="1140" spans="1:35" x14ac:dyDescent="0.3">
      <c r="A1140" s="20">
        <v>42510</v>
      </c>
      <c r="C1140">
        <f>-(Historical_Simulation!B1141-Historical_Simulation!B1142)</f>
        <v>-0.25499999999999901</v>
      </c>
      <c r="E1140">
        <f>-(Historical_Simulation!C1141-Historical_Simulation!C1142)</f>
        <v>-4.2799999999999727</v>
      </c>
      <c r="G1140">
        <f>-(Historical_Simulation!D1141-Historical_Simulation!D1142)</f>
        <v>-0.53999999999999204</v>
      </c>
      <c r="J1140" s="23">
        <v>42514</v>
      </c>
      <c r="K1140" s="24">
        <f t="shared" si="68"/>
        <v>-4.1878980284123575</v>
      </c>
      <c r="L1140" s="25"/>
      <c r="M1140" s="25"/>
      <c r="N1140" s="27"/>
      <c r="Q1140" s="23">
        <v>42514</v>
      </c>
      <c r="R1140" s="24">
        <f t="shared" si="69"/>
        <v>-2.9862506615908688</v>
      </c>
      <c r="S1140" s="25"/>
      <c r="T1140" s="25"/>
      <c r="U1140" s="27"/>
      <c r="X1140" s="47">
        <v>42514</v>
      </c>
      <c r="Y1140" s="48">
        <f t="shared" si="70"/>
        <v>-8.0016744547676062</v>
      </c>
      <c r="Z1140" s="49"/>
      <c r="AA1140" s="49"/>
      <c r="AB1140" s="51"/>
      <c r="AE1140" s="47">
        <v>42514</v>
      </c>
      <c r="AF1140" s="48">
        <f t="shared" si="71"/>
        <v>-5.68950826037395</v>
      </c>
      <c r="AG1140" s="49"/>
      <c r="AH1140" s="49"/>
      <c r="AI1140" s="51"/>
    </row>
    <row r="1141" spans="1:35" x14ac:dyDescent="0.3">
      <c r="A1141" s="20">
        <v>42509</v>
      </c>
      <c r="C1141">
        <f>-(Historical_Simulation!B1142-Historical_Simulation!B1143)</f>
        <v>8.9999999999999858E-2</v>
      </c>
      <c r="E1141">
        <f>-(Historical_Simulation!C1142-Historical_Simulation!C1143)</f>
        <v>-1.0699999999999363</v>
      </c>
      <c r="G1141">
        <f>-(Historical_Simulation!D1142-Historical_Simulation!D1143)</f>
        <v>0.84000000000000341</v>
      </c>
      <c r="J1141" s="23">
        <v>42513</v>
      </c>
      <c r="K1141" s="24">
        <f t="shared" si="68"/>
        <v>3.1241259760662432</v>
      </c>
      <c r="L1141" s="25"/>
      <c r="M1141" s="25"/>
      <c r="N1141" s="27"/>
      <c r="Q1141" s="23">
        <v>42513</v>
      </c>
      <c r="R1141" s="24">
        <f t="shared" si="69"/>
        <v>2.0463335443354409</v>
      </c>
      <c r="S1141" s="25"/>
      <c r="T1141" s="25"/>
      <c r="U1141" s="27"/>
      <c r="X1141" s="47">
        <v>42513</v>
      </c>
      <c r="Y1141" s="48">
        <f t="shared" si="70"/>
        <v>9.1246548771716949</v>
      </c>
      <c r="Z1141" s="49"/>
      <c r="AA1141" s="49"/>
      <c r="AB1141" s="51"/>
      <c r="AE1141" s="47">
        <v>42513</v>
      </c>
      <c r="AF1141" s="48">
        <f t="shared" si="71"/>
        <v>6.2694478151039466</v>
      </c>
      <c r="AG1141" s="49"/>
      <c r="AH1141" s="49"/>
      <c r="AI1141" s="51"/>
    </row>
    <row r="1142" spans="1:35" x14ac:dyDescent="0.3">
      <c r="A1142" s="20">
        <v>42508</v>
      </c>
      <c r="C1142">
        <f>-(Historical_Simulation!B1143-Historical_Simulation!B1144)</f>
        <v>-0.26750000000000185</v>
      </c>
      <c r="E1142">
        <f>-(Historical_Simulation!C1143-Historical_Simulation!C1144)</f>
        <v>-2.1800000000000637</v>
      </c>
      <c r="G1142">
        <f>-(Historical_Simulation!D1143-Historical_Simulation!D1144)</f>
        <v>-0.30000000000001137</v>
      </c>
      <c r="J1142" s="23">
        <v>42510</v>
      </c>
      <c r="K1142" s="24">
        <f t="shared" si="68"/>
        <v>-2.4261404256067114</v>
      </c>
      <c r="L1142" s="25"/>
      <c r="M1142" s="25"/>
      <c r="N1142" s="27"/>
      <c r="Q1142" s="23">
        <v>42510</v>
      </c>
      <c r="R1142" s="24">
        <f t="shared" si="69"/>
        <v>-1.7432416396615749</v>
      </c>
      <c r="S1142" s="25"/>
      <c r="T1142" s="25"/>
      <c r="U1142" s="27"/>
      <c r="X1142" s="47">
        <v>42510</v>
      </c>
      <c r="Y1142" s="48">
        <f t="shared" si="70"/>
        <v>-1.8518731887036377</v>
      </c>
      <c r="Z1142" s="49"/>
      <c r="AA1142" s="49"/>
      <c r="AB1142" s="51"/>
      <c r="AE1142" s="47">
        <v>42510</v>
      </c>
      <c r="AF1142" s="48">
        <f t="shared" si="71"/>
        <v>-1.3682274159313998</v>
      </c>
      <c r="AG1142" s="49"/>
      <c r="AH1142" s="49"/>
      <c r="AI1142" s="51"/>
    </row>
    <row r="1143" spans="1:35" x14ac:dyDescent="0.3">
      <c r="A1143" s="20">
        <v>42507</v>
      </c>
      <c r="C1143">
        <f>-(Historical_Simulation!B1144-Historical_Simulation!B1145)</f>
        <v>9.7500000000000142E-2</v>
      </c>
      <c r="E1143">
        <f>-(Historical_Simulation!C1144-Historical_Simulation!C1145)</f>
        <v>15.389900000000011</v>
      </c>
      <c r="G1143">
        <f>-(Historical_Simulation!D1144-Historical_Simulation!D1145)</f>
        <v>1.3200000000000074</v>
      </c>
      <c r="J1143" s="23">
        <v>42509</v>
      </c>
      <c r="K1143" s="24">
        <f t="shared" si="68"/>
        <v>-0.53571997359097268</v>
      </c>
      <c r="L1143" s="25"/>
      <c r="M1143" s="25"/>
      <c r="N1143" s="27"/>
      <c r="Q1143" s="23">
        <v>42509</v>
      </c>
      <c r="R1143" s="24">
        <f t="shared" si="69"/>
        <v>-0.33890939180306706</v>
      </c>
      <c r="S1143" s="25"/>
      <c r="T1143" s="25"/>
      <c r="U1143" s="27"/>
      <c r="X1143" s="47">
        <v>42509</v>
      </c>
      <c r="Y1143" s="48">
        <f t="shared" si="70"/>
        <v>4.2922978650096981</v>
      </c>
      <c r="Z1143" s="49"/>
      <c r="AA1143" s="49"/>
      <c r="AB1143" s="51"/>
      <c r="AE1143" s="47">
        <v>42509</v>
      </c>
      <c r="AF1143" s="48">
        <f t="shared" si="71"/>
        <v>3.0195458313985091</v>
      </c>
      <c r="AG1143" s="49"/>
      <c r="AH1143" s="49"/>
      <c r="AI1143" s="51"/>
    </row>
    <row r="1144" spans="1:35" x14ac:dyDescent="0.3">
      <c r="A1144" s="20">
        <v>42506</v>
      </c>
      <c r="C1144">
        <f>-(Historical_Simulation!B1145-Historical_Simulation!B1146)</f>
        <v>-0.83999999999999986</v>
      </c>
      <c r="E1144">
        <f>-(Historical_Simulation!C1145-Historical_Simulation!C1146)</f>
        <v>-0.74000000000000909</v>
      </c>
      <c r="G1144">
        <f>-(Historical_Simulation!D1145-Historical_Simulation!D1146)</f>
        <v>1.1400000000000006</v>
      </c>
      <c r="J1144" s="23">
        <v>42508</v>
      </c>
      <c r="K1144" s="24">
        <f t="shared" si="68"/>
        <v>-1.2991288357696908</v>
      </c>
      <c r="L1144" s="25"/>
      <c r="M1144" s="25"/>
      <c r="N1144" s="27"/>
      <c r="Q1144" s="23">
        <v>42508</v>
      </c>
      <c r="R1144" s="24">
        <f t="shared" si="69"/>
        <v>-0.97464587226158561</v>
      </c>
      <c r="S1144" s="25"/>
      <c r="T1144" s="25"/>
      <c r="U1144" s="27"/>
      <c r="X1144" s="47">
        <v>42508</v>
      </c>
      <c r="Y1144" s="48">
        <f t="shared" si="70"/>
        <v>-0.44959957415047458</v>
      </c>
      <c r="Z1144" s="49"/>
      <c r="AA1144" s="49"/>
      <c r="AB1144" s="51"/>
      <c r="AE1144" s="47">
        <v>42508</v>
      </c>
      <c r="AF1144" s="48">
        <f t="shared" si="71"/>
        <v>-0.39444698602730721</v>
      </c>
      <c r="AG1144" s="49"/>
      <c r="AH1144" s="49"/>
      <c r="AI1144" s="51"/>
    </row>
    <row r="1145" spans="1:35" x14ac:dyDescent="0.3">
      <c r="A1145" s="20">
        <v>42503</v>
      </c>
      <c r="C1145">
        <f>-(Historical_Simulation!B1146-Historical_Simulation!B1147)</f>
        <v>-4.4999999999998153E-2</v>
      </c>
      <c r="E1145">
        <f>-(Historical_Simulation!C1146-Historical_Simulation!C1147)</f>
        <v>8.0099999999999909</v>
      </c>
      <c r="G1145">
        <f>-(Historical_Simulation!D1146-Historical_Simulation!D1147)</f>
        <v>0.46999999999999886</v>
      </c>
      <c r="J1145" s="23">
        <v>42507</v>
      </c>
      <c r="K1145" s="24">
        <f t="shared" si="68"/>
        <v>8.3464311415026913</v>
      </c>
      <c r="L1145" s="25"/>
      <c r="M1145" s="25"/>
      <c r="N1145" s="27"/>
      <c r="Q1145" s="23">
        <v>42507</v>
      </c>
      <c r="R1145" s="24">
        <f t="shared" si="69"/>
        <v>5.75185688207723</v>
      </c>
      <c r="S1145" s="25"/>
      <c r="T1145" s="25"/>
      <c r="U1145" s="27"/>
      <c r="X1145" s="47">
        <v>42507</v>
      </c>
      <c r="Y1145" s="48">
        <f t="shared" si="70"/>
        <v>6.9472455199658167</v>
      </c>
      <c r="Z1145" s="49"/>
      <c r="AA1145" s="49"/>
      <c r="AB1145" s="51"/>
      <c r="AE1145" s="47">
        <v>42507</v>
      </c>
      <c r="AF1145" s="48">
        <f t="shared" si="71"/>
        <v>4.8726597051795757</v>
      </c>
      <c r="AG1145" s="49"/>
      <c r="AH1145" s="49"/>
      <c r="AI1145" s="51"/>
    </row>
    <row r="1146" spans="1:35" x14ac:dyDescent="0.3">
      <c r="A1146" s="20">
        <v>42502</v>
      </c>
      <c r="C1146">
        <f>-(Historical_Simulation!B1147-Historical_Simulation!B1148)</f>
        <v>0.54250000000000043</v>
      </c>
      <c r="E1146">
        <f>-(Historical_Simulation!C1147-Historical_Simulation!C1148)</f>
        <v>-4.6998999999999569</v>
      </c>
      <c r="G1146">
        <f>-(Historical_Simulation!D1147-Historical_Simulation!D1148)</f>
        <v>-0.76000000000000512</v>
      </c>
      <c r="J1146" s="23">
        <v>42506</v>
      </c>
      <c r="K1146" s="24">
        <f t="shared" si="68"/>
        <v>-0.78605862296629736</v>
      </c>
      <c r="L1146" s="25"/>
      <c r="M1146" s="25"/>
      <c r="N1146" s="27"/>
      <c r="Q1146" s="23">
        <v>42506</v>
      </c>
      <c r="R1146" s="24">
        <f t="shared" si="69"/>
        <v>-0.80302505243077138</v>
      </c>
      <c r="S1146" s="25"/>
      <c r="T1146" s="25"/>
      <c r="U1146" s="27"/>
      <c r="X1146" s="47">
        <v>42506</v>
      </c>
      <c r="Y1146" s="48">
        <f t="shared" si="70"/>
        <v>10.254066363625553</v>
      </c>
      <c r="Z1146" s="49"/>
      <c r="AA1146" s="49"/>
      <c r="AB1146" s="51"/>
      <c r="AE1146" s="47">
        <v>42506</v>
      </c>
      <c r="AF1146" s="48">
        <f t="shared" si="71"/>
        <v>6.8940009948920302</v>
      </c>
      <c r="AG1146" s="49"/>
      <c r="AH1146" s="49"/>
      <c r="AI1146" s="51"/>
    </row>
    <row r="1147" spans="1:35" x14ac:dyDescent="0.3">
      <c r="A1147" s="20">
        <v>42501</v>
      </c>
      <c r="C1147">
        <f>-(Historical_Simulation!B1148-Historical_Simulation!B1149)</f>
        <v>0.22749999999999915</v>
      </c>
      <c r="E1147">
        <f>-(Historical_Simulation!C1148-Historical_Simulation!C1149)</f>
        <v>-10.159899999999993</v>
      </c>
      <c r="G1147">
        <f>-(Historical_Simulation!D1148-Historical_Simulation!D1149)</f>
        <v>0.98000000000000398</v>
      </c>
      <c r="J1147" s="23">
        <v>42503</v>
      </c>
      <c r="K1147" s="24">
        <f t="shared" si="68"/>
        <v>4.2999779200651345</v>
      </c>
      <c r="L1147" s="25"/>
      <c r="M1147" s="25"/>
      <c r="N1147" s="27"/>
      <c r="Q1147" s="23">
        <v>42503</v>
      </c>
      <c r="R1147" s="24">
        <f t="shared" si="69"/>
        <v>2.9333320267016307</v>
      </c>
      <c r="S1147" s="25"/>
      <c r="T1147" s="25"/>
      <c r="U1147" s="27"/>
      <c r="X1147" s="47">
        <v>42503</v>
      </c>
      <c r="Y1147" s="48">
        <f t="shared" si="70"/>
        <v>2.8405778673066306</v>
      </c>
      <c r="Z1147" s="49"/>
      <c r="AA1147" s="49"/>
      <c r="AB1147" s="51"/>
      <c r="AE1147" s="47">
        <v>42503</v>
      </c>
      <c r="AF1147" s="48">
        <f t="shared" si="71"/>
        <v>1.9666214708936238</v>
      </c>
      <c r="AG1147" s="49"/>
      <c r="AH1147" s="49"/>
      <c r="AI1147" s="51"/>
    </row>
    <row r="1148" spans="1:35" x14ac:dyDescent="0.3">
      <c r="A1148" s="20">
        <v>42500</v>
      </c>
      <c r="C1148">
        <f>-(Historical_Simulation!B1149-Historical_Simulation!B1150)</f>
        <v>-0.15749999999999886</v>
      </c>
      <c r="E1148">
        <f>-(Historical_Simulation!C1149-Historical_Simulation!C1150)</f>
        <v>-23.320100000000025</v>
      </c>
      <c r="G1148">
        <f>-(Historical_Simulation!D1149-Historical_Simulation!D1150)</f>
        <v>-1.2600000000000051</v>
      </c>
      <c r="J1148" s="23">
        <v>42502</v>
      </c>
      <c r="K1148" s="24">
        <f t="shared" si="68"/>
        <v>-2.2853227496150583</v>
      </c>
      <c r="L1148" s="25"/>
      <c r="M1148" s="25"/>
      <c r="N1148" s="27"/>
      <c r="Q1148" s="23">
        <v>42502</v>
      </c>
      <c r="R1148" s="24">
        <f t="shared" si="69"/>
        <v>-1.3958746513693991</v>
      </c>
      <c r="S1148" s="25"/>
      <c r="T1148" s="25"/>
      <c r="U1148" s="27"/>
      <c r="X1148" s="47">
        <v>42502</v>
      </c>
      <c r="Y1148" s="48">
        <f t="shared" si="70"/>
        <v>-6.7554906255668392</v>
      </c>
      <c r="Z1148" s="49"/>
      <c r="AA1148" s="49"/>
      <c r="AB1148" s="51"/>
      <c r="AE1148" s="47">
        <v>42502</v>
      </c>
      <c r="AF1148" s="48">
        <f t="shared" si="71"/>
        <v>-4.5451445938620747</v>
      </c>
      <c r="AG1148" s="49"/>
      <c r="AH1148" s="49"/>
      <c r="AI1148" s="51"/>
    </row>
    <row r="1149" spans="1:35" x14ac:dyDescent="0.3">
      <c r="A1149" s="20">
        <v>42499</v>
      </c>
      <c r="C1149">
        <f>-(Historical_Simulation!B1150-Historical_Simulation!B1151)</f>
        <v>-1.7500000000001847E-2</v>
      </c>
      <c r="E1149">
        <f>-(Historical_Simulation!C1150-Historical_Simulation!C1151)</f>
        <v>-5.7999999999999545</v>
      </c>
      <c r="G1149">
        <f>-(Historical_Simulation!D1150-Historical_Simulation!D1151)</f>
        <v>0.25</v>
      </c>
      <c r="J1149" s="23">
        <v>42501</v>
      </c>
      <c r="K1149" s="24">
        <f t="shared" si="68"/>
        <v>-5.3756065979993295</v>
      </c>
      <c r="L1149" s="25"/>
      <c r="M1149" s="25"/>
      <c r="N1149" s="27"/>
      <c r="Q1149" s="23">
        <v>42501</v>
      </c>
      <c r="R1149" s="24">
        <f t="shared" si="69"/>
        <v>-3.6132357038063967</v>
      </c>
      <c r="S1149" s="25"/>
      <c r="T1149" s="25"/>
      <c r="U1149" s="27"/>
      <c r="X1149" s="47">
        <v>42501</v>
      </c>
      <c r="Y1149" s="48">
        <f t="shared" si="70"/>
        <v>4.4438055245597372</v>
      </c>
      <c r="Z1149" s="49"/>
      <c r="AA1149" s="49"/>
      <c r="AB1149" s="51"/>
      <c r="AE1149" s="47">
        <v>42501</v>
      </c>
      <c r="AF1149" s="48">
        <f t="shared" si="71"/>
        <v>3.1668109841698415</v>
      </c>
      <c r="AG1149" s="49"/>
      <c r="AH1149" s="49"/>
      <c r="AI1149" s="51"/>
    </row>
    <row r="1150" spans="1:35" x14ac:dyDescent="0.3">
      <c r="A1150" s="20">
        <v>42496</v>
      </c>
      <c r="C1150">
        <f>-(Historical_Simulation!B1151-Historical_Simulation!B1152)</f>
        <v>0.12999999999999901</v>
      </c>
      <c r="E1150">
        <f>-(Historical_Simulation!C1151-Historical_Simulation!C1152)</f>
        <v>-14.859900000000039</v>
      </c>
      <c r="G1150">
        <f>-(Historical_Simulation!D1151-Historical_Simulation!D1152)</f>
        <v>-1.6799999999999926</v>
      </c>
      <c r="J1150" s="23">
        <v>42500</v>
      </c>
      <c r="K1150" s="24">
        <f t="shared" si="68"/>
        <v>-12.651725396809544</v>
      </c>
      <c r="L1150" s="25"/>
      <c r="M1150" s="25"/>
      <c r="N1150" s="27"/>
      <c r="Q1150" s="23">
        <v>42500</v>
      </c>
      <c r="R1150" s="24">
        <f t="shared" si="69"/>
        <v>-8.7218592056709259</v>
      </c>
      <c r="S1150" s="25"/>
      <c r="T1150" s="25"/>
      <c r="U1150" s="27"/>
      <c r="X1150" s="47">
        <v>42500</v>
      </c>
      <c r="Y1150" s="48">
        <f t="shared" si="70"/>
        <v>-6.3348778615642614</v>
      </c>
      <c r="Z1150" s="49"/>
      <c r="AA1150" s="49"/>
      <c r="AB1150" s="51"/>
      <c r="AE1150" s="47">
        <v>42500</v>
      </c>
      <c r="AF1150" s="48">
        <f t="shared" si="71"/>
        <v>-4.4639323721558117</v>
      </c>
      <c r="AG1150" s="49"/>
      <c r="AH1150" s="49"/>
      <c r="AI1150" s="51"/>
    </row>
    <row r="1151" spans="1:35" x14ac:dyDescent="0.3">
      <c r="A1151" s="20">
        <v>42495</v>
      </c>
      <c r="C1151">
        <f>-(Historical_Simulation!B1152-Historical_Simulation!B1153)</f>
        <v>0.23750000000000071</v>
      </c>
      <c r="E1151">
        <f>-(Historical_Simulation!C1152-Historical_Simulation!C1153)</f>
        <v>11.809799999999996</v>
      </c>
      <c r="G1151">
        <f>-(Historical_Simulation!D1152-Historical_Simulation!D1153)</f>
        <v>0.25</v>
      </c>
      <c r="J1151" s="23">
        <v>42499</v>
      </c>
      <c r="K1151" s="24">
        <f t="shared" si="68"/>
        <v>-3.1366601269741121</v>
      </c>
      <c r="L1151" s="25"/>
      <c r="M1151" s="25"/>
      <c r="N1151" s="27"/>
      <c r="Q1151" s="23">
        <v>42499</v>
      </c>
      <c r="R1151" s="24">
        <f t="shared" si="69"/>
        <v>-2.1555763431908215</v>
      </c>
      <c r="S1151" s="25"/>
      <c r="T1151" s="25"/>
      <c r="U1151" s="27"/>
      <c r="X1151" s="47">
        <v>42499</v>
      </c>
      <c r="Y1151" s="48">
        <f t="shared" si="70"/>
        <v>1.4813195718534604</v>
      </c>
      <c r="Z1151" s="49"/>
      <c r="AA1151" s="49"/>
      <c r="AB1151" s="51"/>
      <c r="AE1151" s="47">
        <v>42499</v>
      </c>
      <c r="AF1151" s="48">
        <f t="shared" si="71"/>
        <v>1.0273713465321355</v>
      </c>
      <c r="AG1151" s="49"/>
      <c r="AH1151" s="49"/>
      <c r="AI1151" s="51"/>
    </row>
    <row r="1152" spans="1:35" x14ac:dyDescent="0.3">
      <c r="A1152" s="20">
        <v>42494</v>
      </c>
      <c r="C1152">
        <f>-(Historical_Simulation!B1153-Historical_Simulation!B1154)</f>
        <v>0.24750000000000227</v>
      </c>
      <c r="E1152">
        <f>-(Historical_Simulation!C1153-Historical_Simulation!C1154)</f>
        <v>0.42020000000002256</v>
      </c>
      <c r="G1152">
        <f>-(Historical_Simulation!D1153-Historical_Simulation!D1154)</f>
        <v>-0.62999999999999545</v>
      </c>
      <c r="J1152" s="23">
        <v>42496</v>
      </c>
      <c r="K1152" s="24">
        <f t="shared" si="68"/>
        <v>-7.9557584759757418</v>
      </c>
      <c r="L1152" s="25"/>
      <c r="M1152" s="25"/>
      <c r="N1152" s="27"/>
      <c r="Q1152" s="23">
        <v>42496</v>
      </c>
      <c r="R1152" s="24">
        <f t="shared" si="69"/>
        <v>-5.4125076656803133</v>
      </c>
      <c r="S1152" s="25"/>
      <c r="T1152" s="25"/>
      <c r="U1152" s="27"/>
      <c r="X1152" s="47">
        <v>42496</v>
      </c>
      <c r="Y1152" s="48">
        <f t="shared" si="70"/>
        <v>-10.011545514223311</v>
      </c>
      <c r="Z1152" s="49"/>
      <c r="AA1152" s="49"/>
      <c r="AB1152" s="51"/>
      <c r="AE1152" s="47">
        <v>42496</v>
      </c>
      <c r="AF1152" s="48">
        <f t="shared" si="71"/>
        <v>-6.9399706064416709</v>
      </c>
      <c r="AG1152" s="49"/>
      <c r="AH1152" s="49"/>
      <c r="AI1152" s="51"/>
    </row>
    <row r="1153" spans="1:35" x14ac:dyDescent="0.3">
      <c r="A1153" s="20">
        <v>42493</v>
      </c>
      <c r="C1153">
        <f>-(Historical_Simulation!B1154-Historical_Simulation!B1155)</f>
        <v>-0.38500000000000156</v>
      </c>
      <c r="E1153">
        <f>-(Historical_Simulation!C1154-Historical_Simulation!C1155)</f>
        <v>12.529999999999973</v>
      </c>
      <c r="G1153">
        <f>-(Historical_Simulation!D1154-Historical_Simulation!D1155)</f>
        <v>1.1399999999999864</v>
      </c>
      <c r="J1153" s="23">
        <v>42495</v>
      </c>
      <c r="K1153" s="24">
        <f t="shared" si="68"/>
        <v>6.4797579744717302</v>
      </c>
      <c r="L1153" s="25"/>
      <c r="M1153" s="25"/>
      <c r="N1153" s="27"/>
      <c r="Q1153" s="23">
        <v>42495</v>
      </c>
      <c r="R1153" s="24">
        <f t="shared" si="69"/>
        <v>4.5163518575542261</v>
      </c>
      <c r="S1153" s="25"/>
      <c r="T1153" s="25"/>
      <c r="U1153" s="27"/>
      <c r="X1153" s="47">
        <v>42495</v>
      </c>
      <c r="Y1153" s="48">
        <f t="shared" si="70"/>
        <v>0.30753829775015795</v>
      </c>
      <c r="Z1153" s="49"/>
      <c r="AA1153" s="49"/>
      <c r="AB1153" s="51"/>
      <c r="AE1153" s="47">
        <v>42495</v>
      </c>
      <c r="AF1153" s="48">
        <f t="shared" si="71"/>
        <v>0.28632576385663955</v>
      </c>
      <c r="AG1153" s="49"/>
      <c r="AH1153" s="49"/>
      <c r="AI1153" s="51"/>
    </row>
    <row r="1154" spans="1:35" x14ac:dyDescent="0.3">
      <c r="A1154" s="20">
        <v>42492</v>
      </c>
      <c r="C1154">
        <f>-(Historical_Simulation!B1155-Historical_Simulation!B1156)</f>
        <v>2.4999999999998579E-2</v>
      </c>
      <c r="E1154">
        <f>-(Historical_Simulation!C1155-Historical_Simulation!C1156)</f>
        <v>-24.259999999999991</v>
      </c>
      <c r="G1154">
        <f>-(Historical_Simulation!D1155-Historical_Simulation!D1156)</f>
        <v>-0.98999999999999488</v>
      </c>
      <c r="J1154" s="23">
        <v>42494</v>
      </c>
      <c r="K1154" s="24">
        <f t="shared" si="68"/>
        <v>0.34065675813722601</v>
      </c>
      <c r="L1154" s="25"/>
      <c r="M1154" s="25"/>
      <c r="N1154" s="27"/>
      <c r="Q1154" s="23">
        <v>42494</v>
      </c>
      <c r="R1154" s="24">
        <f t="shared" si="69"/>
        <v>0.31135573445207332</v>
      </c>
      <c r="S1154" s="25"/>
      <c r="T1154" s="25"/>
      <c r="U1154" s="27"/>
      <c r="X1154" s="47">
        <v>42494</v>
      </c>
      <c r="Y1154" s="48">
        <f t="shared" si="70"/>
        <v>-4.6691885020613082</v>
      </c>
      <c r="Z1154" s="49"/>
      <c r="AA1154" s="49"/>
      <c r="AB1154" s="51"/>
      <c r="AE1154" s="47">
        <v>42494</v>
      </c>
      <c r="AF1154" s="48">
        <f t="shared" si="71"/>
        <v>-3.1800686227362287</v>
      </c>
      <c r="AG1154" s="49"/>
      <c r="AH1154" s="49"/>
      <c r="AI1154" s="51"/>
    </row>
    <row r="1155" spans="1:35" x14ac:dyDescent="0.3">
      <c r="A1155" s="20">
        <v>42489</v>
      </c>
      <c r="C1155">
        <f>-(Historical_Simulation!B1156-Historical_Simulation!B1157)</f>
        <v>0.27250000000000085</v>
      </c>
      <c r="E1155">
        <f>-(Historical_Simulation!C1156-Historical_Simulation!C1157)</f>
        <v>-57.590100000000007</v>
      </c>
      <c r="G1155">
        <f>-(Historical_Simulation!D1156-Historical_Simulation!D1157)</f>
        <v>-0.84999999999999432</v>
      </c>
      <c r="J1155" s="23">
        <v>42493</v>
      </c>
      <c r="K1155" s="24">
        <f t="shared" si="68"/>
        <v>6.5815288439033068</v>
      </c>
      <c r="L1155" s="25"/>
      <c r="M1155" s="25"/>
      <c r="N1155" s="27"/>
      <c r="Q1155" s="23">
        <v>42493</v>
      </c>
      <c r="R1155" s="24">
        <f t="shared" si="69"/>
        <v>4.3903144785662942</v>
      </c>
      <c r="S1155" s="25"/>
      <c r="T1155" s="25"/>
      <c r="U1155" s="27"/>
      <c r="X1155" s="47">
        <v>42493</v>
      </c>
      <c r="Y1155" s="48">
        <f t="shared" si="70"/>
        <v>8.15967232551961</v>
      </c>
      <c r="Z1155" s="49"/>
      <c r="AA1155" s="49"/>
      <c r="AB1155" s="51"/>
      <c r="AE1155" s="47">
        <v>42493</v>
      </c>
      <c r="AF1155" s="48">
        <f t="shared" si="71"/>
        <v>5.5717431905102259</v>
      </c>
      <c r="AG1155" s="49"/>
      <c r="AH1155" s="49"/>
      <c r="AI1155" s="51"/>
    </row>
    <row r="1156" spans="1:35" x14ac:dyDescent="0.3">
      <c r="A1156" s="20">
        <v>42488</v>
      </c>
      <c r="C1156">
        <f>-(Historical_Simulation!B1157-Historical_Simulation!B1158)</f>
        <v>0.74749999999999872</v>
      </c>
      <c r="E1156">
        <f>-(Historical_Simulation!C1157-Historical_Simulation!C1158)</f>
        <v>4.5701000000000249</v>
      </c>
      <c r="G1156">
        <f>-(Historical_Simulation!D1157-Historical_Simulation!D1158)</f>
        <v>-7.8400000000000034</v>
      </c>
      <c r="J1156" s="23">
        <v>42492</v>
      </c>
      <c r="K1156" s="24">
        <f t="shared" si="68"/>
        <v>-13.074663412635861</v>
      </c>
      <c r="L1156" s="25"/>
      <c r="M1156" s="25"/>
      <c r="N1156" s="27"/>
      <c r="Q1156" s="23">
        <v>42492</v>
      </c>
      <c r="R1156" s="24">
        <f t="shared" si="69"/>
        <v>-8.954366017187974</v>
      </c>
      <c r="S1156" s="25"/>
      <c r="T1156" s="25"/>
      <c r="U1156" s="27"/>
      <c r="X1156" s="47">
        <v>42492</v>
      </c>
      <c r="Y1156" s="48">
        <f t="shared" si="70"/>
        <v>-5.6621097773130629</v>
      </c>
      <c r="Z1156" s="49"/>
      <c r="AA1156" s="49"/>
      <c r="AB1156" s="51"/>
      <c r="AE1156" s="47">
        <v>42492</v>
      </c>
      <c r="AF1156" s="48">
        <f t="shared" si="71"/>
        <v>-3.939652025159273</v>
      </c>
      <c r="AG1156" s="49"/>
      <c r="AH1156" s="49"/>
      <c r="AI1156" s="51"/>
    </row>
    <row r="1157" spans="1:35" x14ac:dyDescent="0.3">
      <c r="A1157" s="20">
        <v>42487</v>
      </c>
      <c r="C1157">
        <f>-(Historical_Simulation!B1158-Historical_Simulation!B1159)</f>
        <v>1.6325000000000003</v>
      </c>
      <c r="E1157">
        <f>-(Historical_Simulation!C1158-Historical_Simulation!C1159)</f>
        <v>10.309799999999996</v>
      </c>
      <c r="G1157">
        <f>-(Historical_Simulation!D1158-Historical_Simulation!D1159)</f>
        <v>-0.12999999999999545</v>
      </c>
      <c r="J1157" s="23">
        <v>42489</v>
      </c>
      <c r="K1157" s="24">
        <f t="shared" si="68"/>
        <v>-30.939383227506035</v>
      </c>
      <c r="L1157" s="25"/>
      <c r="M1157" s="25"/>
      <c r="N1157" s="27"/>
      <c r="Q1157" s="23">
        <v>42489</v>
      </c>
      <c r="R1157" s="24">
        <f t="shared" si="69"/>
        <v>-21.122166012194402</v>
      </c>
      <c r="S1157" s="25"/>
      <c r="T1157" s="25"/>
      <c r="U1157" s="27"/>
      <c r="X1157" s="47">
        <v>42489</v>
      </c>
      <c r="Y1157" s="48">
        <f t="shared" si="70"/>
        <v>-6.0169391379644566</v>
      </c>
      <c r="Z1157" s="49"/>
      <c r="AA1157" s="49"/>
      <c r="AB1157" s="51"/>
      <c r="AE1157" s="47">
        <v>42489</v>
      </c>
      <c r="AF1157" s="48">
        <f t="shared" si="71"/>
        <v>-4.1120535943263956</v>
      </c>
      <c r="AG1157" s="49"/>
      <c r="AH1157" s="49"/>
      <c r="AI1157" s="51"/>
    </row>
    <row r="1158" spans="1:35" x14ac:dyDescent="0.3">
      <c r="A1158" s="20">
        <v>42486</v>
      </c>
      <c r="C1158">
        <f>-(Historical_Simulation!B1159-Historical_Simulation!B1160)</f>
        <v>0.18250000000000099</v>
      </c>
      <c r="E1158">
        <f>-(Historical_Simulation!C1159-Historical_Simulation!C1160)</f>
        <v>9.3201000000000249</v>
      </c>
      <c r="G1158">
        <f>-(Historical_Simulation!D1159-Historical_Simulation!D1160)</f>
        <v>1.3399999999999892</v>
      </c>
      <c r="J1158" s="23">
        <v>42488</v>
      </c>
      <c r="K1158" s="24">
        <f t="shared" ref="K1158:K1221" si="72">C1156*$K$3+E1156*(1-$K$3)</f>
        <v>2.8094630784905155</v>
      </c>
      <c r="L1158" s="25"/>
      <c r="M1158" s="25"/>
      <c r="N1158" s="27"/>
      <c r="Q1158" s="23">
        <v>42488</v>
      </c>
      <c r="R1158" s="24">
        <f t="shared" si="69"/>
        <v>2.1609043457814687</v>
      </c>
      <c r="S1158" s="25"/>
      <c r="T1158" s="25"/>
      <c r="U1158" s="27"/>
      <c r="X1158" s="47">
        <v>42488</v>
      </c>
      <c r="Y1158" s="48">
        <f t="shared" si="70"/>
        <v>-47.368810554360834</v>
      </c>
      <c r="Z1158" s="49"/>
      <c r="AA1158" s="49"/>
      <c r="AB1158" s="51"/>
      <c r="AE1158" s="47">
        <v>42488</v>
      </c>
      <c r="AF1158" s="48">
        <f t="shared" si="71"/>
        <v>-32.795799769512783</v>
      </c>
      <c r="AG1158" s="49"/>
      <c r="AH1158" s="49"/>
      <c r="AI1158" s="51"/>
    </row>
    <row r="1159" spans="1:35" x14ac:dyDescent="0.3">
      <c r="A1159" s="20">
        <v>42485</v>
      </c>
      <c r="C1159">
        <f>-(Historical_Simulation!B1160-Historical_Simulation!B1161)</f>
        <v>0.15000000000000213</v>
      </c>
      <c r="E1159">
        <f>-(Historical_Simulation!C1160-Historical_Simulation!C1161)</f>
        <v>-5.7000000000000455</v>
      </c>
      <c r="G1159">
        <f>-(Historical_Simulation!D1160-Historical_Simulation!D1161)</f>
        <v>0.46000000000000796</v>
      </c>
      <c r="J1159" s="23">
        <v>42487</v>
      </c>
      <c r="K1159" s="24">
        <f t="shared" si="72"/>
        <v>6.3131551093458977</v>
      </c>
      <c r="L1159" s="25"/>
      <c r="M1159" s="25"/>
      <c r="N1159" s="27"/>
      <c r="Q1159" s="23">
        <v>42487</v>
      </c>
      <c r="R1159" s="24">
        <f t="shared" ref="R1159:R1222" si="73">C1157*$R$3+E1157*(1-$R$3)</f>
        <v>4.8409271254249617</v>
      </c>
      <c r="S1159" s="25"/>
      <c r="T1159" s="25"/>
      <c r="U1159" s="27"/>
      <c r="X1159" s="47">
        <v>42487</v>
      </c>
      <c r="Y1159" s="48">
        <f t="shared" ref="Y1159:Y1222" si="74">C1157*$Y$3+G1157*(1-$Y$3)</f>
        <v>-8.2428999827727196</v>
      </c>
      <c r="Z1159" s="49"/>
      <c r="AA1159" s="49"/>
      <c r="AB1159" s="51"/>
      <c r="AE1159" s="47">
        <v>42487</v>
      </c>
      <c r="AF1159" s="48">
        <f t="shared" ref="AF1159:AF1222" si="75">C1157*$AF$3+G1157*(1-$AF$3)</f>
        <v>-5.2519327037864469</v>
      </c>
      <c r="AG1159" s="49"/>
      <c r="AH1159" s="49"/>
      <c r="AI1159" s="51"/>
    </row>
    <row r="1160" spans="1:35" x14ac:dyDescent="0.3">
      <c r="A1160" s="20">
        <v>42482</v>
      </c>
      <c r="C1160">
        <f>-(Historical_Simulation!B1161-Historical_Simulation!B1162)</f>
        <v>7.249999999999801E-2</v>
      </c>
      <c r="E1160">
        <f>-(Historical_Simulation!C1161-Historical_Simulation!C1162)</f>
        <v>10.5</v>
      </c>
      <c r="G1160">
        <f>-(Historical_Simulation!D1161-Historical_Simulation!D1162)</f>
        <v>2.8799999999999955</v>
      </c>
      <c r="J1160" s="23">
        <v>42486</v>
      </c>
      <c r="K1160" s="24">
        <f t="shared" si="72"/>
        <v>5.1114472678320704</v>
      </c>
      <c r="L1160" s="25"/>
      <c r="M1160" s="25"/>
      <c r="N1160" s="27"/>
      <c r="Q1160" s="23">
        <v>42486</v>
      </c>
      <c r="R1160" s="24">
        <f t="shared" si="73"/>
        <v>3.561122809086148</v>
      </c>
      <c r="S1160" s="25"/>
      <c r="T1160" s="25"/>
      <c r="U1160" s="27"/>
      <c r="X1160" s="47">
        <v>42486</v>
      </c>
      <c r="Y1160" s="48">
        <f t="shared" si="74"/>
        <v>6.6680463716648717</v>
      </c>
      <c r="Z1160" s="49"/>
      <c r="AA1160" s="49"/>
      <c r="AB1160" s="51"/>
      <c r="AE1160" s="47">
        <v>42486</v>
      </c>
      <c r="AF1160" s="48">
        <f t="shared" si="75"/>
        <v>4.7037657331249667</v>
      </c>
      <c r="AG1160" s="49"/>
      <c r="AH1160" s="49"/>
      <c r="AI1160" s="51"/>
    </row>
    <row r="1161" spans="1:35" x14ac:dyDescent="0.3">
      <c r="A1161" s="20">
        <v>42481</v>
      </c>
      <c r="C1161">
        <f>-(Historical_Simulation!B1162-Historical_Simulation!B1163)</f>
        <v>0.28999999999999915</v>
      </c>
      <c r="E1161">
        <f>-(Historical_Simulation!C1162-Historical_Simulation!C1163)</f>
        <v>1.9900000000000091</v>
      </c>
      <c r="G1161">
        <f>-(Historical_Simulation!D1162-Historical_Simulation!D1163)</f>
        <v>-1.019999999999996</v>
      </c>
      <c r="J1161" s="23">
        <v>42485</v>
      </c>
      <c r="K1161" s="24">
        <f t="shared" si="72"/>
        <v>-3.0055705564719117</v>
      </c>
      <c r="L1161" s="25"/>
      <c r="M1161" s="25"/>
      <c r="N1161" s="27"/>
      <c r="Q1161" s="23">
        <v>42485</v>
      </c>
      <c r="R1161" s="24">
        <f t="shared" si="73"/>
        <v>-2.013034432800084</v>
      </c>
      <c r="S1161" s="25"/>
      <c r="T1161" s="25"/>
      <c r="U1161" s="27"/>
      <c r="X1161" s="47">
        <v>42485</v>
      </c>
      <c r="Y1161" s="48">
        <f t="shared" si="74"/>
        <v>1.886949784204035</v>
      </c>
      <c r="Z1161" s="49"/>
      <c r="AA1161" s="49"/>
      <c r="AB1161" s="51"/>
      <c r="AE1161" s="47">
        <v>42485</v>
      </c>
      <c r="AF1161" s="48">
        <f t="shared" si="75"/>
        <v>1.3608789436447364</v>
      </c>
      <c r="AG1161" s="49"/>
      <c r="AH1161" s="49"/>
      <c r="AI1161" s="51"/>
    </row>
    <row r="1162" spans="1:35" x14ac:dyDescent="0.3">
      <c r="A1162" s="20">
        <v>42480</v>
      </c>
      <c r="C1162">
        <f>-(Historical_Simulation!B1163-Historical_Simulation!B1164)</f>
        <v>-5.4999999999999716E-2</v>
      </c>
      <c r="E1162">
        <f>-(Historical_Simulation!C1163-Historical_Simulation!C1164)</f>
        <v>-5.0901000000000067</v>
      </c>
      <c r="G1162">
        <f>-(Historical_Simulation!D1163-Historical_Simulation!D1164)</f>
        <v>-0.12999999999999545</v>
      </c>
      <c r="J1162" s="23">
        <v>42482</v>
      </c>
      <c r="K1162" s="24">
        <f t="shared" si="72"/>
        <v>5.6972370901898479</v>
      </c>
      <c r="L1162" s="25"/>
      <c r="M1162" s="25"/>
      <c r="N1162" s="27"/>
      <c r="Q1162" s="23">
        <v>42482</v>
      </c>
      <c r="R1162" s="24">
        <f t="shared" si="73"/>
        <v>3.9280626577816595</v>
      </c>
      <c r="S1162" s="25"/>
      <c r="T1162" s="25"/>
      <c r="U1162" s="27"/>
      <c r="X1162" s="47">
        <v>42482</v>
      </c>
      <c r="Y1162" s="48">
        <f t="shared" si="74"/>
        <v>15.803101674686213</v>
      </c>
      <c r="Z1162" s="49"/>
      <c r="AA1162" s="49"/>
      <c r="AB1162" s="51"/>
      <c r="AE1162" s="47">
        <v>42482</v>
      </c>
      <c r="AF1162" s="48">
        <f t="shared" si="75"/>
        <v>11.038766562201689</v>
      </c>
      <c r="AG1162" s="49"/>
      <c r="AH1162" s="49"/>
      <c r="AI1162" s="51"/>
    </row>
    <row r="1163" spans="1:35" x14ac:dyDescent="0.3">
      <c r="A1163" s="20">
        <v>42479</v>
      </c>
      <c r="C1163">
        <f>-(Historical_Simulation!B1164-Historical_Simulation!B1165)</f>
        <v>0.14250000000000185</v>
      </c>
      <c r="E1163">
        <f>-(Historical_Simulation!C1164-Historical_Simulation!C1165)</f>
        <v>7.4501999999999953</v>
      </c>
      <c r="G1163">
        <f>-(Historical_Simulation!D1164-Historical_Simulation!D1165)</f>
        <v>-1.8400000000000034</v>
      </c>
      <c r="J1163" s="23">
        <v>42481</v>
      </c>
      <c r="K1163" s="24">
        <f t="shared" si="72"/>
        <v>1.2070034095730318</v>
      </c>
      <c r="L1163" s="25"/>
      <c r="M1163" s="25"/>
      <c r="N1163" s="27"/>
      <c r="Q1163" s="23">
        <v>42481</v>
      </c>
      <c r="R1163" s="24">
        <f t="shared" si="73"/>
        <v>0.91857410867694589</v>
      </c>
      <c r="S1163" s="25"/>
      <c r="T1163" s="25"/>
      <c r="U1163" s="27"/>
      <c r="X1163" s="47">
        <v>42481</v>
      </c>
      <c r="Y1163" s="48">
        <f t="shared" si="74"/>
        <v>-7.0500136042168782</v>
      </c>
      <c r="Z1163" s="49"/>
      <c r="AA1163" s="49"/>
      <c r="AB1163" s="51"/>
      <c r="AE1163" s="47">
        <v>42481</v>
      </c>
      <c r="AF1163" s="48">
        <f t="shared" si="75"/>
        <v>-4.8269400521760204</v>
      </c>
      <c r="AG1163" s="49"/>
      <c r="AH1163" s="49"/>
      <c r="AI1163" s="51"/>
    </row>
    <row r="1164" spans="1:35" x14ac:dyDescent="0.3">
      <c r="A1164" s="20">
        <v>42478</v>
      </c>
      <c r="C1164">
        <f>-(Historical_Simulation!B1165-Historical_Simulation!B1166)</f>
        <v>0.59249999999999758</v>
      </c>
      <c r="E1164">
        <f>-(Historical_Simulation!C1165-Historical_Simulation!C1166)</f>
        <v>-9.4601999999999862</v>
      </c>
      <c r="G1164">
        <f>-(Historical_Simulation!D1165-Historical_Simulation!D1166)</f>
        <v>-0.81000000000000227</v>
      </c>
      <c r="J1164" s="23">
        <v>42480</v>
      </c>
      <c r="K1164" s="24">
        <f t="shared" si="72"/>
        <v>-2.7710022750242098</v>
      </c>
      <c r="L1164" s="25"/>
      <c r="M1164" s="25"/>
      <c r="N1164" s="27"/>
      <c r="Q1164" s="23">
        <v>42480</v>
      </c>
      <c r="R1164" s="24">
        <f t="shared" si="73"/>
        <v>-1.9167255850583997</v>
      </c>
      <c r="S1164" s="25"/>
      <c r="T1164" s="25"/>
      <c r="U1164" s="27"/>
      <c r="X1164" s="47">
        <v>42480</v>
      </c>
      <c r="Y1164" s="48">
        <f t="shared" si="74"/>
        <v>-0.47522978650094366</v>
      </c>
      <c r="Z1164" s="49"/>
      <c r="AA1164" s="49"/>
      <c r="AB1164" s="51"/>
      <c r="AE1164" s="47">
        <v>42480</v>
      </c>
      <c r="AF1164" s="48">
        <f t="shared" si="75"/>
        <v>-0.34795458313983263</v>
      </c>
      <c r="AG1164" s="49"/>
      <c r="AH1164" s="49"/>
      <c r="AI1164" s="51"/>
    </row>
    <row r="1165" spans="1:35" x14ac:dyDescent="0.3">
      <c r="A1165" s="20">
        <v>42475</v>
      </c>
      <c r="C1165">
        <f>-(Historical_Simulation!B1166-Historical_Simulation!B1167)</f>
        <v>0.5625</v>
      </c>
      <c r="E1165">
        <f>-(Historical_Simulation!C1166-Historical_Simulation!C1167)</f>
        <v>-5.1399000000000115</v>
      </c>
      <c r="G1165">
        <f>-(Historical_Simulation!D1166-Historical_Simulation!D1167)</f>
        <v>1.2000000000000028</v>
      </c>
      <c r="J1165" s="23">
        <v>42479</v>
      </c>
      <c r="K1165" s="24">
        <f t="shared" si="72"/>
        <v>4.0843740094922412</v>
      </c>
      <c r="L1165" s="25"/>
      <c r="M1165" s="25"/>
      <c r="N1165" s="27"/>
      <c r="Q1165" s="23">
        <v>42479</v>
      </c>
      <c r="R1165" s="24">
        <f t="shared" si="73"/>
        <v>2.8445182435167617</v>
      </c>
      <c r="S1165" s="25"/>
      <c r="T1165" s="25"/>
      <c r="U1165" s="27"/>
      <c r="X1165" s="47">
        <v>42479</v>
      </c>
      <c r="Y1165" s="48">
        <f t="shared" si="74"/>
        <v>-10.965574023175609</v>
      </c>
      <c r="Z1165" s="49"/>
      <c r="AA1165" s="49"/>
      <c r="AB1165" s="51"/>
      <c r="AE1165" s="47">
        <v>42479</v>
      </c>
      <c r="AF1165" s="48">
        <f t="shared" si="75"/>
        <v>-7.6012661476633747</v>
      </c>
      <c r="AG1165" s="49"/>
      <c r="AH1165" s="49"/>
      <c r="AI1165" s="51"/>
    </row>
    <row r="1166" spans="1:35" x14ac:dyDescent="0.3">
      <c r="A1166" s="20">
        <v>42474</v>
      </c>
      <c r="C1166">
        <f>-(Historical_Simulation!B1167-Historical_Simulation!B1168)</f>
        <v>-1.4999999999997016E-2</v>
      </c>
      <c r="E1166">
        <f>-(Historical_Simulation!C1167-Historical_Simulation!C1168)</f>
        <v>-5.9298999999999751</v>
      </c>
      <c r="G1166">
        <f>-(Historical_Simulation!D1167-Historical_Simulation!D1168)</f>
        <v>-0.32999999999999829</v>
      </c>
      <c r="J1166" s="23">
        <v>42478</v>
      </c>
      <c r="K1166" s="24">
        <f t="shared" si="72"/>
        <v>-4.8300648090675065</v>
      </c>
      <c r="L1166" s="25"/>
      <c r="M1166" s="25"/>
      <c r="N1166" s="27"/>
      <c r="Q1166" s="23">
        <v>42478</v>
      </c>
      <c r="R1166" s="24">
        <f t="shared" si="73"/>
        <v>-3.1244805542921759</v>
      </c>
      <c r="S1166" s="25"/>
      <c r="T1166" s="25"/>
      <c r="U1166" s="27"/>
      <c r="X1166" s="47">
        <v>42478</v>
      </c>
      <c r="Y1166" s="48">
        <f t="shared" si="74"/>
        <v>-7.2657970075681</v>
      </c>
      <c r="Z1166" s="49"/>
      <c r="AA1166" s="49"/>
      <c r="AB1166" s="51"/>
      <c r="AE1166" s="47">
        <v>42478</v>
      </c>
      <c r="AF1166" s="48">
        <f t="shared" si="75"/>
        <v>-4.8857507047151882</v>
      </c>
      <c r="AG1166" s="49"/>
      <c r="AH1166" s="49"/>
      <c r="AI1166" s="51"/>
    </row>
    <row r="1167" spans="1:35" x14ac:dyDescent="0.3">
      <c r="A1167" s="20">
        <v>42473</v>
      </c>
      <c r="C1167">
        <f>-(Historical_Simulation!B1168-Historical_Simulation!B1169)</f>
        <v>-0.40000000000000213</v>
      </c>
      <c r="E1167">
        <f>-(Historical_Simulation!C1168-Historical_Simulation!C1169)</f>
        <v>-11.650200000000041</v>
      </c>
      <c r="G1167">
        <f>-(Historical_Simulation!D1168-Historical_Simulation!D1169)</f>
        <v>9.9999999999994316E-2</v>
      </c>
      <c r="J1167" s="23">
        <v>42475</v>
      </c>
      <c r="K1167" s="24">
        <f t="shared" si="72"/>
        <v>-2.5134530839701426</v>
      </c>
      <c r="L1167" s="25"/>
      <c r="M1167" s="25"/>
      <c r="N1167" s="27"/>
      <c r="Q1167" s="23">
        <v>42475</v>
      </c>
      <c r="R1167" s="24">
        <f t="shared" si="73"/>
        <v>-1.5459594101878864</v>
      </c>
      <c r="S1167" s="25"/>
      <c r="T1167" s="25"/>
      <c r="U1167" s="27"/>
      <c r="X1167" s="47">
        <v>42475</v>
      </c>
      <c r="Y1167" s="48">
        <f t="shared" si="74"/>
        <v>4.1344531852582422</v>
      </c>
      <c r="Z1167" s="49"/>
      <c r="AA1167" s="49"/>
      <c r="AB1167" s="51"/>
      <c r="AE1167" s="47">
        <v>42475</v>
      </c>
      <c r="AF1167" s="48">
        <f t="shared" si="75"/>
        <v>3.0526139566887323</v>
      </c>
      <c r="AG1167" s="49"/>
      <c r="AH1167" s="49"/>
      <c r="AI1167" s="51"/>
    </row>
    <row r="1168" spans="1:35" x14ac:dyDescent="0.3">
      <c r="A1168" s="20">
        <v>42472</v>
      </c>
      <c r="C1168">
        <f>-(Historical_Simulation!B1169-Historical_Simulation!B1170)</f>
        <v>-0.35500000000000043</v>
      </c>
      <c r="E1168">
        <f>-(Historical_Simulation!C1169-Historical_Simulation!C1170)</f>
        <v>-7.2400000000000091</v>
      </c>
      <c r="G1168">
        <f>-(Historical_Simulation!D1169-Historical_Simulation!D1170)</f>
        <v>-1.6200000000000045</v>
      </c>
      <c r="J1168" s="23">
        <v>42474</v>
      </c>
      <c r="K1168" s="24">
        <f t="shared" si="72"/>
        <v>-3.2055785101667498</v>
      </c>
      <c r="L1168" s="25"/>
      <c r="M1168" s="25"/>
      <c r="N1168" s="27"/>
      <c r="Q1168" s="23">
        <v>42474</v>
      </c>
      <c r="R1168" s="24">
        <f t="shared" si="73"/>
        <v>-2.2020311737724891</v>
      </c>
      <c r="S1168" s="25"/>
      <c r="T1168" s="25"/>
      <c r="U1168" s="27"/>
      <c r="X1168" s="47">
        <v>42474</v>
      </c>
      <c r="Y1168" s="48">
        <f t="shared" si="74"/>
        <v>-1.7799651033040691</v>
      </c>
      <c r="Z1168" s="49"/>
      <c r="AA1168" s="49"/>
      <c r="AB1168" s="51"/>
      <c r="AE1168" s="47">
        <v>42474</v>
      </c>
      <c r="AF1168" s="48">
        <f t="shared" si="75"/>
        <v>-1.2454092491873701</v>
      </c>
      <c r="AG1168" s="49"/>
      <c r="AH1168" s="49"/>
      <c r="AI1168" s="51"/>
    </row>
    <row r="1169" spans="1:35" x14ac:dyDescent="0.3">
      <c r="A1169" s="20">
        <v>42471</v>
      </c>
      <c r="C1169">
        <f>-(Historical_Simulation!B1170-Historical_Simulation!B1171)</f>
        <v>-8.9999999999999858E-2</v>
      </c>
      <c r="E1169">
        <f>-(Historical_Simulation!C1170-Historical_Simulation!C1171)</f>
        <v>-1.3297999999999774</v>
      </c>
      <c r="G1169">
        <f>-(Historical_Simulation!D1170-Historical_Simulation!D1171)</f>
        <v>1.6400000000000006</v>
      </c>
      <c r="J1169" s="23">
        <v>42473</v>
      </c>
      <c r="K1169" s="24">
        <f t="shared" si="72"/>
        <v>-6.4685127990461835</v>
      </c>
      <c r="L1169" s="25"/>
      <c r="M1169" s="25"/>
      <c r="N1169" s="27"/>
      <c r="Q1169" s="23">
        <v>42473</v>
      </c>
      <c r="R1169" s="24">
        <f t="shared" si="73"/>
        <v>-4.5597555514337476</v>
      </c>
      <c r="S1169" s="25"/>
      <c r="T1169" s="25"/>
      <c r="U1169" s="27"/>
      <c r="X1169" s="47">
        <v>42473</v>
      </c>
      <c r="Y1169" s="48">
        <f t="shared" si="74"/>
        <v>2.4015319100064301</v>
      </c>
      <c r="Z1169" s="49"/>
      <c r="AA1169" s="49"/>
      <c r="AB1169" s="51"/>
      <c r="AE1169" s="47">
        <v>42473</v>
      </c>
      <c r="AF1169" s="48">
        <f t="shared" si="75"/>
        <v>1.5530305542656475</v>
      </c>
      <c r="AG1169" s="49"/>
      <c r="AH1169" s="49"/>
      <c r="AI1169" s="51"/>
    </row>
    <row r="1170" spans="1:35" x14ac:dyDescent="0.3">
      <c r="A1170" s="20">
        <v>42468</v>
      </c>
      <c r="C1170">
        <f>-(Historical_Simulation!B1171-Historical_Simulation!B1172)</f>
        <v>-2.9999999999997584E-2</v>
      </c>
      <c r="E1170">
        <f>-(Historical_Simulation!C1171-Historical_Simulation!C1172)</f>
        <v>-3.1702000000000226</v>
      </c>
      <c r="G1170">
        <f>-(Historical_Simulation!D1171-Historical_Simulation!D1172)</f>
        <v>3.0100000000000051</v>
      </c>
      <c r="J1170" s="23">
        <v>42472</v>
      </c>
      <c r="K1170" s="24">
        <f t="shared" si="72"/>
        <v>-4.0688638087707663</v>
      </c>
      <c r="L1170" s="25"/>
      <c r="M1170" s="25"/>
      <c r="N1170" s="27"/>
      <c r="Q1170" s="23">
        <v>42472</v>
      </c>
      <c r="R1170" s="24">
        <f t="shared" si="73"/>
        <v>-2.9007251401416227</v>
      </c>
      <c r="S1170" s="25"/>
      <c r="T1170" s="25"/>
      <c r="U1170" s="27"/>
      <c r="X1170" s="47">
        <v>42472</v>
      </c>
      <c r="Y1170" s="48">
        <f t="shared" si="74"/>
        <v>-7.442875732316347</v>
      </c>
      <c r="Z1170" s="49"/>
      <c r="AA1170" s="49"/>
      <c r="AB1170" s="51"/>
      <c r="AE1170" s="47">
        <v>42472</v>
      </c>
      <c r="AF1170" s="48">
        <f t="shared" si="75"/>
        <v>-5.2961673022921456</v>
      </c>
      <c r="AG1170" s="49"/>
      <c r="AH1170" s="49"/>
      <c r="AI1170" s="51"/>
    </row>
    <row r="1171" spans="1:35" x14ac:dyDescent="0.3">
      <c r="A1171" s="20">
        <v>42467</v>
      </c>
      <c r="C1171">
        <f>-(Historical_Simulation!B1172-Historical_Simulation!B1173)</f>
        <v>0.60499999999999687</v>
      </c>
      <c r="E1171">
        <f>-(Historical_Simulation!C1172-Historical_Simulation!C1173)</f>
        <v>10.650200000000041</v>
      </c>
      <c r="G1171">
        <f>-(Historical_Simulation!D1172-Historical_Simulation!D1173)</f>
        <v>6.9999999999993179E-2</v>
      </c>
      <c r="J1171" s="23">
        <v>42471</v>
      </c>
      <c r="K1171" s="24">
        <f t="shared" si="72"/>
        <v>-0.75876519246389329</v>
      </c>
      <c r="L1171" s="25"/>
      <c r="M1171" s="25"/>
      <c r="N1171" s="27"/>
      <c r="Q1171" s="23">
        <v>42471</v>
      </c>
      <c r="R1171" s="24">
        <f t="shared" si="73"/>
        <v>-0.54841539996332922</v>
      </c>
      <c r="S1171" s="25"/>
      <c r="T1171" s="25"/>
      <c r="U1171" s="27"/>
      <c r="X1171" s="47">
        <v>42471</v>
      </c>
      <c r="Y1171" s="48">
        <f t="shared" si="74"/>
        <v>9.6033004086223279</v>
      </c>
      <c r="Z1171" s="49"/>
      <c r="AA1171" s="49"/>
      <c r="AB1171" s="51"/>
      <c r="AE1171" s="47">
        <v>42471</v>
      </c>
      <c r="AF1171" s="48">
        <f t="shared" si="75"/>
        <v>6.667485717759198</v>
      </c>
      <c r="AG1171" s="49"/>
      <c r="AH1171" s="49"/>
      <c r="AI1171" s="51"/>
    </row>
    <row r="1172" spans="1:35" x14ac:dyDescent="0.3">
      <c r="A1172" s="20">
        <v>42466</v>
      </c>
      <c r="C1172">
        <f>-(Historical_Simulation!B1173-Historical_Simulation!B1174)</f>
        <v>-0.28749999999999787</v>
      </c>
      <c r="E1172">
        <f>-(Historical_Simulation!C1173-Historical_Simulation!C1174)</f>
        <v>-15.940200000000004</v>
      </c>
      <c r="G1172">
        <f>-(Historical_Simulation!D1173-Historical_Simulation!D1174)</f>
        <v>-1.4899999999999949</v>
      </c>
      <c r="J1172" s="23">
        <v>42468</v>
      </c>
      <c r="K1172" s="24">
        <f t="shared" si="72"/>
        <v>-1.7238671216124939</v>
      </c>
      <c r="L1172" s="25"/>
      <c r="M1172" s="25"/>
      <c r="N1172" s="27"/>
      <c r="Q1172" s="23">
        <v>42468</v>
      </c>
      <c r="R1172" s="24">
        <f t="shared" si="73"/>
        <v>-1.1910873035690281</v>
      </c>
      <c r="S1172" s="25"/>
      <c r="T1172" s="25"/>
      <c r="U1172" s="27"/>
      <c r="X1172" s="47">
        <v>42468</v>
      </c>
      <c r="Y1172" s="48">
        <f t="shared" si="74"/>
        <v>17.003314012839247</v>
      </c>
      <c r="Z1172" s="49"/>
      <c r="AA1172" s="49"/>
      <c r="AB1172" s="51"/>
      <c r="AE1172" s="47">
        <v>42468</v>
      </c>
      <c r="AF1172" s="48">
        <f t="shared" si="75"/>
        <v>11.844425769935247</v>
      </c>
      <c r="AG1172" s="49"/>
      <c r="AH1172" s="49"/>
      <c r="AI1172" s="51"/>
    </row>
    <row r="1173" spans="1:35" x14ac:dyDescent="0.3">
      <c r="A1173" s="20">
        <v>42465</v>
      </c>
      <c r="C1173">
        <f>-(Historical_Simulation!B1174-Historical_Simulation!B1175)</f>
        <v>0.32750000000000057</v>
      </c>
      <c r="E1173">
        <f>-(Historical_Simulation!C1174-Historical_Simulation!C1175)</f>
        <v>7.0499999999999545</v>
      </c>
      <c r="G1173">
        <f>-(Historical_Simulation!D1174-Historical_Simulation!D1175)</f>
        <v>0.32999999999999829</v>
      </c>
      <c r="J1173" s="23">
        <v>42467</v>
      </c>
      <c r="K1173" s="24">
        <f t="shared" si="72"/>
        <v>6.0235192057900049</v>
      </c>
      <c r="L1173" s="25"/>
      <c r="M1173" s="25"/>
      <c r="N1173" s="27"/>
      <c r="Q1173" s="23">
        <v>42467</v>
      </c>
      <c r="R1173" s="24">
        <f t="shared" si="73"/>
        <v>4.3192074332245003</v>
      </c>
      <c r="S1173" s="25"/>
      <c r="T1173" s="25"/>
      <c r="U1173" s="27"/>
      <c r="X1173" s="47">
        <v>42467</v>
      </c>
      <c r="Y1173" s="48">
        <f t="shared" si="74"/>
        <v>-2.3926391437069277</v>
      </c>
      <c r="Z1173" s="49"/>
      <c r="AA1173" s="49"/>
      <c r="AB1173" s="51"/>
      <c r="AE1173" s="47">
        <v>42467</v>
      </c>
      <c r="AF1173" s="48">
        <f t="shared" si="75"/>
        <v>-1.4847426930642778</v>
      </c>
      <c r="AG1173" s="49"/>
      <c r="AH1173" s="49"/>
      <c r="AI1173" s="51"/>
    </row>
    <row r="1174" spans="1:35" x14ac:dyDescent="0.3">
      <c r="A1174" s="20">
        <v>42464</v>
      </c>
      <c r="C1174">
        <f>-(Historical_Simulation!B1175-Historical_Simulation!B1176)</f>
        <v>-0.28250000000000242</v>
      </c>
      <c r="E1174">
        <f>-(Historical_Simulation!C1175-Historical_Simulation!C1176)</f>
        <v>5.310100000000034</v>
      </c>
      <c r="G1174">
        <f>-(Historical_Simulation!D1175-Historical_Simulation!D1176)</f>
        <v>3.5100000000000051</v>
      </c>
      <c r="J1174" s="23">
        <v>42466</v>
      </c>
      <c r="K1174" s="24">
        <f t="shared" si="72"/>
        <v>-8.7307819229551331</v>
      </c>
      <c r="L1174" s="25"/>
      <c r="M1174" s="25"/>
      <c r="N1174" s="27"/>
      <c r="Q1174" s="23">
        <v>42466</v>
      </c>
      <c r="R1174" s="24">
        <f t="shared" si="73"/>
        <v>-6.0750776181691686</v>
      </c>
      <c r="S1174" s="25"/>
      <c r="T1174" s="25"/>
      <c r="U1174" s="27"/>
      <c r="X1174" s="47">
        <v>42466</v>
      </c>
      <c r="Y1174" s="48">
        <f t="shared" si="74"/>
        <v>-7.0251842435654979</v>
      </c>
      <c r="Z1174" s="49"/>
      <c r="AA1174" s="49"/>
      <c r="AB1174" s="51"/>
      <c r="AE1174" s="47">
        <v>42466</v>
      </c>
      <c r="AF1174" s="48">
        <f t="shared" si="75"/>
        <v>-4.9845384830089072</v>
      </c>
      <c r="AG1174" s="49"/>
      <c r="AH1174" s="49"/>
      <c r="AI1174" s="51"/>
    </row>
    <row r="1175" spans="1:35" x14ac:dyDescent="0.3">
      <c r="A1175" s="20">
        <v>42461</v>
      </c>
      <c r="C1175">
        <f>-(Historical_Simulation!B1176-Historical_Simulation!B1177)</f>
        <v>-0.25</v>
      </c>
      <c r="E1175">
        <f>-(Historical_Simulation!C1176-Historical_Simulation!C1177)</f>
        <v>-4.8600999999999885</v>
      </c>
      <c r="G1175">
        <f>-(Historical_Simulation!D1176-Historical_Simulation!D1177)</f>
        <v>-1.960000000000008</v>
      </c>
      <c r="J1175" s="23">
        <v>42465</v>
      </c>
      <c r="K1175" s="24">
        <f t="shared" si="72"/>
        <v>3.9537090710909619</v>
      </c>
      <c r="L1175" s="25"/>
      <c r="M1175" s="25"/>
      <c r="N1175" s="27"/>
      <c r="Q1175" s="23">
        <v>42465</v>
      </c>
      <c r="R1175" s="24">
        <f t="shared" si="73"/>
        <v>2.8131408503416009</v>
      </c>
      <c r="S1175" s="25"/>
      <c r="T1175" s="25"/>
      <c r="U1175" s="27"/>
      <c r="X1175" s="47">
        <v>42465</v>
      </c>
      <c r="Y1175" s="48">
        <f t="shared" si="74"/>
        <v>0.34150765955002016</v>
      </c>
      <c r="Z1175" s="49"/>
      <c r="AA1175" s="49"/>
      <c r="AB1175" s="51"/>
      <c r="AE1175" s="47">
        <v>42465</v>
      </c>
      <c r="AF1175" s="48">
        <f t="shared" si="75"/>
        <v>0.33726515277132008</v>
      </c>
      <c r="AG1175" s="49"/>
      <c r="AH1175" s="49"/>
      <c r="AI1175" s="51"/>
    </row>
    <row r="1176" spans="1:35" x14ac:dyDescent="0.3">
      <c r="A1176" s="20">
        <v>42460</v>
      </c>
      <c r="C1176">
        <f>-(Historical_Simulation!B1177-Historical_Simulation!B1178)</f>
        <v>0.14250000000000185</v>
      </c>
      <c r="E1176">
        <f>-(Historical_Simulation!C1177-Historical_Simulation!C1178)</f>
        <v>5.0499999999999545</v>
      </c>
      <c r="G1176">
        <f>-(Historical_Simulation!D1177-Historical_Simulation!D1178)</f>
        <v>0.60000000000000853</v>
      </c>
      <c r="J1176" s="23">
        <v>42464</v>
      </c>
      <c r="K1176" s="24">
        <f t="shared" si="72"/>
        <v>2.7342254519871427</v>
      </c>
      <c r="L1176" s="25"/>
      <c r="M1176" s="25"/>
      <c r="N1176" s="27"/>
      <c r="Q1176" s="23">
        <v>42464</v>
      </c>
      <c r="R1176" s="24">
        <f t="shared" si="73"/>
        <v>1.7853609177568766</v>
      </c>
      <c r="S1176" s="25"/>
      <c r="T1176" s="25"/>
      <c r="U1176" s="27"/>
      <c r="X1176" s="47">
        <v>42464</v>
      </c>
      <c r="Y1176" s="48">
        <f t="shared" si="74"/>
        <v>20.967119537398979</v>
      </c>
      <c r="Z1176" s="49"/>
      <c r="AA1176" s="49"/>
      <c r="AB1176" s="51"/>
      <c r="AE1176" s="47">
        <v>42464</v>
      </c>
      <c r="AF1176" s="48">
        <f t="shared" si="75"/>
        <v>14.531236754105086</v>
      </c>
      <c r="AG1176" s="49"/>
      <c r="AH1176" s="49"/>
      <c r="AI1176" s="51"/>
    </row>
    <row r="1177" spans="1:35" x14ac:dyDescent="0.3">
      <c r="A1177" s="20">
        <v>42459</v>
      </c>
      <c r="C1177">
        <f>-(Historical_Simulation!B1178-Historical_Simulation!B1179)</f>
        <v>-0.46999999999999886</v>
      </c>
      <c r="E1177">
        <f>-(Historical_Simulation!C1178-Historical_Simulation!C1179)</f>
        <v>-4.8297999999999774</v>
      </c>
      <c r="G1177">
        <f>-(Historical_Simulation!D1178-Historical_Simulation!D1179)</f>
        <v>1.4399999999999977</v>
      </c>
      <c r="J1177" s="23">
        <v>42461</v>
      </c>
      <c r="K1177" s="24">
        <f t="shared" si="72"/>
        <v>-2.7367514226309426</v>
      </c>
      <c r="L1177" s="25"/>
      <c r="M1177" s="25"/>
      <c r="N1177" s="27"/>
      <c r="Q1177" s="23">
        <v>42461</v>
      </c>
      <c r="R1177" s="24">
        <f t="shared" si="73"/>
        <v>-1.9545820578891577</v>
      </c>
      <c r="S1177" s="25"/>
      <c r="T1177" s="25"/>
      <c r="U1177" s="27"/>
      <c r="X1177" s="47">
        <v>42461</v>
      </c>
      <c r="Y1177" s="48">
        <f t="shared" si="74"/>
        <v>-9.8312391322221107</v>
      </c>
      <c r="Z1177" s="49"/>
      <c r="AA1177" s="49"/>
      <c r="AB1177" s="51"/>
      <c r="AE1177" s="47">
        <v>42461</v>
      </c>
      <c r="AF1177" s="48">
        <f t="shared" si="75"/>
        <v>-6.9293644955886009</v>
      </c>
      <c r="AG1177" s="49"/>
      <c r="AH1177" s="49"/>
      <c r="AI1177" s="51"/>
    </row>
    <row r="1178" spans="1:35" x14ac:dyDescent="0.3">
      <c r="A1178" s="20">
        <v>42458</v>
      </c>
      <c r="C1178">
        <f>-(Historical_Simulation!B1179-Historical_Simulation!B1180)</f>
        <v>-0.62250000000000227</v>
      </c>
      <c r="E1178">
        <f>-(Historical_Simulation!C1179-Historical_Simulation!C1180)</f>
        <v>-13.990000000000009</v>
      </c>
      <c r="G1178">
        <f>-(Historical_Simulation!D1179-Historical_Simulation!D1180)</f>
        <v>-2.4500000000000028</v>
      </c>
      <c r="J1178" s="23">
        <v>42460</v>
      </c>
      <c r="K1178" s="24">
        <f t="shared" si="72"/>
        <v>2.7896730779291712</v>
      </c>
      <c r="L1178" s="25"/>
      <c r="M1178" s="25"/>
      <c r="N1178" s="27"/>
      <c r="Q1178" s="23">
        <v>42460</v>
      </c>
      <c r="R1178" s="24">
        <f t="shared" si="73"/>
        <v>1.957045551960042</v>
      </c>
      <c r="S1178" s="25"/>
      <c r="T1178" s="25"/>
      <c r="U1178" s="27"/>
      <c r="X1178" s="47">
        <v>42460</v>
      </c>
      <c r="Y1178" s="48">
        <f t="shared" si="74"/>
        <v>2.7059016976559431</v>
      </c>
      <c r="Z1178" s="49"/>
      <c r="AA1178" s="49"/>
      <c r="AB1178" s="51"/>
      <c r="AE1178" s="47">
        <v>42460</v>
      </c>
      <c r="AF1178" s="48">
        <f t="shared" si="75"/>
        <v>1.9295229571531103</v>
      </c>
      <c r="AG1178" s="49"/>
      <c r="AH1178" s="49"/>
      <c r="AI1178" s="51"/>
    </row>
    <row r="1179" spans="1:35" x14ac:dyDescent="0.3">
      <c r="A1179" s="20">
        <v>42457</v>
      </c>
      <c r="C1179">
        <f>-(Historical_Simulation!B1180-Historical_Simulation!B1181)</f>
        <v>0.12000000000000099</v>
      </c>
      <c r="E1179">
        <f>-(Historical_Simulation!C1180-Historical_Simulation!C1181)</f>
        <v>3.079900000000066</v>
      </c>
      <c r="G1179">
        <f>-(Historical_Simulation!D1180-Historical_Simulation!D1181)</f>
        <v>-0.64000000000000057</v>
      </c>
      <c r="J1179" s="23">
        <v>42459</v>
      </c>
      <c r="K1179" s="24">
        <f t="shared" si="72"/>
        <v>-2.8217361559155667</v>
      </c>
      <c r="L1179" s="25"/>
      <c r="M1179" s="25"/>
      <c r="N1179" s="27"/>
      <c r="Q1179" s="23">
        <v>42459</v>
      </c>
      <c r="R1179" s="24">
        <f t="shared" si="73"/>
        <v>-2.082033764123365</v>
      </c>
      <c r="S1179" s="25"/>
      <c r="T1179" s="25"/>
      <c r="U1179" s="27"/>
      <c r="X1179" s="47">
        <v>42459</v>
      </c>
      <c r="Y1179" s="48">
        <f t="shared" si="74"/>
        <v>10.231851896224629</v>
      </c>
      <c r="Z1179" s="49"/>
      <c r="AA1179" s="49"/>
      <c r="AB1179" s="51"/>
      <c r="AE1179" s="47">
        <v>42459</v>
      </c>
      <c r="AF1179" s="48">
        <f t="shared" si="75"/>
        <v>6.9905767172948234</v>
      </c>
      <c r="AG1179" s="49"/>
      <c r="AH1179" s="49"/>
      <c r="AI1179" s="51"/>
    </row>
    <row r="1180" spans="1:35" x14ac:dyDescent="0.3">
      <c r="A1180" s="20">
        <v>42454</v>
      </c>
      <c r="C1180">
        <f>-(Historical_Simulation!B1181-Historical_Simulation!B1182)</f>
        <v>0</v>
      </c>
      <c r="E1180">
        <f>-(Historical_Simulation!C1181-Historical_Simulation!C1182)</f>
        <v>0</v>
      </c>
      <c r="G1180">
        <f>-(Historical_Simulation!D1181-Historical_Simulation!D1182)</f>
        <v>0</v>
      </c>
      <c r="J1180" s="23">
        <v>42458</v>
      </c>
      <c r="K1180" s="24">
        <f t="shared" si="72"/>
        <v>-7.8331135749808558</v>
      </c>
      <c r="L1180" s="25"/>
      <c r="M1180" s="25"/>
      <c r="N1180" s="27"/>
      <c r="Q1180" s="23">
        <v>42458</v>
      </c>
      <c r="R1180" s="24">
        <f t="shared" si="73"/>
        <v>-5.5651261163170851</v>
      </c>
      <c r="S1180" s="25"/>
      <c r="T1180" s="25"/>
      <c r="U1180" s="27"/>
      <c r="X1180" s="47">
        <v>42458</v>
      </c>
      <c r="Y1180" s="48">
        <f t="shared" si="74"/>
        <v>-10.862099131073588</v>
      </c>
      <c r="Z1180" s="49"/>
      <c r="AA1180" s="49"/>
      <c r="AB1180" s="51"/>
      <c r="AE1180" s="47">
        <v>42458</v>
      </c>
      <c r="AF1180" s="48">
        <f t="shared" si="75"/>
        <v>-7.7608266758410043</v>
      </c>
      <c r="AG1180" s="49"/>
      <c r="AH1180" s="49"/>
      <c r="AI1180" s="51"/>
    </row>
    <row r="1181" spans="1:35" x14ac:dyDescent="0.3">
      <c r="A1181" s="20">
        <v>42453</v>
      </c>
      <c r="C1181">
        <f>-(Historical_Simulation!B1182-Historical_Simulation!B1183)</f>
        <v>0.11499999999999844</v>
      </c>
      <c r="E1181">
        <f>-(Historical_Simulation!C1182-Historical_Simulation!C1183)</f>
        <v>-13.320100000000025</v>
      </c>
      <c r="G1181">
        <f>-(Historical_Simulation!D1182-Historical_Simulation!D1183)</f>
        <v>-0.50999999999999091</v>
      </c>
      <c r="J1181" s="23">
        <v>42457</v>
      </c>
      <c r="K1181" s="24">
        <f t="shared" si="72"/>
        <v>1.7166108188207443</v>
      </c>
      <c r="L1181" s="25"/>
      <c r="M1181" s="25"/>
      <c r="N1181" s="27"/>
      <c r="Q1181" s="23">
        <v>42457</v>
      </c>
      <c r="R1181" s="24">
        <f t="shared" si="73"/>
        <v>1.2144214731017211</v>
      </c>
      <c r="S1181" s="25"/>
      <c r="T1181" s="25"/>
      <c r="U1181" s="27"/>
      <c r="X1181" s="47">
        <v>42457</v>
      </c>
      <c r="Y1181" s="48">
        <f t="shared" si="74"/>
        <v>-4.1383285032098147</v>
      </c>
      <c r="Z1181" s="49"/>
      <c r="AA1181" s="49"/>
      <c r="AB1181" s="51"/>
      <c r="AE1181" s="47">
        <v>42457</v>
      </c>
      <c r="AF1181" s="48">
        <f t="shared" si="75"/>
        <v>-2.8486064424838138</v>
      </c>
      <c r="AG1181" s="49"/>
      <c r="AH1181" s="49"/>
      <c r="AI1181" s="51"/>
    </row>
    <row r="1182" spans="1:35" x14ac:dyDescent="0.3">
      <c r="A1182" s="20">
        <v>42452</v>
      </c>
      <c r="C1182">
        <f>-(Historical_Simulation!B1183-Historical_Simulation!B1184)</f>
        <v>0.14750000000000085</v>
      </c>
      <c r="E1182">
        <f>-(Historical_Simulation!C1183-Historical_Simulation!C1184)</f>
        <v>-9.1499000000000024</v>
      </c>
      <c r="G1182">
        <f>-(Historical_Simulation!D1183-Historical_Simulation!D1184)</f>
        <v>-0.29000000000000625</v>
      </c>
      <c r="J1182" s="23">
        <v>42454</v>
      </c>
      <c r="K1182" s="24">
        <f t="shared" si="72"/>
        <v>0</v>
      </c>
      <c r="L1182" s="25"/>
      <c r="M1182" s="25"/>
      <c r="N1182" s="27"/>
      <c r="Q1182" s="23">
        <v>42454</v>
      </c>
      <c r="R1182" s="24">
        <f t="shared" si="73"/>
        <v>0</v>
      </c>
      <c r="S1182" s="25"/>
      <c r="T1182" s="25"/>
      <c r="U1182" s="27"/>
      <c r="X1182" s="47">
        <v>42454</v>
      </c>
      <c r="Y1182" s="48">
        <f t="shared" si="74"/>
        <v>0</v>
      </c>
      <c r="Z1182" s="49"/>
      <c r="AA1182" s="49"/>
      <c r="AB1182" s="51"/>
      <c r="AE1182" s="47">
        <v>42454</v>
      </c>
      <c r="AF1182" s="48">
        <f t="shared" si="75"/>
        <v>0</v>
      </c>
      <c r="AG1182" s="49"/>
      <c r="AH1182" s="49"/>
      <c r="AI1182" s="51"/>
    </row>
    <row r="1183" spans="1:35" x14ac:dyDescent="0.3">
      <c r="A1183" s="20">
        <v>42451</v>
      </c>
      <c r="C1183">
        <f>-(Historical_Simulation!B1184-Historical_Simulation!B1185)</f>
        <v>-0.20250000000000057</v>
      </c>
      <c r="E1183">
        <f>-(Historical_Simulation!C1184-Historical_Simulation!C1185)</f>
        <v>-6.5</v>
      </c>
      <c r="G1183">
        <f>-(Historical_Simulation!D1184-Historical_Simulation!D1185)</f>
        <v>-0.40000000000000568</v>
      </c>
      <c r="J1183" s="23">
        <v>42453</v>
      </c>
      <c r="K1183" s="24">
        <f t="shared" si="72"/>
        <v>-7.1320779458556496</v>
      </c>
      <c r="L1183" s="25"/>
      <c r="M1183" s="25"/>
      <c r="N1183" s="27"/>
      <c r="Q1183" s="23">
        <v>42453</v>
      </c>
      <c r="R1183" s="24">
        <f t="shared" si="73"/>
        <v>-4.852621180873891</v>
      </c>
      <c r="S1183" s="25"/>
      <c r="T1183" s="25"/>
      <c r="U1183" s="27"/>
      <c r="X1183" s="47">
        <v>42453</v>
      </c>
      <c r="Y1183" s="48">
        <f t="shared" si="74"/>
        <v>-3.3869148875080071</v>
      </c>
      <c r="Z1183" s="49"/>
      <c r="AA1183" s="49"/>
      <c r="AB1183" s="51"/>
      <c r="AE1183" s="47">
        <v>42453</v>
      </c>
      <c r="AF1183" s="48">
        <f t="shared" si="75"/>
        <v>-2.3262881928320396</v>
      </c>
      <c r="AG1183" s="49"/>
      <c r="AH1183" s="49"/>
      <c r="AI1183" s="51"/>
    </row>
    <row r="1184" spans="1:35" x14ac:dyDescent="0.3">
      <c r="A1184" s="20">
        <v>42450</v>
      </c>
      <c r="C1184">
        <f>-(Historical_Simulation!B1185-Historical_Simulation!B1186)</f>
        <v>2.500000000001279E-3</v>
      </c>
      <c r="E1184">
        <f>-(Historical_Simulation!C1185-Historical_Simulation!C1186)</f>
        <v>-1.8999000000000024</v>
      </c>
      <c r="G1184">
        <f>-(Historical_Simulation!D1185-Historical_Simulation!D1186)</f>
        <v>-0.39999999999999147</v>
      </c>
      <c r="J1184" s="23">
        <v>42452</v>
      </c>
      <c r="K1184" s="24">
        <f t="shared" si="72"/>
        <v>-4.8676455883319214</v>
      </c>
      <c r="L1184" s="25"/>
      <c r="M1184" s="25"/>
      <c r="N1184" s="27"/>
      <c r="Q1184" s="23">
        <v>42452</v>
      </c>
      <c r="R1184" s="24">
        <f t="shared" si="73"/>
        <v>-3.290208775301771</v>
      </c>
      <c r="S1184" s="25"/>
      <c r="T1184" s="25"/>
      <c r="U1184" s="27"/>
      <c r="X1184" s="47">
        <v>42452</v>
      </c>
      <c r="Y1184" s="48">
        <f t="shared" si="74"/>
        <v>-2.3038404212556847</v>
      </c>
      <c r="Z1184" s="49"/>
      <c r="AA1184" s="49"/>
      <c r="AB1184" s="51"/>
      <c r="AE1184" s="47">
        <v>42452</v>
      </c>
      <c r="AF1184" s="48">
        <f t="shared" si="75"/>
        <v>-1.5614017349824825</v>
      </c>
      <c r="AG1184" s="49"/>
      <c r="AH1184" s="49"/>
      <c r="AI1184" s="51"/>
    </row>
    <row r="1185" spans="1:35" x14ac:dyDescent="0.3">
      <c r="A1185" s="20">
        <v>42447</v>
      </c>
      <c r="C1185">
        <f>-(Historical_Simulation!B1186-Historical_Simulation!B1187)</f>
        <v>-3.0000000000001137E-2</v>
      </c>
      <c r="E1185">
        <f>-(Historical_Simulation!C1186-Historical_Simulation!C1187)</f>
        <v>7.3597999999999502</v>
      </c>
      <c r="G1185">
        <f>-(Historical_Simulation!D1186-Historical_Simulation!D1187)</f>
        <v>-0.43000000000000682</v>
      </c>
      <c r="J1185" s="23">
        <v>42451</v>
      </c>
      <c r="K1185" s="24">
        <f t="shared" si="72"/>
        <v>-3.5994582186977295</v>
      </c>
      <c r="L1185" s="25"/>
      <c r="M1185" s="25"/>
      <c r="N1185" s="27"/>
      <c r="Q1185" s="23">
        <v>42451</v>
      </c>
      <c r="R1185" s="24">
        <f t="shared" si="73"/>
        <v>-2.5309973231723824</v>
      </c>
      <c r="S1185" s="25"/>
      <c r="T1185" s="25"/>
      <c r="U1185" s="27"/>
      <c r="X1185" s="47">
        <v>42451</v>
      </c>
      <c r="Y1185" s="48">
        <f t="shared" si="74"/>
        <v>-1.3091051044525781</v>
      </c>
      <c r="Z1185" s="49"/>
      <c r="AA1185" s="49"/>
      <c r="AB1185" s="51"/>
      <c r="AE1185" s="47">
        <v>42451</v>
      </c>
      <c r="AF1185" s="48">
        <f t="shared" si="75"/>
        <v>-0.97394706893495775</v>
      </c>
      <c r="AG1185" s="49"/>
      <c r="AH1185" s="49"/>
      <c r="AI1185" s="51"/>
    </row>
    <row r="1186" spans="1:35" x14ac:dyDescent="0.3">
      <c r="A1186" s="20">
        <v>42446</v>
      </c>
      <c r="C1186">
        <f>-(Historical_Simulation!B1187-Historical_Simulation!B1188)</f>
        <v>4.2500000000000426E-2</v>
      </c>
      <c r="E1186">
        <f>-(Historical_Simulation!C1187-Historical_Simulation!C1188)</f>
        <v>14.830100000000016</v>
      </c>
      <c r="G1186">
        <f>-(Historical_Simulation!D1187-Historical_Simulation!D1188)</f>
        <v>1.1600000000000108</v>
      </c>
      <c r="J1186" s="23">
        <v>42450</v>
      </c>
      <c r="K1186" s="24">
        <f t="shared" si="72"/>
        <v>-1.0236807566892521</v>
      </c>
      <c r="L1186" s="25"/>
      <c r="M1186" s="25"/>
      <c r="N1186" s="27"/>
      <c r="Q1186" s="23">
        <v>42450</v>
      </c>
      <c r="R1186" s="24">
        <f t="shared" si="73"/>
        <v>-0.70091140255706852</v>
      </c>
      <c r="S1186" s="25"/>
      <c r="T1186" s="25"/>
      <c r="U1186" s="27"/>
      <c r="X1186" s="47">
        <v>42450</v>
      </c>
      <c r="Y1186" s="48">
        <f t="shared" si="74"/>
        <v>-2.252733187555152</v>
      </c>
      <c r="Z1186" s="49"/>
      <c r="AA1186" s="49"/>
      <c r="AB1186" s="51"/>
      <c r="AE1186" s="47">
        <v>42450</v>
      </c>
      <c r="AF1186" s="48">
        <f t="shared" si="75"/>
        <v>-1.5696895961838297</v>
      </c>
      <c r="AG1186" s="49"/>
      <c r="AH1186" s="49"/>
      <c r="AI1186" s="51"/>
    </row>
    <row r="1187" spans="1:35" x14ac:dyDescent="0.3">
      <c r="A1187" s="20">
        <v>42445</v>
      </c>
      <c r="C1187">
        <f>-(Historical_Simulation!B1188-Historical_Simulation!B1189)</f>
        <v>-0.34750000000000014</v>
      </c>
      <c r="E1187">
        <f>-(Historical_Simulation!C1188-Historical_Simulation!C1189)</f>
        <v>2.75</v>
      </c>
      <c r="G1187">
        <f>-(Historical_Simulation!D1188-Historical_Simulation!D1189)</f>
        <v>-1.5100000000000051</v>
      </c>
      <c r="J1187" s="23">
        <v>42447</v>
      </c>
      <c r="K1187" s="24">
        <f t="shared" si="72"/>
        <v>3.9561598800368891</v>
      </c>
      <c r="L1187" s="25"/>
      <c r="M1187" s="25"/>
      <c r="N1187" s="27"/>
      <c r="Q1187" s="23">
        <v>42447</v>
      </c>
      <c r="R1187" s="24">
        <f t="shared" si="73"/>
        <v>2.7023746754710829</v>
      </c>
      <c r="S1187" s="25"/>
      <c r="T1187" s="25"/>
      <c r="U1187" s="27"/>
      <c r="X1187" s="47">
        <v>42447</v>
      </c>
      <c r="Y1187" s="48">
        <f t="shared" si="74"/>
        <v>-2.2712255280051945</v>
      </c>
      <c r="Z1187" s="49"/>
      <c r="AA1187" s="49"/>
      <c r="AB1187" s="51"/>
      <c r="AE1187" s="47">
        <v>42447</v>
      </c>
      <c r="AF1187" s="48">
        <f t="shared" si="75"/>
        <v>-1.5924244434125543</v>
      </c>
      <c r="AG1187" s="49"/>
      <c r="AH1187" s="49"/>
      <c r="AI1187" s="51"/>
    </row>
    <row r="1188" spans="1:35" x14ac:dyDescent="0.3">
      <c r="A1188" s="20">
        <v>42444</v>
      </c>
      <c r="C1188">
        <f>-(Historical_Simulation!B1189-Historical_Simulation!B1190)</f>
        <v>-0.51500000000000057</v>
      </c>
      <c r="E1188">
        <f>-(Historical_Simulation!C1189-Historical_Simulation!C1190)</f>
        <v>-3.6499000000000024</v>
      </c>
      <c r="G1188">
        <f>-(Historical_Simulation!D1189-Historical_Simulation!D1190)</f>
        <v>-0.78000000000000114</v>
      </c>
      <c r="J1188" s="23">
        <v>42446</v>
      </c>
      <c r="K1188" s="24">
        <f t="shared" si="72"/>
        <v>8.0191350702365387</v>
      </c>
      <c r="L1188" s="25"/>
      <c r="M1188" s="25"/>
      <c r="N1188" s="27"/>
      <c r="Q1188" s="23">
        <v>42446</v>
      </c>
      <c r="R1188" s="24">
        <f t="shared" si="73"/>
        <v>5.5102073467477481</v>
      </c>
      <c r="S1188" s="25"/>
      <c r="T1188" s="25"/>
      <c r="U1188" s="27"/>
      <c r="X1188" s="47">
        <v>42446</v>
      </c>
      <c r="Y1188" s="48">
        <f t="shared" si="74"/>
        <v>6.3039238188644795</v>
      </c>
      <c r="Z1188" s="49"/>
      <c r="AA1188" s="49"/>
      <c r="AB1188" s="51"/>
      <c r="AE1188" s="47">
        <v>42446</v>
      </c>
      <c r="AF1188" s="48">
        <f t="shared" si="75"/>
        <v>4.407523288783799</v>
      </c>
      <c r="AG1188" s="49"/>
      <c r="AH1188" s="49"/>
      <c r="AI1188" s="51"/>
    </row>
    <row r="1189" spans="1:35" x14ac:dyDescent="0.3">
      <c r="A1189" s="20">
        <v>42443</v>
      </c>
      <c r="C1189">
        <f>-(Historical_Simulation!B1190-Historical_Simulation!B1191)</f>
        <v>-6.4999999999997726E-2</v>
      </c>
      <c r="E1189">
        <f>-(Historical_Simulation!C1190-Historical_Simulation!C1191)</f>
        <v>-3.7599999999999909</v>
      </c>
      <c r="G1189">
        <f>-(Historical_Simulation!D1190-Historical_Simulation!D1191)</f>
        <v>-0.48000000000000398</v>
      </c>
      <c r="J1189" s="23">
        <v>42445</v>
      </c>
      <c r="K1189" s="24">
        <f t="shared" si="72"/>
        <v>1.3233341536190897</v>
      </c>
      <c r="L1189" s="25"/>
      <c r="M1189" s="25"/>
      <c r="N1189" s="27"/>
      <c r="Q1189" s="23">
        <v>42445</v>
      </c>
      <c r="R1189" s="24">
        <f t="shared" si="73"/>
        <v>0.79779900095695921</v>
      </c>
      <c r="S1189" s="25"/>
      <c r="T1189" s="25"/>
      <c r="U1189" s="27"/>
      <c r="X1189" s="47">
        <v>42445</v>
      </c>
      <c r="Y1189" s="48">
        <f t="shared" si="74"/>
        <v>-6.8610616907650304</v>
      </c>
      <c r="Z1189" s="49"/>
      <c r="AA1189" s="49"/>
      <c r="AB1189" s="51"/>
      <c r="AE1189" s="47">
        <v>42445</v>
      </c>
      <c r="AF1189" s="48">
        <f t="shared" si="75"/>
        <v>-4.8882960386676881</v>
      </c>
      <c r="AG1189" s="49"/>
      <c r="AH1189" s="49"/>
      <c r="AI1189" s="51"/>
    </row>
    <row r="1190" spans="1:35" x14ac:dyDescent="0.3">
      <c r="A1190" s="20">
        <v>42440</v>
      </c>
      <c r="C1190">
        <f>-(Historical_Simulation!B1191-Historical_Simulation!B1192)</f>
        <v>-0.27250000000000085</v>
      </c>
      <c r="E1190">
        <f>-(Historical_Simulation!C1191-Historical_Simulation!C1192)</f>
        <v>-10.680200000000013</v>
      </c>
      <c r="G1190">
        <f>-(Historical_Simulation!D1191-Historical_Simulation!D1192)</f>
        <v>-2.0900000000000034</v>
      </c>
      <c r="J1190" s="23">
        <v>42444</v>
      </c>
      <c r="K1190" s="24">
        <f t="shared" si="72"/>
        <v>-2.2060082286296976</v>
      </c>
      <c r="L1190" s="25"/>
      <c r="M1190" s="25"/>
      <c r="N1190" s="27"/>
      <c r="Q1190" s="23">
        <v>42444</v>
      </c>
      <c r="R1190" s="24">
        <f t="shared" si="73"/>
        <v>-1.6741276313478535</v>
      </c>
      <c r="S1190" s="25"/>
      <c r="T1190" s="25"/>
      <c r="U1190" s="27"/>
      <c r="X1190" s="47">
        <v>42444</v>
      </c>
      <c r="Y1190" s="48">
        <f t="shared" si="74"/>
        <v>-1.9998119123034237</v>
      </c>
      <c r="Z1190" s="49"/>
      <c r="AA1190" s="49"/>
      <c r="AB1190" s="51"/>
      <c r="AE1190" s="47">
        <v>42444</v>
      </c>
      <c r="AF1190" s="48">
        <f t="shared" si="75"/>
        <v>-1.5501061937608045</v>
      </c>
      <c r="AG1190" s="49"/>
      <c r="AH1190" s="49"/>
      <c r="AI1190" s="51"/>
    </row>
    <row r="1191" spans="1:35" x14ac:dyDescent="0.3">
      <c r="A1191" s="20">
        <v>42439</v>
      </c>
      <c r="C1191">
        <f>-(Historical_Simulation!B1192-Historical_Simulation!B1193)</f>
        <v>-1.2499999999999289E-2</v>
      </c>
      <c r="E1191">
        <f>-(Historical_Simulation!C1192-Historical_Simulation!C1193)</f>
        <v>0.5401000000000522</v>
      </c>
      <c r="G1191">
        <f>-(Historical_Simulation!D1192-Historical_Simulation!D1193)</f>
        <v>0.19000000000001194</v>
      </c>
      <c r="J1191" s="23">
        <v>42443</v>
      </c>
      <c r="K1191" s="24">
        <f t="shared" si="72"/>
        <v>-2.0581338813954857</v>
      </c>
      <c r="L1191" s="25"/>
      <c r="M1191" s="25"/>
      <c r="N1191" s="27"/>
      <c r="Q1191" s="23">
        <v>42443</v>
      </c>
      <c r="R1191" s="24">
        <f t="shared" si="73"/>
        <v>-1.4312243126831155</v>
      </c>
      <c r="S1191" s="25"/>
      <c r="T1191" s="25"/>
      <c r="U1191" s="27"/>
      <c r="X1191" s="47">
        <v>42443</v>
      </c>
      <c r="Y1191" s="48">
        <f t="shared" si="74"/>
        <v>-2.3902714853053881</v>
      </c>
      <c r="Z1191" s="49"/>
      <c r="AA1191" s="49"/>
      <c r="AB1191" s="51"/>
      <c r="AE1191" s="47">
        <v>42443</v>
      </c>
      <c r="AF1191" s="48">
        <f t="shared" si="75"/>
        <v>-1.686015360040523</v>
      </c>
      <c r="AG1191" s="49"/>
      <c r="AH1191" s="49"/>
      <c r="AI1191" s="51"/>
    </row>
    <row r="1192" spans="1:35" x14ac:dyDescent="0.3">
      <c r="A1192" s="20">
        <v>42438</v>
      </c>
      <c r="C1192">
        <f>-(Historical_Simulation!B1193-Historical_Simulation!B1194)</f>
        <v>-2.2500000000000853E-2</v>
      </c>
      <c r="E1192">
        <f>-(Historical_Simulation!C1193-Historical_Simulation!C1194)</f>
        <v>0.78999999999996362</v>
      </c>
      <c r="G1192">
        <f>-(Historical_Simulation!D1193-Historical_Simulation!D1194)</f>
        <v>-1.5799999999999983</v>
      </c>
      <c r="J1192" s="23">
        <v>42440</v>
      </c>
      <c r="K1192" s="24">
        <f t="shared" si="72"/>
        <v>-5.8865566975371824</v>
      </c>
      <c r="L1192" s="25"/>
      <c r="M1192" s="25"/>
      <c r="N1192" s="27"/>
      <c r="Q1192" s="23">
        <v>42440</v>
      </c>
      <c r="R1192" s="24">
        <f t="shared" si="73"/>
        <v>-4.1207416181629579</v>
      </c>
      <c r="S1192" s="25"/>
      <c r="T1192" s="25"/>
      <c r="U1192" s="27"/>
      <c r="X1192" s="47">
        <v>42440</v>
      </c>
      <c r="Y1192" s="48">
        <f t="shared" si="74"/>
        <v>-10.456068492873468</v>
      </c>
      <c r="Z1192" s="49"/>
      <c r="AA1192" s="49"/>
      <c r="AB1192" s="51"/>
      <c r="AE1192" s="47">
        <v>42440</v>
      </c>
      <c r="AF1192" s="48">
        <f t="shared" si="75"/>
        <v>-7.3717660647556977</v>
      </c>
      <c r="AG1192" s="49"/>
      <c r="AH1192" s="49"/>
      <c r="AI1192" s="51"/>
    </row>
    <row r="1193" spans="1:35" x14ac:dyDescent="0.3">
      <c r="A1193" s="20">
        <v>42437</v>
      </c>
      <c r="C1193">
        <f>-(Historical_Simulation!B1194-Historical_Simulation!B1195)</f>
        <v>0.21000000000000085</v>
      </c>
      <c r="E1193">
        <f>-(Historical_Simulation!C1194-Historical_Simulation!C1195)</f>
        <v>2.5399999999999636</v>
      </c>
      <c r="G1193">
        <f>-(Historical_Simulation!D1194-Historical_Simulation!D1195)</f>
        <v>-0.20000000000000284</v>
      </c>
      <c r="J1193" s="23">
        <v>42439</v>
      </c>
      <c r="K1193" s="24">
        <f t="shared" si="72"/>
        <v>0.28558004948829607</v>
      </c>
      <c r="L1193" s="25"/>
      <c r="M1193" s="25"/>
      <c r="N1193" s="27"/>
      <c r="Q1193" s="23">
        <v>42439</v>
      </c>
      <c r="R1193" s="24">
        <f t="shared" si="73"/>
        <v>0.19182356026759545</v>
      </c>
      <c r="S1193" s="25"/>
      <c r="T1193" s="25"/>
      <c r="U1193" s="27"/>
      <c r="X1193" s="47">
        <v>42439</v>
      </c>
      <c r="Y1193" s="48">
        <f t="shared" si="74"/>
        <v>1.1221204235526767</v>
      </c>
      <c r="Z1193" s="49"/>
      <c r="AA1193" s="49"/>
      <c r="AB1193" s="51"/>
      <c r="AE1193" s="47">
        <v>42439</v>
      </c>
      <c r="AF1193" s="48">
        <f t="shared" si="75"/>
        <v>0.77847737447763832</v>
      </c>
      <c r="AG1193" s="49"/>
      <c r="AH1193" s="49"/>
      <c r="AI1193" s="51"/>
    </row>
    <row r="1194" spans="1:35" x14ac:dyDescent="0.3">
      <c r="A1194" s="20">
        <v>42436</v>
      </c>
      <c r="C1194">
        <f>-(Historical_Simulation!B1195-Historical_Simulation!B1196)</f>
        <v>0.28500000000000014</v>
      </c>
      <c r="E1194">
        <f>-(Historical_Simulation!C1195-Historical_Simulation!C1196)</f>
        <v>12.339900000000057</v>
      </c>
      <c r="G1194">
        <f>-(Historical_Simulation!D1195-Historical_Simulation!D1196)</f>
        <v>2.6599999999999966</v>
      </c>
      <c r="J1194" s="23">
        <v>42438</v>
      </c>
      <c r="K1194" s="24">
        <f t="shared" si="72"/>
        <v>0.41577368839885337</v>
      </c>
      <c r="L1194" s="25"/>
      <c r="M1194" s="25"/>
      <c r="N1194" s="27"/>
      <c r="Q1194" s="23">
        <v>42438</v>
      </c>
      <c r="R1194" s="24">
        <f t="shared" si="73"/>
        <v>0.27792144899999555</v>
      </c>
      <c r="S1194" s="25"/>
      <c r="T1194" s="25"/>
      <c r="U1194" s="27"/>
      <c r="X1194" s="47">
        <v>42438</v>
      </c>
      <c r="Y1194" s="48">
        <f t="shared" si="74"/>
        <v>-8.7492718996700845</v>
      </c>
      <c r="Z1194" s="49"/>
      <c r="AA1194" s="49"/>
      <c r="AB1194" s="51"/>
      <c r="AE1194" s="47">
        <v>42438</v>
      </c>
      <c r="AF1194" s="48">
        <f t="shared" si="75"/>
        <v>-6.1061901765375328</v>
      </c>
      <c r="AG1194" s="49"/>
      <c r="AH1194" s="49"/>
      <c r="AI1194" s="51"/>
    </row>
    <row r="1195" spans="1:35" x14ac:dyDescent="0.3">
      <c r="A1195" s="20">
        <v>42433</v>
      </c>
      <c r="C1195">
        <f>-(Historical_Simulation!B1196-Historical_Simulation!B1197)</f>
        <v>-0.37750000000000128</v>
      </c>
      <c r="E1195">
        <f>-(Historical_Simulation!C1196-Historical_Simulation!C1197)</f>
        <v>2.3500999999999976</v>
      </c>
      <c r="G1195">
        <f>-(Historical_Simulation!D1196-Historical_Simulation!D1197)</f>
        <v>1.1899999999999977</v>
      </c>
      <c r="J1195" s="23">
        <v>42437</v>
      </c>
      <c r="K1195" s="24">
        <f t="shared" si="72"/>
        <v>1.4668340848853654</v>
      </c>
      <c r="L1195" s="25"/>
      <c r="M1195" s="25"/>
      <c r="N1195" s="27"/>
      <c r="Q1195" s="23">
        <v>42437</v>
      </c>
      <c r="R1195" s="24">
        <f t="shared" si="73"/>
        <v>1.0715162783630914</v>
      </c>
      <c r="S1195" s="25"/>
      <c r="T1195" s="25"/>
      <c r="U1195" s="27"/>
      <c r="X1195" s="47">
        <v>42437</v>
      </c>
      <c r="Y1195" s="48">
        <f t="shared" si="74"/>
        <v>-2.0872561662053108</v>
      </c>
      <c r="Z1195" s="49"/>
      <c r="AA1195" s="49"/>
      <c r="AB1195" s="51"/>
      <c r="AE1195" s="47">
        <v>42437</v>
      </c>
      <c r="AF1195" s="48">
        <f t="shared" si="75"/>
        <v>-1.3914850544978576</v>
      </c>
      <c r="AG1195" s="49"/>
      <c r="AH1195" s="49"/>
      <c r="AI1195" s="51"/>
    </row>
    <row r="1196" spans="1:35" x14ac:dyDescent="0.3">
      <c r="A1196" s="20">
        <v>42432</v>
      </c>
      <c r="C1196">
        <f>-(Historical_Simulation!B1197-Historical_Simulation!B1198)</f>
        <v>-0.1875</v>
      </c>
      <c r="E1196">
        <f>-(Historical_Simulation!C1197-Historical_Simulation!C1198)</f>
        <v>2.7200000000000273</v>
      </c>
      <c r="G1196">
        <f>-(Historical_Simulation!D1197-Historical_Simulation!D1198)</f>
        <v>0.37000000000000455</v>
      </c>
      <c r="J1196" s="23">
        <v>42436</v>
      </c>
      <c r="K1196" s="24">
        <f t="shared" si="72"/>
        <v>6.7875790600364354</v>
      </c>
      <c r="L1196" s="25"/>
      <c r="M1196" s="25"/>
      <c r="N1196" s="27"/>
      <c r="Q1196" s="23">
        <v>42436</v>
      </c>
      <c r="R1196" s="24">
        <f t="shared" si="73"/>
        <v>4.7422929545233625</v>
      </c>
      <c r="S1196" s="25"/>
      <c r="T1196" s="25"/>
      <c r="U1196" s="27"/>
      <c r="X1196" s="47">
        <v>42436</v>
      </c>
      <c r="Y1196" s="48">
        <f t="shared" si="74"/>
        <v>13.592276572530627</v>
      </c>
      <c r="Z1196" s="49"/>
      <c r="AA1196" s="49"/>
      <c r="AB1196" s="51"/>
      <c r="AE1196" s="47">
        <v>42436</v>
      </c>
      <c r="AF1196" s="48">
        <f t="shared" si="75"/>
        <v>9.5618951327618884</v>
      </c>
      <c r="AG1196" s="49"/>
      <c r="AH1196" s="49"/>
      <c r="AI1196" s="51"/>
    </row>
    <row r="1197" spans="1:35" x14ac:dyDescent="0.3">
      <c r="A1197" s="20">
        <v>42431</v>
      </c>
      <c r="C1197">
        <f>-(Historical_Simulation!B1198-Historical_Simulation!B1199)</f>
        <v>-5.4999999999999716E-2</v>
      </c>
      <c r="E1197">
        <f>-(Historical_Simulation!C1198-Historical_Simulation!C1199)</f>
        <v>-1.1700000000000728</v>
      </c>
      <c r="G1197">
        <f>-(Historical_Simulation!D1198-Historical_Simulation!D1199)</f>
        <v>-0.13000000000000966</v>
      </c>
      <c r="J1197" s="23">
        <v>42433</v>
      </c>
      <c r="K1197" s="24">
        <f t="shared" si="72"/>
        <v>1.0938049999714039</v>
      </c>
      <c r="L1197" s="25"/>
      <c r="M1197" s="25"/>
      <c r="N1197" s="27"/>
      <c r="Q1197" s="23">
        <v>42433</v>
      </c>
      <c r="R1197" s="24">
        <f t="shared" si="73"/>
        <v>0.6310286698983687</v>
      </c>
      <c r="S1197" s="25"/>
      <c r="T1197" s="25"/>
      <c r="U1197" s="27"/>
      <c r="X1197" s="47">
        <v>42433</v>
      </c>
      <c r="Y1197" s="48">
        <f t="shared" si="74"/>
        <v>8.4053025378702202</v>
      </c>
      <c r="Z1197" s="49"/>
      <c r="AA1197" s="49"/>
      <c r="AB1197" s="51"/>
      <c r="AE1197" s="47">
        <v>42433</v>
      </c>
      <c r="AF1197" s="48">
        <f t="shared" si="75"/>
        <v>5.74525078762285</v>
      </c>
      <c r="AG1197" s="49"/>
      <c r="AH1197" s="49"/>
      <c r="AI1197" s="51"/>
    </row>
    <row r="1198" spans="1:35" x14ac:dyDescent="0.3">
      <c r="A1198" s="20">
        <v>42430</v>
      </c>
      <c r="C1198">
        <f>-(Historical_Simulation!B1199-Historical_Simulation!B1200)</f>
        <v>-0.96000000000000085</v>
      </c>
      <c r="E1198">
        <f>-(Historical_Simulation!C1199-Historical_Simulation!C1200)</f>
        <v>-26.519999999999982</v>
      </c>
      <c r="G1198">
        <f>-(Historical_Simulation!D1199-Historical_Simulation!D1200)</f>
        <v>-2.8999999999999915</v>
      </c>
      <c r="J1198" s="23">
        <v>42432</v>
      </c>
      <c r="K1198" s="24">
        <f t="shared" si="72"/>
        <v>1.3808455372550601</v>
      </c>
      <c r="L1198" s="25"/>
      <c r="M1198" s="25"/>
      <c r="N1198" s="27"/>
      <c r="Q1198" s="23">
        <v>42432</v>
      </c>
      <c r="R1198" s="24">
        <f t="shared" si="73"/>
        <v>0.88754660057542878</v>
      </c>
      <c r="S1198" s="25"/>
      <c r="T1198" s="25"/>
      <c r="U1198" s="27"/>
      <c r="X1198" s="47">
        <v>42432</v>
      </c>
      <c r="Y1198" s="48">
        <f t="shared" si="74"/>
        <v>2.9362080796572196</v>
      </c>
      <c r="Z1198" s="49"/>
      <c r="AA1198" s="49"/>
      <c r="AB1198" s="51"/>
      <c r="AE1198" s="47">
        <v>42432</v>
      </c>
      <c r="AF1198" s="48">
        <f t="shared" si="75"/>
        <v>1.9901290680062327</v>
      </c>
      <c r="AG1198" s="49"/>
      <c r="AH1198" s="49"/>
      <c r="AI1198" s="51"/>
    </row>
    <row r="1199" spans="1:35" x14ac:dyDescent="0.3">
      <c r="A1199" s="20">
        <v>42429</v>
      </c>
      <c r="C1199">
        <f>-(Historical_Simulation!B1200-Historical_Simulation!B1201)</f>
        <v>5.4999999999999716E-2</v>
      </c>
      <c r="E1199">
        <f>-(Historical_Simulation!C1200-Historical_Simulation!C1201)</f>
        <v>2.7100000000000364</v>
      </c>
      <c r="G1199">
        <f>-(Historical_Simulation!D1200-Historical_Simulation!D1201)</f>
        <v>1</v>
      </c>
      <c r="J1199" s="23">
        <v>42431</v>
      </c>
      <c r="K1199" s="24">
        <f t="shared" si="72"/>
        <v>-0.65644635392587769</v>
      </c>
      <c r="L1199" s="25"/>
      <c r="M1199" s="25"/>
      <c r="N1199" s="27"/>
      <c r="Q1199" s="23">
        <v>42431</v>
      </c>
      <c r="R1199" s="24">
        <f t="shared" si="73"/>
        <v>-0.46727066539696288</v>
      </c>
      <c r="S1199" s="25"/>
      <c r="T1199" s="25"/>
      <c r="U1199" s="27"/>
      <c r="X1199" s="47">
        <v>42431</v>
      </c>
      <c r="Y1199" s="48">
        <f t="shared" si="74"/>
        <v>-0.47522978650102327</v>
      </c>
      <c r="Z1199" s="49"/>
      <c r="AA1199" s="49"/>
      <c r="AB1199" s="51"/>
      <c r="AE1199" s="47">
        <v>42431</v>
      </c>
      <c r="AF1199" s="48">
        <f t="shared" si="75"/>
        <v>-0.34795458313988814</v>
      </c>
      <c r="AG1199" s="49"/>
      <c r="AH1199" s="49"/>
      <c r="AI1199" s="51"/>
    </row>
    <row r="1200" spans="1:35" x14ac:dyDescent="0.3">
      <c r="A1200" s="20">
        <v>42426</v>
      </c>
      <c r="C1200">
        <f>-(Historical_Simulation!B1201-Historical_Simulation!B1202)</f>
        <v>-3.7499999999997868E-2</v>
      </c>
      <c r="E1200">
        <f>-(Historical_Simulation!C1201-Historical_Simulation!C1202)</f>
        <v>-8.0100000000015825E-2</v>
      </c>
      <c r="G1200">
        <f>-(Historical_Simulation!D1201-Historical_Simulation!D1202)</f>
        <v>0.14999999999999147</v>
      </c>
      <c r="J1200" s="23">
        <v>42430</v>
      </c>
      <c r="K1200" s="24">
        <f t="shared" si="72"/>
        <v>-14.747415969815625</v>
      </c>
      <c r="L1200" s="25"/>
      <c r="M1200" s="25"/>
      <c r="N1200" s="27"/>
      <c r="Q1200" s="23">
        <v>42430</v>
      </c>
      <c r="R1200" s="24">
        <f t="shared" si="73"/>
        <v>-10.410796598695679</v>
      </c>
      <c r="S1200" s="25"/>
      <c r="T1200" s="25"/>
      <c r="U1200" s="27"/>
      <c r="X1200" s="47">
        <v>42430</v>
      </c>
      <c r="Y1200" s="48">
        <f t="shared" si="74"/>
        <v>-11.829943810824982</v>
      </c>
      <c r="Z1200" s="49"/>
      <c r="AA1200" s="49"/>
      <c r="AB1200" s="51"/>
      <c r="AE1200" s="47">
        <v>42430</v>
      </c>
      <c r="AF1200" s="48">
        <f t="shared" si="75"/>
        <v>-8.5377585505507376</v>
      </c>
      <c r="AG1200" s="49"/>
      <c r="AH1200" s="49"/>
      <c r="AI1200" s="51"/>
    </row>
    <row r="1201" spans="1:35" x14ac:dyDescent="0.3">
      <c r="A1201" s="20">
        <v>42425</v>
      </c>
      <c r="C1201">
        <f>-(Historical_Simulation!B1202-Historical_Simulation!B1203)</f>
        <v>-0.1650000000000027</v>
      </c>
      <c r="E1201">
        <f>-(Historical_Simulation!C1202-Historical_Simulation!C1203)</f>
        <v>-1.1099000000000387</v>
      </c>
      <c r="G1201">
        <f>-(Historical_Simulation!D1202-Historical_Simulation!D1203)</f>
        <v>-1.1899999999999977</v>
      </c>
      <c r="J1201" s="23">
        <v>42429</v>
      </c>
      <c r="K1201" s="24">
        <f t="shared" si="72"/>
        <v>1.4871435602449536</v>
      </c>
      <c r="L1201" s="25"/>
      <c r="M1201" s="25"/>
      <c r="N1201" s="27"/>
      <c r="Q1201" s="23">
        <v>42429</v>
      </c>
      <c r="R1201" s="24">
        <f t="shared" si="73"/>
        <v>1.0366848579631212</v>
      </c>
      <c r="S1201" s="25"/>
      <c r="T1201" s="25"/>
      <c r="U1201" s="27"/>
      <c r="X1201" s="47">
        <v>42429</v>
      </c>
      <c r="Y1201" s="48">
        <f t="shared" si="74"/>
        <v>5.3498953099121955</v>
      </c>
      <c r="Z1201" s="49"/>
      <c r="AA1201" s="49"/>
      <c r="AB1201" s="51"/>
      <c r="AE1201" s="47">
        <v>42429</v>
      </c>
      <c r="AF1201" s="48">
        <f t="shared" si="75"/>
        <v>3.7462277475621049</v>
      </c>
      <c r="AG1201" s="49"/>
      <c r="AH1201" s="49"/>
      <c r="AI1201" s="51"/>
    </row>
    <row r="1202" spans="1:35" x14ac:dyDescent="0.3">
      <c r="A1202" s="20">
        <v>42424</v>
      </c>
      <c r="C1202">
        <f>-(Historical_Simulation!B1203-Historical_Simulation!B1204)</f>
        <v>-0.35249999999999915</v>
      </c>
      <c r="E1202">
        <f>-(Historical_Simulation!C1203-Historical_Simulation!C1204)</f>
        <v>-1.1000999999999976</v>
      </c>
      <c r="G1202">
        <f>-(Historical_Simulation!D1203-Historical_Simulation!D1204)</f>
        <v>-1.4200000000000017</v>
      </c>
      <c r="J1202" s="23">
        <v>42426</v>
      </c>
      <c r="K1202" s="24">
        <f t="shared" si="72"/>
        <v>-6.0479026616366949E-2</v>
      </c>
      <c r="L1202" s="25"/>
      <c r="M1202" s="25"/>
      <c r="N1202" s="27"/>
      <c r="Q1202" s="23">
        <v>42426</v>
      </c>
      <c r="R1202" s="24">
        <f t="shared" si="73"/>
        <v>-5.3251327664497319E-2</v>
      </c>
      <c r="S1202" s="25"/>
      <c r="T1202" s="25"/>
      <c r="U1202" s="27"/>
      <c r="X1202" s="47">
        <v>42426</v>
      </c>
      <c r="Y1202" s="48">
        <f t="shared" si="74"/>
        <v>1.0130744662523621</v>
      </c>
      <c r="Z1202" s="49"/>
      <c r="AA1202" s="49"/>
      <c r="AB1202" s="51"/>
      <c r="AE1202" s="47">
        <v>42426</v>
      </c>
      <c r="AF1202" s="48">
        <f t="shared" si="75"/>
        <v>0.69488645784958436</v>
      </c>
      <c r="AG1202" s="49"/>
      <c r="AH1202" s="49"/>
      <c r="AI1202" s="51"/>
    </row>
    <row r="1203" spans="1:35" x14ac:dyDescent="0.3">
      <c r="A1203" s="20">
        <v>42423</v>
      </c>
      <c r="C1203">
        <f>-(Historical_Simulation!B1204-Historical_Simulation!B1205)</f>
        <v>0.54749999999999943</v>
      </c>
      <c r="E1203">
        <f>-(Historical_Simulation!C1204-Historical_Simulation!C1205)</f>
        <v>6.560100000000034</v>
      </c>
      <c r="G1203">
        <f>-(Historical_Simulation!D1204-Historical_Simulation!D1205)</f>
        <v>1.7000000000000028</v>
      </c>
      <c r="J1203" s="23">
        <v>42425</v>
      </c>
      <c r="K1203" s="24">
        <f t="shared" si="72"/>
        <v>-0.67469207159152422</v>
      </c>
      <c r="L1203" s="25"/>
      <c r="M1203" s="25"/>
      <c r="N1203" s="27"/>
      <c r="Q1203" s="23">
        <v>42425</v>
      </c>
      <c r="R1203" s="24">
        <f t="shared" si="73"/>
        <v>-0.51437627958168863</v>
      </c>
      <c r="S1203" s="25"/>
      <c r="T1203" s="25"/>
      <c r="U1203" s="27"/>
      <c r="X1203" s="47">
        <v>42425</v>
      </c>
      <c r="Y1203" s="48">
        <f t="shared" si="74"/>
        <v>-5.908140415513202</v>
      </c>
      <c r="Z1203" s="49"/>
      <c r="AA1203" s="49"/>
      <c r="AB1203" s="51"/>
      <c r="AE1203" s="47">
        <v>42425</v>
      </c>
      <c r="AF1203" s="48">
        <f t="shared" si="75"/>
        <v>-4.1687126362445932</v>
      </c>
      <c r="AG1203" s="49"/>
      <c r="AH1203" s="49"/>
      <c r="AI1203" s="51"/>
    </row>
    <row r="1204" spans="1:35" x14ac:dyDescent="0.3">
      <c r="A1204" s="20">
        <v>42422</v>
      </c>
      <c r="C1204">
        <f>-(Historical_Simulation!B1205-Historical_Simulation!B1206)</f>
        <v>-0.2099999999999973</v>
      </c>
      <c r="E1204">
        <f>-(Historical_Simulation!C1205-Historical_Simulation!C1206)</f>
        <v>-24.600099999999998</v>
      </c>
      <c r="G1204">
        <f>-(Historical_Simulation!D1205-Historical_Simulation!D1206)</f>
        <v>-2.5900000000000034</v>
      </c>
      <c r="J1204" s="23">
        <v>42424</v>
      </c>
      <c r="K1204" s="24">
        <f t="shared" si="72"/>
        <v>-0.75576573470399555</v>
      </c>
      <c r="L1204" s="25"/>
      <c r="M1204" s="25"/>
      <c r="N1204" s="27"/>
      <c r="Q1204" s="23">
        <v>42424</v>
      </c>
      <c r="R1204" s="24">
        <f t="shared" si="73"/>
        <v>-0.62892470802757661</v>
      </c>
      <c r="S1204" s="25"/>
      <c r="T1204" s="25"/>
      <c r="U1204" s="27"/>
      <c r="X1204" s="47">
        <v>42424</v>
      </c>
      <c r="Y1204" s="48">
        <f t="shared" si="74"/>
        <v>-6.3337706278637889</v>
      </c>
      <c r="Z1204" s="49"/>
      <c r="AA1204" s="49"/>
      <c r="AB1204" s="51"/>
      <c r="AE1204" s="47">
        <v>42424</v>
      </c>
      <c r="AF1204" s="48">
        <f t="shared" si="75"/>
        <v>-4.522220233357201</v>
      </c>
      <c r="AG1204" s="49"/>
      <c r="AH1204" s="49"/>
      <c r="AI1204" s="51"/>
    </row>
    <row r="1205" spans="1:35" x14ac:dyDescent="0.3">
      <c r="A1205" s="20">
        <v>42419</v>
      </c>
      <c r="C1205">
        <f>-(Historical_Simulation!B1206-Historical_Simulation!B1207)</f>
        <v>5.4999999999999716E-2</v>
      </c>
      <c r="E1205">
        <f>-(Historical_Simulation!C1206-Historical_Simulation!C1207)</f>
        <v>-9.8999000000000024</v>
      </c>
      <c r="G1205">
        <f>-(Historical_Simulation!D1206-Historical_Simulation!D1207)</f>
        <v>-1.0999999999999943</v>
      </c>
      <c r="J1205" s="23">
        <v>42423</v>
      </c>
      <c r="K1205" s="24">
        <f t="shared" si="72"/>
        <v>3.7907792355287149</v>
      </c>
      <c r="L1205" s="25"/>
      <c r="M1205" s="25"/>
      <c r="N1205" s="27"/>
      <c r="Q1205" s="23">
        <v>42423</v>
      </c>
      <c r="R1205" s="24">
        <f t="shared" si="73"/>
        <v>2.7706556975476517</v>
      </c>
      <c r="S1205" s="25"/>
      <c r="T1205" s="25"/>
      <c r="U1205" s="27"/>
      <c r="X1205" s="47">
        <v>42423</v>
      </c>
      <c r="Y1205" s="48">
        <f t="shared" si="74"/>
        <v>7.0050310525648909</v>
      </c>
      <c r="Z1205" s="49"/>
      <c r="AA1205" s="49"/>
      <c r="AB1205" s="51"/>
      <c r="AE1205" s="47">
        <v>42423</v>
      </c>
      <c r="AF1205" s="48">
        <f t="shared" si="75"/>
        <v>5.0492354275823672</v>
      </c>
      <c r="AG1205" s="49"/>
      <c r="AH1205" s="49"/>
      <c r="AI1205" s="51"/>
    </row>
    <row r="1206" spans="1:35" x14ac:dyDescent="0.3">
      <c r="A1206" s="20">
        <v>42418</v>
      </c>
      <c r="C1206">
        <f>-(Historical_Simulation!B1207-Historical_Simulation!B1208)</f>
        <v>0.46499999999999986</v>
      </c>
      <c r="E1206">
        <f>-(Historical_Simulation!C1207-Historical_Simulation!C1208)</f>
        <v>9.1000999999999976</v>
      </c>
      <c r="G1206">
        <f>-(Historical_Simulation!D1207-Historical_Simulation!D1208)</f>
        <v>1.730000000000004</v>
      </c>
      <c r="J1206" s="23">
        <v>42422</v>
      </c>
      <c r="K1206" s="24">
        <f t="shared" si="72"/>
        <v>-13.366355799898288</v>
      </c>
      <c r="L1206" s="25"/>
      <c r="M1206" s="25"/>
      <c r="N1206" s="27"/>
      <c r="Q1206" s="23">
        <v>42422</v>
      </c>
      <c r="R1206" s="24">
        <f t="shared" si="73"/>
        <v>-9.2282266870832377</v>
      </c>
      <c r="S1206" s="25"/>
      <c r="T1206" s="25"/>
      <c r="U1206" s="27"/>
      <c r="X1206" s="47">
        <v>42422</v>
      </c>
      <c r="Y1206" s="48">
        <f t="shared" si="74"/>
        <v>-13.545291891630745</v>
      </c>
      <c r="Z1206" s="49"/>
      <c r="AA1206" s="49"/>
      <c r="AB1206" s="51"/>
      <c r="AE1206" s="47">
        <v>42422</v>
      </c>
      <c r="AF1206" s="48">
        <f t="shared" si="75"/>
        <v>-9.5064254383045803</v>
      </c>
      <c r="AG1206" s="49"/>
      <c r="AH1206" s="49"/>
      <c r="AI1206" s="51"/>
    </row>
    <row r="1207" spans="1:35" x14ac:dyDescent="0.3">
      <c r="A1207" s="20">
        <v>42417</v>
      </c>
      <c r="C1207">
        <f>-(Historical_Simulation!B1208-Historical_Simulation!B1209)</f>
        <v>-0.37000000000000099</v>
      </c>
      <c r="E1207">
        <f>-(Historical_Simulation!C1208-Historical_Simulation!C1209)</f>
        <v>-13</v>
      </c>
      <c r="G1207">
        <f>-(Historical_Simulation!D1208-Historical_Simulation!D1209)</f>
        <v>-3.5900000000000034</v>
      </c>
      <c r="J1207" s="23">
        <v>42419</v>
      </c>
      <c r="K1207" s="24">
        <f t="shared" si="72"/>
        <v>-5.3148101423285494</v>
      </c>
      <c r="L1207" s="25"/>
      <c r="M1207" s="25"/>
      <c r="N1207" s="27"/>
      <c r="Q1207" s="23">
        <v>42419</v>
      </c>
      <c r="R1207" s="24">
        <f t="shared" si="73"/>
        <v>-3.6258190555694716</v>
      </c>
      <c r="S1207" s="25"/>
      <c r="T1207" s="25"/>
      <c r="U1207" s="27"/>
      <c r="X1207" s="47">
        <v>42419</v>
      </c>
      <c r="Y1207" s="48">
        <f t="shared" si="74"/>
        <v>-6.416538712114872</v>
      </c>
      <c r="Z1207" s="49"/>
      <c r="AA1207" s="49"/>
      <c r="AB1207" s="51"/>
      <c r="AE1207" s="47">
        <v>42419</v>
      </c>
      <c r="AF1207" s="48">
        <f t="shared" si="75"/>
        <v>-4.4565005803536604</v>
      </c>
      <c r="AG1207" s="49"/>
      <c r="AH1207" s="49"/>
      <c r="AI1207" s="51"/>
    </row>
    <row r="1208" spans="1:35" x14ac:dyDescent="0.3">
      <c r="A1208" s="20">
        <v>42416</v>
      </c>
      <c r="C1208">
        <f>-(Historical_Simulation!B1209-Historical_Simulation!B1210)</f>
        <v>-0.66250000000000142</v>
      </c>
      <c r="E1208">
        <f>-(Historical_Simulation!C1209-Historical_Simulation!C1210)</f>
        <v>-14.019999999999982</v>
      </c>
      <c r="G1208">
        <f>-(Historical_Simulation!D1209-Historical_Simulation!D1210)</f>
        <v>0.40000000000000568</v>
      </c>
      <c r="J1208" s="23">
        <v>42418</v>
      </c>
      <c r="K1208" s="24">
        <f t="shared" si="72"/>
        <v>5.122891848237674</v>
      </c>
      <c r="L1208" s="25"/>
      <c r="M1208" s="25"/>
      <c r="N1208" s="27"/>
      <c r="Q1208" s="23">
        <v>42418</v>
      </c>
      <c r="R1208" s="24">
        <f t="shared" si="73"/>
        <v>3.6578236975507465</v>
      </c>
      <c r="S1208" s="25"/>
      <c r="T1208" s="25"/>
      <c r="U1208" s="27"/>
      <c r="X1208" s="47">
        <v>42418</v>
      </c>
      <c r="Y1208" s="48">
        <f t="shared" si="74"/>
        <v>7.5528757323163473</v>
      </c>
      <c r="Z1208" s="49"/>
      <c r="AA1208" s="49"/>
      <c r="AB1208" s="51"/>
      <c r="AE1208" s="47">
        <v>42418</v>
      </c>
      <c r="AF1208" s="48">
        <f t="shared" si="75"/>
        <v>5.406167302292145</v>
      </c>
      <c r="AG1208" s="49"/>
      <c r="AH1208" s="49"/>
      <c r="AI1208" s="51"/>
    </row>
    <row r="1209" spans="1:35" x14ac:dyDescent="0.3">
      <c r="A1209" s="20">
        <v>42415</v>
      </c>
      <c r="C1209">
        <f>-(Historical_Simulation!B1210-Historical_Simulation!B1211)</f>
        <v>0</v>
      </c>
      <c r="E1209">
        <f>-(Historical_Simulation!C1210-Historical_Simulation!C1211)</f>
        <v>0</v>
      </c>
      <c r="G1209">
        <f>-(Historical_Simulation!D1210-Historical_Simulation!D1211)</f>
        <v>0</v>
      </c>
      <c r="J1209" s="23">
        <v>42417</v>
      </c>
      <c r="K1209" s="24">
        <f t="shared" si="72"/>
        <v>-7.1827959193572566</v>
      </c>
      <c r="L1209" s="25"/>
      <c r="M1209" s="25"/>
      <c r="N1209" s="27"/>
      <c r="Q1209" s="23">
        <v>42417</v>
      </c>
      <c r="R1209" s="24">
        <f t="shared" si="73"/>
        <v>-5.0399358779939956</v>
      </c>
      <c r="S1209" s="25"/>
      <c r="T1209" s="25"/>
      <c r="U1209" s="27"/>
      <c r="X1209" s="47">
        <v>42417</v>
      </c>
      <c r="Y1209" s="48">
        <f t="shared" si="74"/>
        <v>-18.411865500441564</v>
      </c>
      <c r="Z1209" s="49"/>
      <c r="AA1209" s="49"/>
      <c r="AB1209" s="51"/>
      <c r="AE1209" s="47">
        <v>42417</v>
      </c>
      <c r="AF1209" s="48">
        <f t="shared" si="75"/>
        <v>-12.947516769470884</v>
      </c>
      <c r="AG1209" s="49"/>
      <c r="AH1209" s="49"/>
      <c r="AI1209" s="51"/>
    </row>
    <row r="1210" spans="1:35" x14ac:dyDescent="0.3">
      <c r="A1210" s="20">
        <v>42412</v>
      </c>
      <c r="C1210">
        <f>-(Historical_Simulation!B1211-Historical_Simulation!B1212)</f>
        <v>-7.249999999999801E-2</v>
      </c>
      <c r="E1210">
        <f>-(Historical_Simulation!C1211-Historical_Simulation!C1212)</f>
        <v>-3.2599999999999909</v>
      </c>
      <c r="G1210">
        <f>-(Historical_Simulation!D1211-Historical_Simulation!D1212)</f>
        <v>-0.10000000000000853</v>
      </c>
      <c r="J1210" s="23">
        <v>42416</v>
      </c>
      <c r="K1210" s="24">
        <f t="shared" si="72"/>
        <v>-7.8677194372774686</v>
      </c>
      <c r="L1210" s="25"/>
      <c r="M1210" s="25"/>
      <c r="N1210" s="27"/>
      <c r="Q1210" s="23">
        <v>42416</v>
      </c>
      <c r="R1210" s="24">
        <f t="shared" si="73"/>
        <v>-5.6014286215601503</v>
      </c>
      <c r="S1210" s="25"/>
      <c r="T1210" s="25"/>
      <c r="U1210" s="27"/>
      <c r="X1210" s="47">
        <v>42416</v>
      </c>
      <c r="Y1210" s="48">
        <f t="shared" si="74"/>
        <v>5.2907553087637496</v>
      </c>
      <c r="Z1210" s="49"/>
      <c r="AA1210" s="49"/>
      <c r="AB1210" s="51"/>
      <c r="AE1210" s="47">
        <v>42416</v>
      </c>
      <c r="AF1210" s="48">
        <f t="shared" si="75"/>
        <v>3.4876899278145617</v>
      </c>
      <c r="AG1210" s="49"/>
      <c r="AH1210" s="49"/>
      <c r="AI1210" s="51"/>
    </row>
    <row r="1211" spans="1:35" x14ac:dyDescent="0.3">
      <c r="A1211" s="20">
        <v>42411</v>
      </c>
      <c r="C1211">
        <f>-(Historical_Simulation!B1212-Historical_Simulation!B1213)</f>
        <v>0.14249999999999829</v>
      </c>
      <c r="E1211">
        <f>-(Historical_Simulation!C1212-Historical_Simulation!C1213)</f>
        <v>-13.340100000000007</v>
      </c>
      <c r="G1211">
        <f>-(Historical_Simulation!D1212-Historical_Simulation!D1213)</f>
        <v>-0.90999999999999659</v>
      </c>
      <c r="J1211" s="23">
        <v>42415</v>
      </c>
      <c r="K1211" s="24">
        <f t="shared" si="72"/>
        <v>0</v>
      </c>
      <c r="L1211" s="25"/>
      <c r="M1211" s="25"/>
      <c r="N1211" s="27"/>
      <c r="Q1211" s="23">
        <v>42415</v>
      </c>
      <c r="R1211" s="24">
        <f t="shared" si="73"/>
        <v>0</v>
      </c>
      <c r="S1211" s="25"/>
      <c r="T1211" s="25"/>
      <c r="U1211" s="27"/>
      <c r="X1211" s="47">
        <v>42415</v>
      </c>
      <c r="Y1211" s="48">
        <f t="shared" si="74"/>
        <v>0</v>
      </c>
      <c r="Z1211" s="49"/>
      <c r="AA1211" s="49"/>
      <c r="AB1211" s="51"/>
      <c r="AE1211" s="47">
        <v>42415</v>
      </c>
      <c r="AF1211" s="48">
        <f t="shared" si="75"/>
        <v>0</v>
      </c>
      <c r="AG1211" s="49"/>
      <c r="AH1211" s="49"/>
      <c r="AI1211" s="51"/>
    </row>
    <row r="1212" spans="1:35" x14ac:dyDescent="0.3">
      <c r="A1212" s="20">
        <v>42410</v>
      </c>
      <c r="C1212">
        <f>-(Historical_Simulation!B1213-Historical_Simulation!B1214)</f>
        <v>0.17999999999999972</v>
      </c>
      <c r="E1212">
        <f>-(Historical_Simulation!C1213-Historical_Simulation!C1214)</f>
        <v>-8.4098999999999933</v>
      </c>
      <c r="G1212">
        <f>-(Historical_Simulation!D1213-Historical_Simulation!D1214)</f>
        <v>-1.4599999999999937</v>
      </c>
      <c r="J1212" s="23">
        <v>42412</v>
      </c>
      <c r="K1212" s="24">
        <f t="shared" si="72"/>
        <v>-1.7918813929494206</v>
      </c>
      <c r="L1212" s="25"/>
      <c r="M1212" s="25"/>
      <c r="N1212" s="27"/>
      <c r="Q1212" s="23">
        <v>42412</v>
      </c>
      <c r="R1212" s="24">
        <f t="shared" si="73"/>
        <v>-1.2510764537692636</v>
      </c>
      <c r="S1212" s="25"/>
      <c r="T1212" s="25"/>
      <c r="U1212" s="27"/>
      <c r="X1212" s="47">
        <v>42412</v>
      </c>
      <c r="Y1212" s="48">
        <f t="shared" si="74"/>
        <v>-0.2265842550504118</v>
      </c>
      <c r="Z1212" s="49"/>
      <c r="AA1212" s="49"/>
      <c r="AB1212" s="51"/>
      <c r="AE1212" s="47">
        <v>42412</v>
      </c>
      <c r="AF1212" s="48">
        <f t="shared" si="75"/>
        <v>-0.17991668048465059</v>
      </c>
      <c r="AG1212" s="49"/>
      <c r="AH1212" s="49"/>
      <c r="AI1212" s="51"/>
    </row>
    <row r="1213" spans="1:35" x14ac:dyDescent="0.3">
      <c r="A1213" s="20">
        <v>42409</v>
      </c>
      <c r="C1213">
        <f>-(Historical_Simulation!B1214-Historical_Simulation!B1215)</f>
        <v>5.000000000002558E-3</v>
      </c>
      <c r="E1213">
        <f>-(Historical_Simulation!C1214-Historical_Simulation!C1215)</f>
        <v>6.0299999999999727</v>
      </c>
      <c r="G1213">
        <f>-(Historical_Simulation!D1214-Historical_Simulation!D1215)</f>
        <v>0.20999999999999375</v>
      </c>
      <c r="J1213" s="23">
        <v>42411</v>
      </c>
      <c r="K1213" s="24">
        <f t="shared" si="72"/>
        <v>-7.1302000999466513</v>
      </c>
      <c r="L1213" s="25"/>
      <c r="M1213" s="25"/>
      <c r="N1213" s="27"/>
      <c r="Q1213" s="23">
        <v>42411</v>
      </c>
      <c r="R1213" s="24">
        <f t="shared" si="73"/>
        <v>-4.8426842809692694</v>
      </c>
      <c r="S1213" s="25"/>
      <c r="T1213" s="25"/>
      <c r="U1213" s="27"/>
      <c r="X1213" s="47">
        <v>42411</v>
      </c>
      <c r="Y1213" s="48">
        <f t="shared" si="74"/>
        <v>-5.7547246705635553</v>
      </c>
      <c r="Z1213" s="49"/>
      <c r="AA1213" s="49"/>
      <c r="AB1213" s="51"/>
      <c r="AE1213" s="47">
        <v>42411</v>
      </c>
      <c r="AF1213" s="48">
        <f t="shared" si="75"/>
        <v>-3.9686293167292037</v>
      </c>
      <c r="AG1213" s="49"/>
      <c r="AH1213" s="49"/>
      <c r="AI1213" s="51"/>
    </row>
    <row r="1214" spans="1:35" x14ac:dyDescent="0.3">
      <c r="A1214" s="20">
        <v>42408</v>
      </c>
      <c r="C1214">
        <f>-(Historical_Simulation!B1215-Historical_Simulation!B1216)</f>
        <v>-0.24750000000000227</v>
      </c>
      <c r="E1214">
        <f>-(Historical_Simulation!C1215-Historical_Simulation!C1216)</f>
        <v>14.029800000000023</v>
      </c>
      <c r="G1214">
        <f>-(Historical_Simulation!D1215-Historical_Simulation!D1216)</f>
        <v>4.3199999999999932</v>
      </c>
      <c r="J1214" s="23">
        <v>42410</v>
      </c>
      <c r="K1214" s="24">
        <f t="shared" si="72"/>
        <v>-4.4535103458184366</v>
      </c>
      <c r="L1214" s="25"/>
      <c r="M1214" s="25"/>
      <c r="N1214" s="27"/>
      <c r="Q1214" s="23">
        <v>42410</v>
      </c>
      <c r="R1214" s="24">
        <f t="shared" si="73"/>
        <v>-2.9961110212494524</v>
      </c>
      <c r="S1214" s="25"/>
      <c r="T1214" s="25"/>
      <c r="U1214" s="27"/>
      <c r="X1214" s="47">
        <v>42410</v>
      </c>
      <c r="Y1214" s="48">
        <f t="shared" si="74"/>
        <v>-9.0090246648211281</v>
      </c>
      <c r="Z1214" s="49"/>
      <c r="AA1214" s="49"/>
      <c r="AB1214" s="51"/>
      <c r="AE1214" s="47">
        <v>42410</v>
      </c>
      <c r="AF1214" s="48">
        <f t="shared" si="75"/>
        <v>-6.2259402179913517</v>
      </c>
      <c r="AG1214" s="49"/>
      <c r="AH1214" s="49"/>
      <c r="AI1214" s="51"/>
    </row>
    <row r="1215" spans="1:35" x14ac:dyDescent="0.3">
      <c r="A1215" s="20">
        <v>42405</v>
      </c>
      <c r="C1215">
        <f>-(Historical_Simulation!B1216-Historical_Simulation!B1217)</f>
        <v>0.64499999999999957</v>
      </c>
      <c r="E1215">
        <f>-(Historical_Simulation!C1216-Historical_Simulation!C1217)</f>
        <v>34.13009999999997</v>
      </c>
      <c r="G1215">
        <f>-(Historical_Simulation!D1216-Historical_Simulation!D1217)</f>
        <v>6.4200000000000017</v>
      </c>
      <c r="J1215" s="23">
        <v>42409</v>
      </c>
      <c r="K1215" s="24">
        <f t="shared" si="72"/>
        <v>3.2549679662808626</v>
      </c>
      <c r="L1215" s="25"/>
      <c r="M1215" s="25"/>
      <c r="N1215" s="27"/>
      <c r="Q1215" s="23">
        <v>42409</v>
      </c>
      <c r="R1215" s="24">
        <f t="shared" si="73"/>
        <v>2.2327405910462161</v>
      </c>
      <c r="S1215" s="25"/>
      <c r="T1215" s="25"/>
      <c r="U1215" s="27"/>
      <c r="X1215" s="47">
        <v>42409</v>
      </c>
      <c r="Y1215" s="48">
        <f t="shared" si="74"/>
        <v>1.1536280831025985</v>
      </c>
      <c r="Z1215" s="49"/>
      <c r="AA1215" s="49"/>
      <c r="AB1215" s="51"/>
      <c r="AE1215" s="47">
        <v>42409</v>
      </c>
      <c r="AF1215" s="48">
        <f t="shared" si="75"/>
        <v>0.80574252724889017</v>
      </c>
      <c r="AG1215" s="49"/>
      <c r="AH1215" s="49"/>
      <c r="AI1215" s="51"/>
    </row>
    <row r="1216" spans="1:35" x14ac:dyDescent="0.3">
      <c r="A1216" s="20">
        <v>42404</v>
      </c>
      <c r="C1216">
        <f>-(Historical_Simulation!B1217-Historical_Simulation!B1218)</f>
        <v>-6.25E-2</v>
      </c>
      <c r="E1216">
        <f>-(Historical_Simulation!C1217-Historical_Simulation!C1218)</f>
        <v>-5.189899999999966</v>
      </c>
      <c r="G1216">
        <f>-(Historical_Simulation!D1217-Historical_Simulation!D1218)</f>
        <v>2.2000000000000028</v>
      </c>
      <c r="J1216" s="23">
        <v>42408</v>
      </c>
      <c r="K1216" s="24">
        <f t="shared" si="72"/>
        <v>7.4538722232335308</v>
      </c>
      <c r="L1216" s="25"/>
      <c r="M1216" s="25"/>
      <c r="N1216" s="27"/>
      <c r="Q1216" s="23">
        <v>42408</v>
      </c>
      <c r="R1216" s="24">
        <f t="shared" si="73"/>
        <v>5.0315241893019591</v>
      </c>
      <c r="S1216" s="25"/>
      <c r="T1216" s="25"/>
      <c r="U1216" s="27"/>
      <c r="X1216" s="47">
        <v>42408</v>
      </c>
      <c r="Y1216" s="48">
        <f t="shared" si="74"/>
        <v>25.344493997908913</v>
      </c>
      <c r="Z1216" s="49"/>
      <c r="AA1216" s="49"/>
      <c r="AB1216" s="51"/>
      <c r="AE1216" s="47">
        <v>42408</v>
      </c>
      <c r="AF1216" s="48">
        <f t="shared" si="75"/>
        <v>17.593434113216816</v>
      </c>
      <c r="AG1216" s="49"/>
      <c r="AH1216" s="49"/>
      <c r="AI1216" s="51"/>
    </row>
    <row r="1217" spans="1:35" x14ac:dyDescent="0.3">
      <c r="A1217" s="20">
        <v>42403</v>
      </c>
      <c r="C1217">
        <f>-(Historical_Simulation!B1218-Historical_Simulation!B1219)</f>
        <v>-0.46749999999999758</v>
      </c>
      <c r="E1217">
        <f>-(Historical_Simulation!C1218-Historical_Simulation!C1219)</f>
        <v>21.029999999999973</v>
      </c>
      <c r="G1217">
        <f>-(Historical_Simulation!D1218-Historical_Simulation!D1219)</f>
        <v>1.9200000000000017</v>
      </c>
      <c r="J1217" s="23">
        <v>42405</v>
      </c>
      <c r="K1217" s="24">
        <f t="shared" si="72"/>
        <v>18.707324041113971</v>
      </c>
      <c r="L1217" s="25"/>
      <c r="M1217" s="25"/>
      <c r="N1217" s="27"/>
      <c r="Q1217" s="23">
        <v>42405</v>
      </c>
      <c r="R1217" s="24">
        <f t="shared" si="73"/>
        <v>13.026098168504873</v>
      </c>
      <c r="S1217" s="25"/>
      <c r="T1217" s="25"/>
      <c r="U1217" s="27"/>
      <c r="X1217" s="47">
        <v>42405</v>
      </c>
      <c r="Y1217" s="48">
        <f t="shared" si="74"/>
        <v>33.002693560574535</v>
      </c>
      <c r="Z1217" s="49"/>
      <c r="AA1217" s="49"/>
      <c r="AB1217" s="51"/>
      <c r="AE1217" s="47">
        <v>42405</v>
      </c>
      <c r="AF1217" s="48">
        <f t="shared" si="75"/>
        <v>23.202502901768423</v>
      </c>
      <c r="AG1217" s="49"/>
      <c r="AH1217" s="49"/>
      <c r="AI1217" s="51"/>
    </row>
    <row r="1218" spans="1:35" x14ac:dyDescent="0.3">
      <c r="A1218" s="20">
        <v>42402</v>
      </c>
      <c r="C1218">
        <f>-(Historical_Simulation!B1219-Historical_Simulation!B1220)</f>
        <v>0.48750000000000071</v>
      </c>
      <c r="E1218">
        <f>-(Historical_Simulation!C1219-Historical_Simulation!C1220)</f>
        <v>22.710000000000036</v>
      </c>
      <c r="G1218">
        <f>-(Historical_Simulation!D1219-Historical_Simulation!D1220)</f>
        <v>0.48000000000000398</v>
      </c>
      <c r="J1218" s="23">
        <v>42404</v>
      </c>
      <c r="K1218" s="24">
        <f t="shared" si="72"/>
        <v>-2.8282901660262993</v>
      </c>
      <c r="L1218" s="25"/>
      <c r="M1218" s="25"/>
      <c r="N1218" s="27"/>
      <c r="Q1218" s="23">
        <v>42404</v>
      </c>
      <c r="R1218" s="24">
        <f t="shared" si="73"/>
        <v>-1.958353461664786</v>
      </c>
      <c r="S1218" s="25"/>
      <c r="T1218" s="25"/>
      <c r="U1218" s="27"/>
      <c r="X1218" s="47">
        <v>42404</v>
      </c>
      <c r="Y1218" s="48">
        <f t="shared" si="74"/>
        <v>12.614431892779212</v>
      </c>
      <c r="Z1218" s="49"/>
      <c r="AA1218" s="49"/>
      <c r="AB1218" s="51"/>
      <c r="AE1218" s="47">
        <v>42404</v>
      </c>
      <c r="AF1218" s="48">
        <f t="shared" si="75"/>
        <v>8.7749632580521393</v>
      </c>
      <c r="AG1218" s="49"/>
      <c r="AH1218" s="49"/>
      <c r="AI1218" s="51"/>
    </row>
    <row r="1219" spans="1:35" x14ac:dyDescent="0.3">
      <c r="A1219" s="20">
        <v>42401</v>
      </c>
      <c r="C1219">
        <f>-(Historical_Simulation!B1220-Historical_Simulation!B1221)</f>
        <v>0.22749999999999915</v>
      </c>
      <c r="E1219">
        <f>-(Historical_Simulation!C1220-Historical_Simulation!C1221)</f>
        <v>12.189899999999966</v>
      </c>
      <c r="G1219">
        <f>-(Historical_Simulation!D1220-Historical_Simulation!D1221)</f>
        <v>-2.8800000000000097</v>
      </c>
      <c r="J1219" s="23">
        <v>42403</v>
      </c>
      <c r="K1219" s="24">
        <f t="shared" si="72"/>
        <v>11.128547527821254</v>
      </c>
      <c r="L1219" s="25"/>
      <c r="M1219" s="25"/>
      <c r="N1219" s="27"/>
      <c r="Q1219" s="23">
        <v>42403</v>
      </c>
      <c r="R1219" s="24">
        <f t="shared" si="73"/>
        <v>7.481189353695628</v>
      </c>
      <c r="S1219" s="25"/>
      <c r="T1219" s="25"/>
      <c r="U1219" s="27"/>
      <c r="X1219" s="47">
        <v>42403</v>
      </c>
      <c r="Y1219" s="48">
        <f t="shared" si="74"/>
        <v>12.909814870280808</v>
      </c>
      <c r="Z1219" s="49"/>
      <c r="AA1219" s="49"/>
      <c r="AB1219" s="51"/>
      <c r="AE1219" s="47">
        <v>42403</v>
      </c>
      <c r="AF1219" s="48">
        <f t="shared" si="75"/>
        <v>8.8582208966185441</v>
      </c>
      <c r="AG1219" s="49"/>
      <c r="AH1219" s="49"/>
      <c r="AI1219" s="51"/>
    </row>
    <row r="1220" spans="1:35" x14ac:dyDescent="0.3">
      <c r="A1220" s="20">
        <v>42398</v>
      </c>
      <c r="C1220">
        <f>-(Historical_Simulation!B1221-Historical_Simulation!B1222)</f>
        <v>-0.8125</v>
      </c>
      <c r="E1220">
        <f>-(Historical_Simulation!C1221-Historical_Simulation!C1222)</f>
        <v>48.350099999999998</v>
      </c>
      <c r="G1220">
        <f>-(Historical_Simulation!D1221-Historical_Simulation!D1222)</f>
        <v>-3.0999999999999943</v>
      </c>
      <c r="J1220" s="23">
        <v>42402</v>
      </c>
      <c r="K1220" s="24">
        <f t="shared" si="72"/>
        <v>12.474622511315667</v>
      </c>
      <c r="L1220" s="25"/>
      <c r="M1220" s="25"/>
      <c r="N1220" s="27"/>
      <c r="Q1220" s="23">
        <v>42402</v>
      </c>
      <c r="R1220" s="24">
        <f t="shared" si="73"/>
        <v>8.7042577235725833</v>
      </c>
      <c r="S1220" s="25"/>
      <c r="T1220" s="25"/>
      <c r="U1220" s="27"/>
      <c r="X1220" s="47">
        <v>42402</v>
      </c>
      <c r="Y1220" s="48">
        <f t="shared" si="74"/>
        <v>0.44547702134992218</v>
      </c>
      <c r="Z1220" s="49"/>
      <c r="AA1220" s="49"/>
      <c r="AB1220" s="51"/>
      <c r="AE1220" s="47">
        <v>42402</v>
      </c>
      <c r="AF1220" s="48">
        <f t="shared" si="75"/>
        <v>0.45820454168602853</v>
      </c>
      <c r="AG1220" s="49"/>
      <c r="AH1220" s="49"/>
      <c r="AI1220" s="51"/>
    </row>
    <row r="1221" spans="1:35" x14ac:dyDescent="0.3">
      <c r="A1221" s="20">
        <v>42397</v>
      </c>
      <c r="C1221">
        <f>-(Historical_Simulation!B1222-Historical_Simulation!B1223)</f>
        <v>-0.16750000000000043</v>
      </c>
      <c r="E1221">
        <f>-(Historical_Simulation!C1222-Historical_Simulation!C1223)</f>
        <v>-52</v>
      </c>
      <c r="G1221">
        <f>-(Historical_Simulation!D1222-Historical_Simulation!D1223)</f>
        <v>-14.659999999999997</v>
      </c>
      <c r="J1221" s="23">
        <v>42401</v>
      </c>
      <c r="K1221" s="24">
        <f t="shared" si="72"/>
        <v>6.6801832862802062</v>
      </c>
      <c r="L1221" s="25"/>
      <c r="M1221" s="25"/>
      <c r="N1221" s="27"/>
      <c r="Q1221" s="23">
        <v>42401</v>
      </c>
      <c r="R1221" s="24">
        <f t="shared" si="73"/>
        <v>4.6505911280217891</v>
      </c>
      <c r="S1221" s="25"/>
      <c r="T1221" s="25"/>
      <c r="U1221" s="27"/>
      <c r="X1221" s="47">
        <v>42401</v>
      </c>
      <c r="Y1221" s="48">
        <f t="shared" si="74"/>
        <v>-17.184020820690151</v>
      </c>
      <c r="Z1221" s="49"/>
      <c r="AA1221" s="49"/>
      <c r="AB1221" s="51"/>
      <c r="AE1221" s="47">
        <v>42401</v>
      </c>
      <c r="AF1221" s="48">
        <f t="shared" si="75"/>
        <v>-11.910584894761135</v>
      </c>
      <c r="AG1221" s="49"/>
      <c r="AH1221" s="49"/>
      <c r="AI1221" s="51"/>
    </row>
    <row r="1222" spans="1:35" x14ac:dyDescent="0.3">
      <c r="A1222" s="20">
        <v>42396</v>
      </c>
      <c r="C1222">
        <f>-(Historical_Simulation!B1223-Historical_Simulation!B1224)</f>
        <v>1.6424999999999983</v>
      </c>
      <c r="E1222">
        <f>-(Historical_Simulation!C1223-Historical_Simulation!C1224)</f>
        <v>17.899900000000002</v>
      </c>
      <c r="G1222">
        <f>-(Historical_Simulation!D1223-Historical_Simulation!D1224)</f>
        <v>2.8900000000000006</v>
      </c>
      <c r="J1222" s="23">
        <v>42398</v>
      </c>
      <c r="K1222" s="24">
        <f t="shared" ref="K1222:K1285" si="76">C1220*$K$3+E1220*(1-$K$3)</f>
        <v>25.706483425573477</v>
      </c>
      <c r="L1222" s="25"/>
      <c r="M1222" s="25"/>
      <c r="N1222" s="27"/>
      <c r="Q1222" s="23">
        <v>42398</v>
      </c>
      <c r="R1222" s="24">
        <f t="shared" si="73"/>
        <v>17.36534557367122</v>
      </c>
      <c r="S1222" s="25"/>
      <c r="T1222" s="25"/>
      <c r="U1222" s="27"/>
      <c r="X1222" s="47">
        <v>42398</v>
      </c>
      <c r="Y1222" s="48">
        <f t="shared" si="74"/>
        <v>-13.629508488279487</v>
      </c>
      <c r="Z1222" s="49"/>
      <c r="AA1222" s="49"/>
      <c r="AB1222" s="51"/>
      <c r="AE1222" s="47">
        <v>42398</v>
      </c>
      <c r="AF1222" s="48">
        <f t="shared" si="75"/>
        <v>-9.7476147857653892</v>
      </c>
      <c r="AG1222" s="49"/>
      <c r="AH1222" s="49"/>
      <c r="AI1222" s="51"/>
    </row>
    <row r="1223" spans="1:35" x14ac:dyDescent="0.3">
      <c r="A1223" s="20">
        <v>42395</v>
      </c>
      <c r="C1223">
        <f>-(Historical_Simulation!B1224-Historical_Simulation!B1225)</f>
        <v>-0.13749999999999929</v>
      </c>
      <c r="E1223">
        <f>-(Historical_Simulation!C1224-Historical_Simulation!C1225)</f>
        <v>-4.7200000000000273</v>
      </c>
      <c r="G1223">
        <f>-(Historical_Simulation!D1224-Historical_Simulation!D1225)</f>
        <v>-0.32999999999999829</v>
      </c>
      <c r="J1223" s="23">
        <v>42397</v>
      </c>
      <c r="K1223" s="24">
        <f t="shared" si="76"/>
        <v>-28.126664250996438</v>
      </c>
      <c r="L1223" s="25"/>
      <c r="M1223" s="25"/>
      <c r="N1223" s="27"/>
      <c r="Q1223" s="23">
        <v>42397</v>
      </c>
      <c r="R1223" s="24">
        <f t="shared" ref="R1223:R1286" si="77">C1221*$R$3+E1221*(1-$R$3)</f>
        <v>-19.332539698822149</v>
      </c>
      <c r="S1223" s="25"/>
      <c r="T1223" s="25"/>
      <c r="U1223" s="27"/>
      <c r="X1223" s="47">
        <v>42397</v>
      </c>
      <c r="Y1223" s="48">
        <f t="shared" ref="Y1223:Y1286" si="78">C1221*$Y$3+G1221*(1-$Y$3)</f>
        <v>-81.369902411536984</v>
      </c>
      <c r="Z1223" s="49"/>
      <c r="AA1223" s="49"/>
      <c r="AB1223" s="51"/>
      <c r="AE1223" s="47">
        <v>42397</v>
      </c>
      <c r="AF1223" s="48">
        <f t="shared" ref="AF1223:AF1286" si="79">C1221*$AF$3+G1221*(1-$AF$3)</f>
        <v>-56.776090615390245</v>
      </c>
      <c r="AG1223" s="49"/>
      <c r="AH1223" s="49"/>
      <c r="AI1223" s="51"/>
    </row>
    <row r="1224" spans="1:35" x14ac:dyDescent="0.3">
      <c r="A1224" s="20">
        <v>42394</v>
      </c>
      <c r="C1224">
        <f>-(Historical_Simulation!B1225-Historical_Simulation!B1226)</f>
        <v>0.49500000000000099</v>
      </c>
      <c r="E1224">
        <f>-(Historical_Simulation!C1225-Historical_Simulation!C1226)</f>
        <v>-0.15009999999995216</v>
      </c>
      <c r="G1224">
        <f>-(Historical_Simulation!D1225-Historical_Simulation!D1226)</f>
        <v>0.92999999999999261</v>
      </c>
      <c r="J1224" s="23">
        <v>42396</v>
      </c>
      <c r="K1224" s="24">
        <f t="shared" si="76"/>
        <v>10.411965429877961</v>
      </c>
      <c r="L1224" s="25"/>
      <c r="M1224" s="25"/>
      <c r="N1224" s="27"/>
      <c r="Q1224" s="23">
        <v>42396</v>
      </c>
      <c r="R1224" s="24">
        <f t="shared" si="77"/>
        <v>7.6536651261203135</v>
      </c>
      <c r="S1224" s="25"/>
      <c r="T1224" s="25"/>
      <c r="U1224" s="27"/>
      <c r="X1224" s="47">
        <v>42396</v>
      </c>
      <c r="Y1224" s="48">
        <f t="shared" si="78"/>
        <v>8.6323221154661098</v>
      </c>
      <c r="Z1224" s="49"/>
      <c r="AA1224" s="49"/>
      <c r="AB1224" s="51"/>
      <c r="AE1224" s="47">
        <v>42396</v>
      </c>
      <c r="AF1224" s="48">
        <f t="shared" si="79"/>
        <v>6.5153112328928371</v>
      </c>
      <c r="AG1224" s="49"/>
      <c r="AH1224" s="49"/>
      <c r="AI1224" s="51"/>
    </row>
    <row r="1225" spans="1:35" x14ac:dyDescent="0.3">
      <c r="A1225" s="20">
        <v>42391</v>
      </c>
      <c r="C1225">
        <f>-(Historical_Simulation!B1226-Historical_Simulation!B1227)</f>
        <v>-1.2800000000000011</v>
      </c>
      <c r="E1225">
        <f>-(Historical_Simulation!C1226-Historical_Simulation!C1227)</f>
        <v>-21.359900000000039</v>
      </c>
      <c r="G1225">
        <f>-(Historical_Simulation!D1226-Historical_Simulation!D1227)</f>
        <v>-3.7800000000000011</v>
      </c>
      <c r="J1225" s="23">
        <v>42395</v>
      </c>
      <c r="K1225" s="24">
        <f t="shared" si="76"/>
        <v>-2.6093636025696605</v>
      </c>
      <c r="L1225" s="25"/>
      <c r="M1225" s="25"/>
      <c r="N1225" s="27"/>
      <c r="Q1225" s="23">
        <v>42395</v>
      </c>
      <c r="R1225" s="24">
        <f t="shared" si="77"/>
        <v>-1.8318769723600634</v>
      </c>
      <c r="S1225" s="25"/>
      <c r="T1225" s="25"/>
      <c r="U1225" s="27"/>
      <c r="X1225" s="47">
        <v>42395</v>
      </c>
      <c r="Y1225" s="48">
        <f t="shared" si="78"/>
        <v>-1.2160897853524779</v>
      </c>
      <c r="Z1225" s="49"/>
      <c r="AA1225" s="49"/>
      <c r="AB1225" s="51"/>
      <c r="AE1225" s="47">
        <v>42395</v>
      </c>
      <c r="AF1225" s="48">
        <f t="shared" si="79"/>
        <v>-0.88941676339227593</v>
      </c>
      <c r="AG1225" s="49"/>
      <c r="AH1225" s="49"/>
      <c r="AI1225" s="51"/>
    </row>
    <row r="1226" spans="1:35" x14ac:dyDescent="0.3">
      <c r="A1226" s="20">
        <v>42390</v>
      </c>
      <c r="C1226">
        <f>-(Historical_Simulation!B1227-Historical_Simulation!B1228)</f>
        <v>0.12250000000000227</v>
      </c>
      <c r="E1226">
        <f>-(Historical_Simulation!C1227-Historical_Simulation!C1228)</f>
        <v>-3.25</v>
      </c>
      <c r="G1226">
        <f>-(Historical_Simulation!D1227-Historical_Simulation!D1228)</f>
        <v>0.18999999999999773</v>
      </c>
      <c r="J1226" s="23">
        <v>42394</v>
      </c>
      <c r="K1226" s="24">
        <f t="shared" si="76"/>
        <v>0.14702417675557919</v>
      </c>
      <c r="L1226" s="25"/>
      <c r="M1226" s="25"/>
      <c r="N1226" s="27"/>
      <c r="Q1226" s="23">
        <v>42394</v>
      </c>
      <c r="R1226" s="24">
        <f t="shared" si="77"/>
        <v>0.25647461323090309</v>
      </c>
      <c r="S1226" s="25"/>
      <c r="T1226" s="25"/>
      <c r="U1226" s="27"/>
      <c r="X1226" s="47">
        <v>42394</v>
      </c>
      <c r="Y1226" s="48">
        <f t="shared" si="78"/>
        <v>2.9323327617055677</v>
      </c>
      <c r="Z1226" s="49"/>
      <c r="AA1226" s="49"/>
      <c r="AB1226" s="51"/>
      <c r="AE1226" s="47">
        <v>42394</v>
      </c>
      <c r="AF1226" s="48">
        <f t="shared" si="79"/>
        <v>2.1941365822110956</v>
      </c>
      <c r="AG1226" s="49"/>
      <c r="AH1226" s="49"/>
      <c r="AI1226" s="51"/>
    </row>
    <row r="1227" spans="1:35" x14ac:dyDescent="0.3">
      <c r="A1227" s="20">
        <v>42389</v>
      </c>
      <c r="C1227">
        <f>-(Historical_Simulation!B1228-Historical_Simulation!B1229)</f>
        <v>-3.2500000000002416E-2</v>
      </c>
      <c r="E1227">
        <f>-(Historical_Simulation!C1228-Historical_Simulation!C1229)</f>
        <v>2.7100000000000364</v>
      </c>
      <c r="G1227">
        <f>-(Historical_Simulation!D1228-Historical_Simulation!D1229)</f>
        <v>0.9100000000000108</v>
      </c>
      <c r="J1227" s="23">
        <v>42391</v>
      </c>
      <c r="K1227" s="24">
        <f t="shared" si="76"/>
        <v>-12.111374566991453</v>
      </c>
      <c r="L1227" s="25"/>
      <c r="M1227" s="25"/>
      <c r="N1227" s="27"/>
      <c r="Q1227" s="23">
        <v>42391</v>
      </c>
      <c r="R1227" s="24">
        <f t="shared" si="77"/>
        <v>-8.7045324969542204</v>
      </c>
      <c r="S1227" s="25"/>
      <c r="T1227" s="25"/>
      <c r="U1227" s="27"/>
      <c r="X1227" s="47">
        <v>42391</v>
      </c>
      <c r="Y1227" s="48">
        <f t="shared" si="78"/>
        <v>-15.287659550032259</v>
      </c>
      <c r="Z1227" s="49"/>
      <c r="AA1227" s="49"/>
      <c r="AB1227" s="51"/>
      <c r="AE1227" s="47">
        <v>42391</v>
      </c>
      <c r="AF1227" s="48">
        <f t="shared" si="79"/>
        <v>-11.04515277132832</v>
      </c>
      <c r="AG1227" s="49"/>
      <c r="AH1227" s="49"/>
      <c r="AI1227" s="51"/>
    </row>
    <row r="1228" spans="1:35" x14ac:dyDescent="0.3">
      <c r="A1228" s="20">
        <v>42388</v>
      </c>
      <c r="C1228">
        <f>-(Historical_Simulation!B1229-Historical_Simulation!B1230)</f>
        <v>0.11749999999999972</v>
      </c>
      <c r="E1228">
        <f>-(Historical_Simulation!C1229-Historical_Simulation!C1230)</f>
        <v>-4.3001000000000431</v>
      </c>
      <c r="G1228">
        <f>-(Historical_Simulation!D1229-Historical_Simulation!D1230)</f>
        <v>-0.29000000000000625</v>
      </c>
      <c r="J1228" s="23">
        <v>42390</v>
      </c>
      <c r="K1228" s="24">
        <f t="shared" si="76"/>
        <v>-1.6966729404617842</v>
      </c>
      <c r="L1228" s="25"/>
      <c r="M1228" s="25"/>
      <c r="N1228" s="27"/>
      <c r="Q1228" s="23">
        <v>42390</v>
      </c>
      <c r="R1228" s="24">
        <f t="shared" si="77"/>
        <v>-1.124480106772346</v>
      </c>
      <c r="S1228" s="25"/>
      <c r="T1228" s="25"/>
      <c r="U1228" s="27"/>
      <c r="X1228" s="47">
        <v>42390</v>
      </c>
      <c r="Y1228" s="48">
        <f t="shared" si="78"/>
        <v>0.50070680785084776</v>
      </c>
      <c r="Z1228" s="49"/>
      <c r="AA1228" s="49"/>
      <c r="AB1228" s="51"/>
      <c r="AE1228" s="47">
        <v>42390</v>
      </c>
      <c r="AF1228" s="48">
        <f t="shared" si="79"/>
        <v>0.38615912482584908</v>
      </c>
      <c r="AG1228" s="49"/>
      <c r="AH1228" s="49"/>
      <c r="AI1228" s="51"/>
    </row>
    <row r="1229" spans="1:35" x14ac:dyDescent="0.3">
      <c r="A1229" s="20">
        <v>42387</v>
      </c>
      <c r="C1229">
        <f>-(Historical_Simulation!B1230-Historical_Simulation!B1231)</f>
        <v>0</v>
      </c>
      <c r="E1229">
        <f>-(Historical_Simulation!C1230-Historical_Simulation!C1231)</f>
        <v>0</v>
      </c>
      <c r="G1229">
        <f>-(Historical_Simulation!D1230-Historical_Simulation!D1231)</f>
        <v>0</v>
      </c>
      <c r="J1229" s="23">
        <v>42389</v>
      </c>
      <c r="K1229" s="24">
        <f t="shared" si="76"/>
        <v>1.4468422651494466</v>
      </c>
      <c r="L1229" s="25"/>
      <c r="M1229" s="25"/>
      <c r="N1229" s="27"/>
      <c r="Q1229" s="23">
        <v>42389</v>
      </c>
      <c r="R1229" s="24">
        <f t="shared" si="77"/>
        <v>0.98153793708619785</v>
      </c>
      <c r="S1229" s="25"/>
      <c r="T1229" s="25"/>
      <c r="U1229" s="27"/>
      <c r="X1229" s="47">
        <v>42389</v>
      </c>
      <c r="Y1229" s="48">
        <f t="shared" si="78"/>
        <v>5.2483876503622344</v>
      </c>
      <c r="Z1229" s="49"/>
      <c r="AA1229" s="49"/>
      <c r="AB1229" s="51"/>
      <c r="AE1229" s="47">
        <v>42389</v>
      </c>
      <c r="AF1229" s="48">
        <f t="shared" si="79"/>
        <v>3.6489625947908251</v>
      </c>
      <c r="AG1229" s="49"/>
      <c r="AH1229" s="49"/>
      <c r="AI1229" s="51"/>
    </row>
    <row r="1230" spans="1:35" x14ac:dyDescent="0.3">
      <c r="A1230" s="20">
        <v>42384</v>
      </c>
      <c r="C1230">
        <f>-(Historical_Simulation!B1231-Historical_Simulation!B1232)</f>
        <v>0.59750000000000014</v>
      </c>
      <c r="E1230">
        <f>-(Historical_Simulation!C1231-Historical_Simulation!C1232)</f>
        <v>22.820100000000025</v>
      </c>
      <c r="G1230">
        <f>-(Historical_Simulation!D1231-Historical_Simulation!D1232)</f>
        <v>3.4000000000000057</v>
      </c>
      <c r="J1230" s="23">
        <v>42388</v>
      </c>
      <c r="K1230" s="24">
        <f t="shared" si="76"/>
        <v>-2.2654142718410859</v>
      </c>
      <c r="L1230" s="25"/>
      <c r="M1230" s="25"/>
      <c r="N1230" s="27"/>
      <c r="Q1230" s="23">
        <v>42388</v>
      </c>
      <c r="R1230" s="24">
        <f t="shared" si="77"/>
        <v>-1.5159052838184064</v>
      </c>
      <c r="S1230" s="25"/>
      <c r="T1230" s="25"/>
      <c r="U1230" s="27"/>
      <c r="X1230" s="47">
        <v>42388</v>
      </c>
      <c r="Y1230" s="48">
        <f t="shared" si="78"/>
        <v>-2.1657485066552922</v>
      </c>
      <c r="Z1230" s="49"/>
      <c r="AA1230" s="49"/>
      <c r="AB1230" s="51"/>
      <c r="AE1230" s="47">
        <v>42388</v>
      </c>
      <c r="AF1230" s="48">
        <f t="shared" si="79"/>
        <v>-1.4742199017265394</v>
      </c>
      <c r="AG1230" s="49"/>
      <c r="AH1230" s="49"/>
      <c r="AI1230" s="51"/>
    </row>
    <row r="1231" spans="1:35" x14ac:dyDescent="0.3">
      <c r="A1231" s="20">
        <v>42383</v>
      </c>
      <c r="C1231">
        <f>-(Historical_Simulation!B1232-Historical_Simulation!B1233)</f>
        <v>-0.53249999999999886</v>
      </c>
      <c r="E1231">
        <f>-(Historical_Simulation!C1232-Historical_Simulation!C1233)</f>
        <v>-11.189899999999966</v>
      </c>
      <c r="G1231">
        <f>-(Historical_Simulation!D1232-Historical_Simulation!D1233)</f>
        <v>-2.9300000000000068</v>
      </c>
      <c r="J1231" s="23">
        <v>42387</v>
      </c>
      <c r="K1231" s="24">
        <f t="shared" si="76"/>
        <v>0</v>
      </c>
      <c r="L1231" s="25"/>
      <c r="M1231" s="25"/>
      <c r="N1231" s="27"/>
      <c r="Q1231" s="23">
        <v>42387</v>
      </c>
      <c r="R1231" s="24">
        <f t="shared" si="77"/>
        <v>0</v>
      </c>
      <c r="S1231" s="25"/>
      <c r="T1231" s="25"/>
      <c r="U1231" s="27"/>
      <c r="X1231" s="47">
        <v>42387</v>
      </c>
      <c r="Y1231" s="48">
        <f t="shared" si="78"/>
        <v>0</v>
      </c>
      <c r="Z1231" s="49"/>
      <c r="AA1231" s="49"/>
      <c r="AB1231" s="51"/>
      <c r="AE1231" s="47">
        <v>42387</v>
      </c>
      <c r="AF1231" s="48">
        <f t="shared" si="79"/>
        <v>0</v>
      </c>
      <c r="AG1231" s="49"/>
      <c r="AH1231" s="49"/>
      <c r="AI1231" s="51"/>
    </row>
    <row r="1232" spans="1:35" x14ac:dyDescent="0.3">
      <c r="A1232" s="20">
        <v>42382</v>
      </c>
      <c r="C1232">
        <f>-(Historical_Simulation!B1233-Historical_Simulation!B1234)</f>
        <v>0.64249999999999829</v>
      </c>
      <c r="E1232">
        <f>-(Historical_Simulation!C1233-Historical_Simulation!C1234)</f>
        <v>36.079799999999977</v>
      </c>
      <c r="G1232">
        <f>-(Historical_Simulation!D1233-Historical_Simulation!D1234)</f>
        <v>3.9300000000000068</v>
      </c>
      <c r="J1232" s="23">
        <v>42384</v>
      </c>
      <c r="K1232" s="24">
        <f t="shared" si="76"/>
        <v>12.584676452692696</v>
      </c>
      <c r="L1232" s="25"/>
      <c r="M1232" s="25"/>
      <c r="N1232" s="27"/>
      <c r="Q1232" s="23">
        <v>42384</v>
      </c>
      <c r="R1232" s="24">
        <f t="shared" si="77"/>
        <v>8.8142946985201469</v>
      </c>
      <c r="S1232" s="25"/>
      <c r="T1232" s="25"/>
      <c r="U1232" s="27"/>
      <c r="X1232" s="47">
        <v>42384</v>
      </c>
      <c r="Y1232" s="48">
        <f t="shared" si="78"/>
        <v>16.300086355586195</v>
      </c>
      <c r="Z1232" s="49"/>
      <c r="AA1232" s="49"/>
      <c r="AB1232" s="51"/>
      <c r="AE1232" s="47">
        <v>42384</v>
      </c>
      <c r="AF1232" s="48">
        <f t="shared" si="79"/>
        <v>11.544236256659065</v>
      </c>
      <c r="AG1232" s="49"/>
      <c r="AH1232" s="49"/>
      <c r="AI1232" s="51"/>
    </row>
    <row r="1233" spans="1:35" x14ac:dyDescent="0.3">
      <c r="A1233" s="20">
        <v>42381</v>
      </c>
      <c r="C1233">
        <f>-(Historical_Simulation!B1234-Historical_Simulation!B1235)</f>
        <v>-0.35749999999999815</v>
      </c>
      <c r="E1233">
        <f>-(Historical_Simulation!C1234-Historical_Simulation!C1235)</f>
        <v>-0.14990000000000236</v>
      </c>
      <c r="G1233">
        <f>-(Historical_Simulation!D1234-Historical_Simulation!D1235)</f>
        <v>-1.8599999999999994</v>
      </c>
      <c r="J1233" s="23">
        <v>42383</v>
      </c>
      <c r="K1233" s="24">
        <f t="shared" si="76"/>
        <v>-6.2812483159903234</v>
      </c>
      <c r="L1233" s="25"/>
      <c r="M1233" s="25"/>
      <c r="N1233" s="27"/>
      <c r="Q1233" s="23">
        <v>42383</v>
      </c>
      <c r="R1233" s="24">
        <f t="shared" si="77"/>
        <v>-4.4730680622433114</v>
      </c>
      <c r="S1233" s="25"/>
      <c r="T1233" s="25"/>
      <c r="U1233" s="27"/>
      <c r="X1233" s="47">
        <v>42383</v>
      </c>
      <c r="Y1233" s="48">
        <f t="shared" si="78"/>
        <v>-13.965845508480983</v>
      </c>
      <c r="Z1233" s="49"/>
      <c r="AA1233" s="49"/>
      <c r="AB1233" s="51"/>
      <c r="AE1233" s="47">
        <v>42383</v>
      </c>
      <c r="AF1233" s="48">
        <f t="shared" si="79"/>
        <v>-9.8972815077038874</v>
      </c>
      <c r="AG1233" s="49"/>
      <c r="AH1233" s="49"/>
      <c r="AI1233" s="51"/>
    </row>
    <row r="1234" spans="1:35" x14ac:dyDescent="0.3">
      <c r="A1234" s="20">
        <v>42380</v>
      </c>
      <c r="C1234">
        <f>-(Historical_Simulation!B1235-Historical_Simulation!B1236)</f>
        <v>-0.39250000000000185</v>
      </c>
      <c r="E1234">
        <f>-(Historical_Simulation!C1235-Historical_Simulation!C1236)</f>
        <v>-10.690000000000055</v>
      </c>
      <c r="G1234">
        <f>-(Historical_Simulation!D1235-Historical_Simulation!D1236)</f>
        <v>-0.18000000000000682</v>
      </c>
      <c r="J1234" s="23">
        <v>42382</v>
      </c>
      <c r="K1234" s="24">
        <f t="shared" si="76"/>
        <v>19.757867603566012</v>
      </c>
      <c r="L1234" s="25"/>
      <c r="M1234" s="25"/>
      <c r="N1234" s="27"/>
      <c r="Q1234" s="23">
        <v>42382</v>
      </c>
      <c r="R1234" s="24">
        <f t="shared" si="77"/>
        <v>13.745423094951422</v>
      </c>
      <c r="S1234" s="25"/>
      <c r="T1234" s="25"/>
      <c r="U1234" s="27"/>
      <c r="X1234" s="47">
        <v>42382</v>
      </c>
      <c r="Y1234" s="48">
        <f t="shared" si="78"/>
        <v>19.06257230829247</v>
      </c>
      <c r="Z1234" s="49"/>
      <c r="AA1234" s="49"/>
      <c r="AB1234" s="51"/>
      <c r="AE1234" s="47">
        <v>42382</v>
      </c>
      <c r="AF1234" s="48">
        <f t="shared" si="79"/>
        <v>13.48367589429677</v>
      </c>
      <c r="AG1234" s="49"/>
      <c r="AH1234" s="49"/>
      <c r="AI1234" s="51"/>
    </row>
    <row r="1235" spans="1:35" x14ac:dyDescent="0.3">
      <c r="A1235" s="20">
        <v>42377</v>
      </c>
      <c r="C1235">
        <f>-(Historical_Simulation!B1236-Historical_Simulation!B1237)</f>
        <v>-0.12749999999999773</v>
      </c>
      <c r="E1235">
        <f>-(Historical_Simulation!C1236-Historical_Simulation!C1237)</f>
        <v>0.88990000000001146</v>
      </c>
      <c r="G1235">
        <f>-(Historical_Simulation!D1236-Historical_Simulation!D1237)</f>
        <v>0.59000000000000341</v>
      </c>
      <c r="J1235" s="23">
        <v>42381</v>
      </c>
      <c r="K1235" s="24">
        <f t="shared" si="76"/>
        <v>-0.24551770127802364</v>
      </c>
      <c r="L1235" s="25"/>
      <c r="M1235" s="25"/>
      <c r="N1235" s="27"/>
      <c r="Q1235" s="23">
        <v>42381</v>
      </c>
      <c r="R1235" s="24">
        <f t="shared" si="77"/>
        <v>-0.2807400088462742</v>
      </c>
      <c r="S1235" s="25"/>
      <c r="T1235" s="25"/>
      <c r="U1235" s="27"/>
      <c r="X1235" s="47">
        <v>42381</v>
      </c>
      <c r="Y1235" s="48">
        <f t="shared" si="78"/>
        <v>-8.7761033895693945</v>
      </c>
      <c r="Z1235" s="49"/>
      <c r="AA1235" s="49"/>
      <c r="AB1235" s="51"/>
      <c r="AE1235" s="47">
        <v>42381</v>
      </c>
      <c r="AF1235" s="48">
        <f t="shared" si="79"/>
        <v>-6.2263568155683222</v>
      </c>
      <c r="AG1235" s="49"/>
      <c r="AH1235" s="49"/>
      <c r="AI1235" s="51"/>
    </row>
    <row r="1236" spans="1:35" x14ac:dyDescent="0.3">
      <c r="A1236" s="20">
        <v>42376</v>
      </c>
      <c r="C1236">
        <f>-(Historical_Simulation!B1237-Historical_Simulation!B1238)</f>
        <v>1.0625</v>
      </c>
      <c r="E1236">
        <f>-(Historical_Simulation!C1237-Historical_Simulation!C1238)</f>
        <v>24.710000000000036</v>
      </c>
      <c r="G1236">
        <f>-(Historical_Simulation!D1237-Historical_Simulation!D1238)</f>
        <v>5.0499999999999972</v>
      </c>
      <c r="J1236" s="23">
        <v>42380</v>
      </c>
      <c r="K1236" s="24">
        <f t="shared" si="76"/>
        <v>-5.947113300046059</v>
      </c>
      <c r="L1236" s="25"/>
      <c r="M1236" s="25"/>
      <c r="N1236" s="27"/>
      <c r="Q1236" s="23">
        <v>42380</v>
      </c>
      <c r="R1236" s="24">
        <f t="shared" si="77"/>
        <v>-4.1999952259416808</v>
      </c>
      <c r="S1236" s="25"/>
      <c r="T1236" s="25"/>
      <c r="U1236" s="27"/>
      <c r="X1236" s="47">
        <v>42380</v>
      </c>
      <c r="Y1236" s="48">
        <f t="shared" si="78"/>
        <v>0.79815106175271255</v>
      </c>
      <c r="Z1236" s="49"/>
      <c r="AA1236" s="49"/>
      <c r="AB1236" s="51"/>
      <c r="AE1236" s="47">
        <v>42380</v>
      </c>
      <c r="AF1236" s="48">
        <f t="shared" si="79"/>
        <v>0.43753798556288581</v>
      </c>
      <c r="AG1236" s="49"/>
      <c r="AH1236" s="49"/>
      <c r="AI1236" s="51"/>
    </row>
    <row r="1237" spans="1:35" x14ac:dyDescent="0.3">
      <c r="A1237" s="20">
        <v>42375</v>
      </c>
      <c r="C1237">
        <f>-(Historical_Simulation!B1238-Historical_Simulation!B1239)</f>
        <v>0.50249999999999773</v>
      </c>
      <c r="E1237">
        <f>-(Historical_Simulation!C1238-Historical_Simulation!C1239)</f>
        <v>1.1400999999999613</v>
      </c>
      <c r="G1237">
        <f>-(Historical_Simulation!D1238-Historical_Simulation!D1239)</f>
        <v>-0.23999999999999488</v>
      </c>
      <c r="J1237" s="23">
        <v>42377</v>
      </c>
      <c r="K1237" s="24">
        <f t="shared" si="76"/>
        <v>0.42129956994094725</v>
      </c>
      <c r="L1237" s="25"/>
      <c r="M1237" s="25"/>
      <c r="N1237" s="27"/>
      <c r="Q1237" s="23">
        <v>42377</v>
      </c>
      <c r="R1237" s="24">
        <f t="shared" si="77"/>
        <v>0.24868311656937145</v>
      </c>
      <c r="S1237" s="25"/>
      <c r="T1237" s="25"/>
      <c r="U1237" s="27"/>
      <c r="X1237" s="47">
        <v>42377</v>
      </c>
      <c r="Y1237" s="48">
        <f t="shared" si="78"/>
        <v>3.8926982908592676</v>
      </c>
      <c r="Z1237" s="49"/>
      <c r="AA1237" s="49"/>
      <c r="AB1237" s="51"/>
      <c r="AE1237" s="47">
        <v>42377</v>
      </c>
      <c r="AF1237" s="48">
        <f t="shared" si="79"/>
        <v>2.6750988453712341</v>
      </c>
      <c r="AG1237" s="49"/>
      <c r="AH1237" s="49"/>
      <c r="AI1237" s="51"/>
    </row>
    <row r="1238" spans="1:35" x14ac:dyDescent="0.3">
      <c r="A1238" s="20">
        <v>42374</v>
      </c>
      <c r="C1238">
        <f>-(Historical_Simulation!B1239-Historical_Simulation!B1240)</f>
        <v>0.66000000000000014</v>
      </c>
      <c r="E1238">
        <f>-(Historical_Simulation!C1239-Historical_Simulation!C1240)</f>
        <v>3.2000000000000455</v>
      </c>
      <c r="G1238">
        <f>-(Historical_Simulation!D1239-Historical_Simulation!D1240)</f>
        <v>-0.51000000000000512</v>
      </c>
      <c r="J1238" s="23">
        <v>42376</v>
      </c>
      <c r="K1238" s="24">
        <f t="shared" si="76"/>
        <v>13.818287134045999</v>
      </c>
      <c r="L1238" s="25"/>
      <c r="M1238" s="25"/>
      <c r="N1238" s="27"/>
      <c r="Q1238" s="23">
        <v>42376</v>
      </c>
      <c r="R1238" s="24">
        <f t="shared" si="77"/>
        <v>9.8061507264341365</v>
      </c>
      <c r="S1238" s="25"/>
      <c r="T1238" s="25"/>
      <c r="U1238" s="27"/>
      <c r="X1238" s="47">
        <v>42376</v>
      </c>
      <c r="Y1238" s="48">
        <f t="shared" si="78"/>
        <v>23.404716982301441</v>
      </c>
      <c r="Z1238" s="49"/>
      <c r="AA1238" s="49"/>
      <c r="AB1238" s="51"/>
      <c r="AE1238" s="47">
        <v>42376</v>
      </c>
      <c r="AF1238" s="48">
        <f t="shared" si="79"/>
        <v>16.637918670268657</v>
      </c>
      <c r="AG1238" s="49"/>
      <c r="AH1238" s="49"/>
      <c r="AI1238" s="51"/>
    </row>
    <row r="1239" spans="1:35" x14ac:dyDescent="0.3">
      <c r="A1239" s="20">
        <v>42373</v>
      </c>
      <c r="C1239">
        <f>-(Historical_Simulation!B1240-Historical_Simulation!B1241)</f>
        <v>-2.24999999999973E-2</v>
      </c>
      <c r="E1239">
        <f>-(Historical_Simulation!C1240-Historical_Simulation!C1241)</f>
        <v>38.899900000000002</v>
      </c>
      <c r="G1239">
        <f>-(Historical_Simulation!D1240-Historical_Simulation!D1241)</f>
        <v>2.4399999999999977</v>
      </c>
      <c r="J1239" s="23">
        <v>42375</v>
      </c>
      <c r="K1239" s="24">
        <f t="shared" si="76"/>
        <v>0.84643021996689705</v>
      </c>
      <c r="L1239" s="25"/>
      <c r="M1239" s="25"/>
      <c r="N1239" s="27"/>
      <c r="Q1239" s="23">
        <v>42375</v>
      </c>
      <c r="R1239" s="24">
        <f t="shared" si="77"/>
        <v>0.73825226570140701</v>
      </c>
      <c r="S1239" s="25"/>
      <c r="T1239" s="25"/>
      <c r="U1239" s="27"/>
      <c r="X1239" s="47">
        <v>42375</v>
      </c>
      <c r="Y1239" s="48">
        <f t="shared" si="78"/>
        <v>-3.6577748863595421</v>
      </c>
      <c r="Z1239" s="49"/>
      <c r="AA1239" s="49"/>
      <c r="AB1239" s="51"/>
      <c r="AE1239" s="47">
        <v>42375</v>
      </c>
      <c r="AF1239" s="48">
        <f t="shared" si="79"/>
        <v>-2.397750373084484</v>
      </c>
      <c r="AG1239" s="49"/>
      <c r="AH1239" s="49"/>
      <c r="AI1239" s="51"/>
    </row>
    <row r="1240" spans="1:35" x14ac:dyDescent="0.3">
      <c r="A1240" s="20">
        <v>42370</v>
      </c>
      <c r="C1240">
        <f>-(Historical_Simulation!B1241-Historical_Simulation!B1242)</f>
        <v>0</v>
      </c>
      <c r="E1240">
        <f>-(Historical_Simulation!C1241-Historical_Simulation!C1242)</f>
        <v>0</v>
      </c>
      <c r="G1240">
        <f>-(Historical_Simulation!D1241-Historical_Simulation!D1242)</f>
        <v>0</v>
      </c>
      <c r="J1240" s="23">
        <v>42374</v>
      </c>
      <c r="K1240" s="24">
        <f t="shared" si="76"/>
        <v>2.0301109766561947</v>
      </c>
      <c r="L1240" s="25"/>
      <c r="M1240" s="25"/>
      <c r="N1240" s="27"/>
      <c r="Q1240" s="23">
        <v>42374</v>
      </c>
      <c r="R1240" s="24">
        <f t="shared" si="77"/>
        <v>1.5991636682585082</v>
      </c>
      <c r="S1240" s="25"/>
      <c r="T1240" s="25"/>
      <c r="U1240" s="27"/>
      <c r="X1240" s="47">
        <v>42374</v>
      </c>
      <c r="Y1240" s="48">
        <f t="shared" si="78"/>
        <v>-5.8955846694151273</v>
      </c>
      <c r="Z1240" s="49"/>
      <c r="AA1240" s="49"/>
      <c r="AB1240" s="51"/>
      <c r="AE1240" s="47">
        <v>42374</v>
      </c>
      <c r="AF1240" s="48">
        <f t="shared" si="79"/>
        <v>-3.9100914969816731</v>
      </c>
      <c r="AG1240" s="49"/>
      <c r="AH1240" s="49"/>
      <c r="AI1240" s="51"/>
    </row>
    <row r="1241" spans="1:35" x14ac:dyDescent="0.3">
      <c r="A1241" s="20">
        <v>42369</v>
      </c>
      <c r="C1241">
        <f>-(Historical_Simulation!B1242-Historical_Simulation!B1243)</f>
        <v>0.51499999999999702</v>
      </c>
      <c r="E1241">
        <f>-(Historical_Simulation!C1242-Historical_Simulation!C1243)</f>
        <v>13.180200000000013</v>
      </c>
      <c r="G1241">
        <f>-(Historical_Simulation!D1242-Historical_Simulation!D1243)</f>
        <v>1.5600000000000023</v>
      </c>
      <c r="J1241" s="23">
        <v>42373</v>
      </c>
      <c r="K1241" s="24">
        <f t="shared" si="76"/>
        <v>20.97277853456777</v>
      </c>
      <c r="L1241" s="25"/>
      <c r="M1241" s="25"/>
      <c r="N1241" s="27"/>
      <c r="Q1241" s="23">
        <v>42373</v>
      </c>
      <c r="R1241" s="24">
        <f t="shared" si="77"/>
        <v>14.369036992686736</v>
      </c>
      <c r="S1241" s="25"/>
      <c r="T1241" s="25"/>
      <c r="U1241" s="27"/>
      <c r="X1241" s="47">
        <v>42373</v>
      </c>
      <c r="Y1241" s="48">
        <f t="shared" si="78"/>
        <v>13.775044656781752</v>
      </c>
      <c r="Z1241" s="49"/>
      <c r="AA1241" s="49"/>
      <c r="AB1241" s="51"/>
      <c r="AE1241" s="47">
        <v>42373</v>
      </c>
      <c r="AF1241" s="48">
        <f t="shared" si="79"/>
        <v>9.5961754797583776</v>
      </c>
      <c r="AG1241" s="49"/>
      <c r="AH1241" s="49"/>
      <c r="AI1241" s="51"/>
    </row>
    <row r="1242" spans="1:35" x14ac:dyDescent="0.3">
      <c r="A1242" s="20">
        <v>42368</v>
      </c>
      <c r="C1242">
        <f>-(Historical_Simulation!B1243-Historical_Simulation!B1244)</f>
        <v>0.35500000000000043</v>
      </c>
      <c r="E1242">
        <f>-(Historical_Simulation!C1243-Historical_Simulation!C1244)</f>
        <v>4.8999000000000024</v>
      </c>
      <c r="G1242">
        <f>-(Historical_Simulation!D1243-Historical_Simulation!D1244)</f>
        <v>1.0400000000000063</v>
      </c>
      <c r="J1242" s="23">
        <v>42370</v>
      </c>
      <c r="K1242" s="24">
        <f t="shared" si="76"/>
        <v>0</v>
      </c>
      <c r="L1242" s="25"/>
      <c r="M1242" s="25"/>
      <c r="N1242" s="27"/>
      <c r="Q1242" s="23">
        <v>42370</v>
      </c>
      <c r="R1242" s="24">
        <f t="shared" si="77"/>
        <v>0</v>
      </c>
      <c r="S1242" s="25"/>
      <c r="T1242" s="25"/>
      <c r="U1242" s="27"/>
      <c r="X1242" s="47">
        <v>42370</v>
      </c>
      <c r="Y1242" s="48">
        <f t="shared" si="78"/>
        <v>0</v>
      </c>
      <c r="Z1242" s="49"/>
      <c r="AA1242" s="49"/>
      <c r="AB1242" s="51"/>
      <c r="AE1242" s="47">
        <v>42370</v>
      </c>
      <c r="AF1242" s="48">
        <f t="shared" si="79"/>
        <v>0</v>
      </c>
      <c r="AG1242" s="49"/>
      <c r="AH1242" s="49"/>
      <c r="AI1242" s="51"/>
    </row>
    <row r="1243" spans="1:35" x14ac:dyDescent="0.3">
      <c r="A1243" s="20">
        <v>42367</v>
      </c>
      <c r="C1243">
        <f>-(Historical_Simulation!B1244-Historical_Simulation!B1245)</f>
        <v>-0.48000000000000043</v>
      </c>
      <c r="E1243">
        <f>-(Historical_Simulation!C1244-Historical_Simulation!C1245)</f>
        <v>-18.769999999999982</v>
      </c>
      <c r="G1243">
        <f>-(Historical_Simulation!D1244-Historical_Simulation!D1245)</f>
        <v>-1.3299999999999983</v>
      </c>
      <c r="J1243" s="23">
        <v>42369</v>
      </c>
      <c r="K1243" s="24">
        <f t="shared" si="76"/>
        <v>7.3467832840731271</v>
      </c>
      <c r="L1243" s="25"/>
      <c r="M1243" s="25"/>
      <c r="N1243" s="27"/>
      <c r="Q1243" s="23">
        <v>42369</v>
      </c>
      <c r="R1243" s="24">
        <f t="shared" si="77"/>
        <v>5.1979510595383669</v>
      </c>
      <c r="S1243" s="25"/>
      <c r="T1243" s="25"/>
      <c r="U1243" s="27"/>
      <c r="X1243" s="47">
        <v>42369</v>
      </c>
      <c r="Y1243" s="48">
        <f t="shared" si="78"/>
        <v>6.3702016919135112</v>
      </c>
      <c r="Z1243" s="49"/>
      <c r="AA1243" s="49"/>
      <c r="AB1243" s="51"/>
      <c r="AE1243" s="47">
        <v>42369</v>
      </c>
      <c r="AF1243" s="48">
        <f t="shared" si="79"/>
        <v>4.5968338584152546</v>
      </c>
      <c r="AG1243" s="49"/>
      <c r="AH1243" s="49"/>
      <c r="AI1243" s="51"/>
    </row>
    <row r="1244" spans="1:35" x14ac:dyDescent="0.3">
      <c r="A1244" s="20">
        <v>42366</v>
      </c>
      <c r="C1244">
        <f>-(Historical_Simulation!B1245-Historical_Simulation!B1246)</f>
        <v>0.30250000000000199</v>
      </c>
      <c r="E1244">
        <f>-(Historical_Simulation!C1245-Historical_Simulation!C1246)</f>
        <v>-12.410000000000082</v>
      </c>
      <c r="G1244">
        <f>-(Historical_Simulation!D1245-Historical_Simulation!D1246)</f>
        <v>-0.9100000000000108</v>
      </c>
      <c r="J1244" s="23">
        <v>42368</v>
      </c>
      <c r="K1244" s="24">
        <f t="shared" si="76"/>
        <v>2.8065816448049734</v>
      </c>
      <c r="L1244" s="25"/>
      <c r="M1244" s="25"/>
      <c r="N1244" s="27"/>
      <c r="Q1244" s="23">
        <v>42368</v>
      </c>
      <c r="R1244" s="24">
        <f t="shared" si="77"/>
        <v>2.0354743920740237</v>
      </c>
      <c r="S1244" s="25"/>
      <c r="T1244" s="25"/>
      <c r="U1244" s="27"/>
      <c r="X1244" s="47">
        <v>42368</v>
      </c>
      <c r="Y1244" s="48">
        <f t="shared" si="78"/>
        <v>4.1930987167088727</v>
      </c>
      <c r="Z1244" s="49"/>
      <c r="AA1244" s="49"/>
      <c r="AB1244" s="51"/>
      <c r="AE1244" s="47">
        <v>42368</v>
      </c>
      <c r="AF1244" s="48">
        <f t="shared" si="79"/>
        <v>3.0306518593439824</v>
      </c>
      <c r="AG1244" s="49"/>
      <c r="AH1244" s="49"/>
      <c r="AI1244" s="51"/>
    </row>
    <row r="1245" spans="1:35" x14ac:dyDescent="0.3">
      <c r="A1245" s="20">
        <v>42363</v>
      </c>
      <c r="C1245">
        <f>-(Historical_Simulation!B1246-Historical_Simulation!B1247)</f>
        <v>0</v>
      </c>
      <c r="E1245">
        <f>-(Historical_Simulation!C1246-Historical_Simulation!C1247)</f>
        <v>0</v>
      </c>
      <c r="G1245">
        <f>-(Historical_Simulation!D1246-Historical_Simulation!D1247)</f>
        <v>0</v>
      </c>
      <c r="J1245" s="23">
        <v>42367</v>
      </c>
      <c r="K1245" s="24">
        <f t="shared" si="76"/>
        <v>-10.345877859465091</v>
      </c>
      <c r="L1245" s="25"/>
      <c r="M1245" s="25"/>
      <c r="N1245" s="27"/>
      <c r="Q1245" s="23">
        <v>42367</v>
      </c>
      <c r="R1245" s="24">
        <f t="shared" si="77"/>
        <v>-7.2427179104125159</v>
      </c>
      <c r="S1245" s="25"/>
      <c r="T1245" s="25"/>
      <c r="U1245" s="27"/>
      <c r="X1245" s="47">
        <v>42367</v>
      </c>
      <c r="Y1245" s="48">
        <f t="shared" si="78"/>
        <v>-5.2426042470109575</v>
      </c>
      <c r="Z1245" s="49"/>
      <c r="AA1245" s="49"/>
      <c r="AB1245" s="51"/>
      <c r="AE1245" s="47">
        <v>42367</v>
      </c>
      <c r="AF1245" s="48">
        <f t="shared" si="79"/>
        <v>-3.8001519422516199</v>
      </c>
      <c r="AG1245" s="49"/>
      <c r="AH1245" s="49"/>
      <c r="AI1245" s="51"/>
    </row>
    <row r="1246" spans="1:35" x14ac:dyDescent="0.3">
      <c r="A1246" s="20">
        <v>42362</v>
      </c>
      <c r="C1246">
        <f>-(Historical_Simulation!B1247-Historical_Simulation!B1248)</f>
        <v>0.14499999999999957</v>
      </c>
      <c r="E1246">
        <f>-(Historical_Simulation!C1247-Historical_Simulation!C1248)</f>
        <v>0.91000000000008185</v>
      </c>
      <c r="G1246">
        <f>-(Historical_Simulation!D1247-Historical_Simulation!D1248)</f>
        <v>-0.39000000000000057</v>
      </c>
      <c r="J1246" s="23">
        <v>42366</v>
      </c>
      <c r="K1246" s="24">
        <f t="shared" si="76"/>
        <v>-6.5547975554101088</v>
      </c>
      <c r="L1246" s="25"/>
      <c r="M1246" s="25"/>
      <c r="N1246" s="27"/>
      <c r="Q1246" s="23">
        <v>42366</v>
      </c>
      <c r="R1246" s="24">
        <f t="shared" si="77"/>
        <v>-4.39794020973864</v>
      </c>
      <c r="S1246" s="25"/>
      <c r="T1246" s="25"/>
      <c r="U1246" s="27"/>
      <c r="X1246" s="47">
        <v>42366</v>
      </c>
      <c r="Y1246" s="48">
        <f t="shared" si="78"/>
        <v>-6.4912148817657167</v>
      </c>
      <c r="Z1246" s="49"/>
      <c r="AA1246" s="49"/>
      <c r="AB1246" s="51"/>
      <c r="AE1246" s="47">
        <v>42366</v>
      </c>
      <c r="AF1246" s="48">
        <f t="shared" si="79"/>
        <v>-4.4335990940942827</v>
      </c>
      <c r="AG1246" s="49"/>
      <c r="AH1246" s="49"/>
      <c r="AI1246" s="51"/>
    </row>
    <row r="1247" spans="1:35" x14ac:dyDescent="0.3">
      <c r="A1247" s="20">
        <v>42361</v>
      </c>
      <c r="C1247">
        <f>-(Historical_Simulation!B1248-Historical_Simulation!B1249)</f>
        <v>-0.34499999999999886</v>
      </c>
      <c r="E1247">
        <f>-(Historical_Simulation!C1248-Historical_Simulation!C1249)</f>
        <v>-0.55010000000004311</v>
      </c>
      <c r="G1247">
        <f>-(Historical_Simulation!D1248-Historical_Simulation!D1249)</f>
        <v>0.88000000000000966</v>
      </c>
      <c r="J1247" s="23">
        <v>42363</v>
      </c>
      <c r="K1247" s="24">
        <f t="shared" si="76"/>
        <v>0</v>
      </c>
      <c r="L1247" s="25"/>
      <c r="M1247" s="25"/>
      <c r="N1247" s="27"/>
      <c r="Q1247" s="23">
        <v>42363</v>
      </c>
      <c r="R1247" s="24">
        <f t="shared" si="77"/>
        <v>0</v>
      </c>
      <c r="S1247" s="25"/>
      <c r="T1247" s="25"/>
      <c r="U1247" s="27"/>
      <c r="X1247" s="47">
        <v>42363</v>
      </c>
      <c r="Y1247" s="48">
        <f t="shared" si="78"/>
        <v>0</v>
      </c>
      <c r="Z1247" s="49"/>
      <c r="AA1247" s="49"/>
      <c r="AB1247" s="51"/>
      <c r="AE1247" s="47">
        <v>42363</v>
      </c>
      <c r="AF1247" s="48">
        <f t="shared" si="79"/>
        <v>0</v>
      </c>
      <c r="AG1247" s="49"/>
      <c r="AH1247" s="49"/>
      <c r="AI1247" s="51"/>
    </row>
    <row r="1248" spans="1:35" x14ac:dyDescent="0.3">
      <c r="A1248" s="20">
        <v>42360</v>
      </c>
      <c r="C1248">
        <f>-(Historical_Simulation!B1249-Historical_Simulation!B1250)</f>
        <v>2.4999999999998579E-2</v>
      </c>
      <c r="E1248">
        <f>-(Historical_Simulation!C1249-Historical_Simulation!C1250)</f>
        <v>1.3600999999999885</v>
      </c>
      <c r="G1248">
        <f>-(Historical_Simulation!D1249-Historical_Simulation!D1250)</f>
        <v>-0.74000000000000909</v>
      </c>
      <c r="J1248" s="23">
        <v>42362</v>
      </c>
      <c r="K1248" s="24">
        <f t="shared" si="76"/>
        <v>0.55765153430790626</v>
      </c>
      <c r="L1248" s="25"/>
      <c r="M1248" s="25"/>
      <c r="N1248" s="27"/>
      <c r="Q1248" s="23">
        <v>42362</v>
      </c>
      <c r="R1248" s="24">
        <f t="shared" si="77"/>
        <v>0.42785834890465435</v>
      </c>
      <c r="S1248" s="25"/>
      <c r="T1248" s="25"/>
      <c r="U1248" s="27"/>
      <c r="X1248" s="47">
        <v>42362</v>
      </c>
      <c r="Y1248" s="48">
        <f t="shared" si="78"/>
        <v>-2.852639143706905</v>
      </c>
      <c r="Z1248" s="49"/>
      <c r="AA1248" s="49"/>
      <c r="AB1248" s="51"/>
      <c r="AE1248" s="47">
        <v>42362</v>
      </c>
      <c r="AF1248" s="48">
        <f t="shared" si="79"/>
        <v>-1.9447426930642611</v>
      </c>
      <c r="AG1248" s="49"/>
      <c r="AH1248" s="49"/>
      <c r="AI1248" s="51"/>
    </row>
    <row r="1249" spans="1:35" x14ac:dyDescent="0.3">
      <c r="A1249" s="20">
        <v>42359</v>
      </c>
      <c r="C1249">
        <f>-(Historical_Simulation!B1250-Historical_Simulation!B1251)</f>
        <v>-0.32499999999999929</v>
      </c>
      <c r="E1249">
        <f>-(Historical_Simulation!C1250-Historical_Simulation!C1251)</f>
        <v>-0.37009999999997945</v>
      </c>
      <c r="G1249">
        <f>-(Historical_Simulation!D1250-Historical_Simulation!D1251)</f>
        <v>-0.72999999999998977</v>
      </c>
      <c r="J1249" s="23">
        <v>42361</v>
      </c>
      <c r="K1249" s="24">
        <f t="shared" si="76"/>
        <v>-0.45563376429615676</v>
      </c>
      <c r="L1249" s="25"/>
      <c r="M1249" s="25"/>
      <c r="N1249" s="27"/>
      <c r="Q1249" s="23">
        <v>42361</v>
      </c>
      <c r="R1249" s="24">
        <f t="shared" si="77"/>
        <v>-0.42083561746450993</v>
      </c>
      <c r="S1249" s="25"/>
      <c r="T1249" s="25"/>
      <c r="U1249" s="27"/>
      <c r="X1249" s="47">
        <v>42361</v>
      </c>
      <c r="Y1249" s="48">
        <f t="shared" si="78"/>
        <v>6.5187531795158566</v>
      </c>
      <c r="Z1249" s="49"/>
      <c r="AA1249" s="49"/>
      <c r="AB1249" s="51"/>
      <c r="AE1249" s="47">
        <v>42361</v>
      </c>
      <c r="AF1249" s="48">
        <f t="shared" si="79"/>
        <v>4.4399248579509107</v>
      </c>
      <c r="AG1249" s="49"/>
      <c r="AH1249" s="49"/>
      <c r="AI1249" s="51"/>
    </row>
    <row r="1250" spans="1:35" x14ac:dyDescent="0.3">
      <c r="A1250" s="20">
        <v>42356</v>
      </c>
      <c r="C1250">
        <f>-(Historical_Simulation!B1251-Historical_Simulation!B1252)</f>
        <v>0.73750000000000071</v>
      </c>
      <c r="E1250">
        <f>-(Historical_Simulation!C1251-Historical_Simulation!C1252)</f>
        <v>6.5099999999999909</v>
      </c>
      <c r="G1250">
        <f>-(Historical_Simulation!D1251-Historical_Simulation!D1252)</f>
        <v>2.1799999999999926</v>
      </c>
      <c r="J1250" s="23">
        <v>42360</v>
      </c>
      <c r="K1250" s="24">
        <f t="shared" si="76"/>
        <v>0.74517132477702197</v>
      </c>
      <c r="L1250" s="25"/>
      <c r="M1250" s="25"/>
      <c r="N1250" s="27"/>
      <c r="Q1250" s="23">
        <v>42360</v>
      </c>
      <c r="R1250" s="24">
        <f t="shared" si="77"/>
        <v>0.51865252499681047</v>
      </c>
      <c r="S1250" s="25"/>
      <c r="T1250" s="25"/>
      <c r="U1250" s="27"/>
      <c r="X1250" s="47">
        <v>42360</v>
      </c>
      <c r="Y1250" s="48">
        <f t="shared" si="78"/>
        <v>-4.2613438223099163</v>
      </c>
      <c r="Z1250" s="49"/>
      <c r="AA1250" s="49"/>
      <c r="AB1250" s="51"/>
      <c r="AE1250" s="47">
        <v>42360</v>
      </c>
      <c r="AF1250" s="48">
        <f t="shared" si="79"/>
        <v>-2.9631367480264967</v>
      </c>
      <c r="AG1250" s="49"/>
      <c r="AH1250" s="49"/>
      <c r="AI1250" s="51"/>
    </row>
    <row r="1251" spans="1:35" x14ac:dyDescent="0.3">
      <c r="A1251" s="20">
        <v>42355</v>
      </c>
      <c r="C1251">
        <f>-(Historical_Simulation!B1252-Historical_Simulation!B1253)</f>
        <v>0.58999999999999986</v>
      </c>
      <c r="E1251">
        <f>-(Historical_Simulation!C1252-Historical_Simulation!C1253)</f>
        <v>5.1200999999999794</v>
      </c>
      <c r="G1251">
        <f>-(Historical_Simulation!D1252-Historical_Simulation!D1253)</f>
        <v>0.57000000000000739</v>
      </c>
      <c r="J1251" s="23">
        <v>42359</v>
      </c>
      <c r="K1251" s="24">
        <f t="shared" si="76"/>
        <v>-0.34932756104219065</v>
      </c>
      <c r="L1251" s="25"/>
      <c r="M1251" s="25"/>
      <c r="N1251" s="27"/>
      <c r="Q1251" s="23">
        <v>42359</v>
      </c>
      <c r="R1251" s="24">
        <f t="shared" si="77"/>
        <v>-0.34167570135371556</v>
      </c>
      <c r="S1251" s="25"/>
      <c r="T1251" s="25"/>
      <c r="U1251" s="27"/>
      <c r="X1251" s="47">
        <v>42359</v>
      </c>
      <c r="Y1251" s="48">
        <f t="shared" si="78"/>
        <v>-2.5942408471051723</v>
      </c>
      <c r="Z1251" s="49"/>
      <c r="AA1251" s="49"/>
      <c r="AB1251" s="51"/>
      <c r="AE1251" s="47">
        <v>42359</v>
      </c>
      <c r="AF1251" s="48">
        <f t="shared" si="79"/>
        <v>-1.9069547489551495</v>
      </c>
      <c r="AG1251" s="49"/>
      <c r="AH1251" s="49"/>
      <c r="AI1251" s="51"/>
    </row>
    <row r="1252" spans="1:35" x14ac:dyDescent="0.3">
      <c r="A1252" s="20">
        <v>42354</v>
      </c>
      <c r="C1252">
        <f>-(Historical_Simulation!B1253-Historical_Simulation!B1254)</f>
        <v>-0.21250000000000213</v>
      </c>
      <c r="E1252">
        <f>-(Historical_Simulation!C1253-Historical_Simulation!C1254)</f>
        <v>-17.13009999999997</v>
      </c>
      <c r="G1252">
        <f>-(Historical_Simulation!D1253-Historical_Simulation!D1254)</f>
        <v>-2.2400000000000091</v>
      </c>
      <c r="J1252" s="23">
        <v>42356</v>
      </c>
      <c r="K1252" s="24">
        <f t="shared" si="76"/>
        <v>3.8512659892707606</v>
      </c>
      <c r="L1252" s="25"/>
      <c r="M1252" s="25"/>
      <c r="N1252" s="27"/>
      <c r="Q1252" s="23">
        <v>42356</v>
      </c>
      <c r="R1252" s="24">
        <f t="shared" si="77"/>
        <v>2.8718788484339113</v>
      </c>
      <c r="S1252" s="25"/>
      <c r="T1252" s="25"/>
      <c r="U1252" s="27"/>
      <c r="X1252" s="47">
        <v>42356</v>
      </c>
      <c r="Y1252" s="48">
        <f t="shared" si="78"/>
        <v>8.8199195603685698</v>
      </c>
      <c r="Z1252" s="49"/>
      <c r="AA1252" s="49"/>
      <c r="AB1252" s="51"/>
      <c r="AE1252" s="47">
        <v>42356</v>
      </c>
      <c r="AF1252" s="48">
        <f t="shared" si="79"/>
        <v>6.3719931490564079</v>
      </c>
      <c r="AG1252" s="49"/>
      <c r="AH1252" s="49"/>
      <c r="AI1252" s="51"/>
    </row>
    <row r="1253" spans="1:35" x14ac:dyDescent="0.3">
      <c r="A1253" s="20">
        <v>42353</v>
      </c>
      <c r="C1253">
        <f>-(Historical_Simulation!B1254-Historical_Simulation!B1255)</f>
        <v>0.49750000000000227</v>
      </c>
      <c r="E1253">
        <f>-(Historical_Simulation!C1254-Historical_Simulation!C1255)</f>
        <v>-0.73000000000001819</v>
      </c>
      <c r="G1253">
        <f>-(Historical_Simulation!D1254-Historical_Simulation!D1255)</f>
        <v>0.10999999999999943</v>
      </c>
      <c r="J1253" s="23">
        <v>42355</v>
      </c>
      <c r="K1253" s="24">
        <f t="shared" si="76"/>
        <v>3.0335983210039719</v>
      </c>
      <c r="L1253" s="25"/>
      <c r="M1253" s="25"/>
      <c r="N1253" s="27"/>
      <c r="Q1253" s="23">
        <v>42355</v>
      </c>
      <c r="R1253" s="24">
        <f t="shared" si="77"/>
        <v>2.2650020998337688</v>
      </c>
      <c r="S1253" s="25"/>
      <c r="T1253" s="25"/>
      <c r="U1253" s="27"/>
      <c r="X1253" s="47">
        <v>42355</v>
      </c>
      <c r="Y1253" s="48">
        <f t="shared" si="78"/>
        <v>0.47793872359978407</v>
      </c>
      <c r="Z1253" s="49"/>
      <c r="AA1253" s="49"/>
      <c r="AB1253" s="51"/>
      <c r="AE1253" s="47">
        <v>42355</v>
      </c>
      <c r="AF1253" s="48">
        <f t="shared" si="79"/>
        <v>0.51187877782940294</v>
      </c>
      <c r="AG1253" s="49"/>
      <c r="AH1253" s="49"/>
      <c r="AI1253" s="51"/>
    </row>
    <row r="1254" spans="1:35" x14ac:dyDescent="0.3">
      <c r="A1254" s="20">
        <v>42352</v>
      </c>
      <c r="C1254">
        <f>-(Historical_Simulation!B1255-Historical_Simulation!B1256)</f>
        <v>0.17500000000000071</v>
      </c>
      <c r="E1254">
        <f>-(Historical_Simulation!C1255-Historical_Simulation!C1256)</f>
        <v>-17.759999999999991</v>
      </c>
      <c r="G1254">
        <f>-(Historical_Simulation!D1255-Historical_Simulation!D1256)</f>
        <v>-2.539999999999992</v>
      </c>
      <c r="J1254" s="23">
        <v>42354</v>
      </c>
      <c r="K1254" s="24">
        <f t="shared" si="76"/>
        <v>-9.3380864010544826</v>
      </c>
      <c r="L1254" s="25"/>
      <c r="M1254" s="25"/>
      <c r="N1254" s="27"/>
      <c r="Q1254" s="23">
        <v>42354</v>
      </c>
      <c r="R1254" s="24">
        <f t="shared" si="77"/>
        <v>-6.4677737299723734</v>
      </c>
      <c r="S1254" s="25"/>
      <c r="T1254" s="25"/>
      <c r="U1254" s="27"/>
      <c r="X1254" s="47">
        <v>42354</v>
      </c>
      <c r="Y1254" s="48">
        <f t="shared" si="78"/>
        <v>-11.572711895076203</v>
      </c>
      <c r="Z1254" s="49"/>
      <c r="AA1254" s="49"/>
      <c r="AB1254" s="51"/>
      <c r="AE1254" s="47">
        <v>42354</v>
      </c>
      <c r="AF1254" s="48">
        <f t="shared" si="79"/>
        <v>-8.1320388975472948</v>
      </c>
      <c r="AG1254" s="49"/>
      <c r="AH1254" s="49"/>
      <c r="AI1254" s="51"/>
    </row>
    <row r="1255" spans="1:35" x14ac:dyDescent="0.3">
      <c r="A1255" s="20">
        <v>42349</v>
      </c>
      <c r="C1255">
        <f>-(Historical_Simulation!B1256-Historical_Simulation!B1257)</f>
        <v>0.74749999999999872</v>
      </c>
      <c r="E1255">
        <f>-(Historical_Simulation!C1256-Historical_Simulation!C1257)</f>
        <v>22.170200000000023</v>
      </c>
      <c r="G1255">
        <f>-(Historical_Simulation!D1256-Historical_Simulation!D1257)</f>
        <v>3.2999999999999972</v>
      </c>
      <c r="J1255" s="23">
        <v>42353</v>
      </c>
      <c r="K1255" s="24">
        <f t="shared" si="76"/>
        <v>-0.16463040308876831</v>
      </c>
      <c r="L1255" s="25"/>
      <c r="M1255" s="25"/>
      <c r="N1255" s="27"/>
      <c r="Q1255" s="23">
        <v>42353</v>
      </c>
      <c r="R1255" s="24">
        <f t="shared" si="77"/>
        <v>4.3632518587672642E-2</v>
      </c>
      <c r="S1255" s="25"/>
      <c r="T1255" s="25"/>
      <c r="U1255" s="27"/>
      <c r="X1255" s="47">
        <v>42353</v>
      </c>
      <c r="Y1255" s="48">
        <f t="shared" si="78"/>
        <v>-1.6736872302550143</v>
      </c>
      <c r="Z1255" s="49"/>
      <c r="AA1255" s="49"/>
      <c r="AB1255" s="51"/>
      <c r="AE1255" s="47">
        <v>42353</v>
      </c>
      <c r="AF1255" s="48">
        <f t="shared" si="79"/>
        <v>-1.0160986795558982</v>
      </c>
      <c r="AG1255" s="49"/>
      <c r="AH1255" s="49"/>
      <c r="AI1255" s="51"/>
    </row>
    <row r="1256" spans="1:35" x14ac:dyDescent="0.3">
      <c r="A1256" s="20">
        <v>42348</v>
      </c>
      <c r="C1256">
        <f>-(Historical_Simulation!B1257-Historical_Simulation!B1258)</f>
        <v>-0.13749999999999929</v>
      </c>
      <c r="E1256">
        <f>-(Historical_Simulation!C1257-Historical_Simulation!C1258)</f>
        <v>2.4698999999999387</v>
      </c>
      <c r="G1256">
        <f>-(Historical_Simulation!D1257-Historical_Simulation!D1258)</f>
        <v>-0.82000000000000739</v>
      </c>
      <c r="J1256" s="23">
        <v>42352</v>
      </c>
      <c r="K1256" s="24">
        <f t="shared" si="76"/>
        <v>-9.4993859709954354</v>
      </c>
      <c r="L1256" s="25"/>
      <c r="M1256" s="25"/>
      <c r="N1256" s="27"/>
      <c r="Q1256" s="23">
        <v>42352</v>
      </c>
      <c r="R1256" s="24">
        <f t="shared" si="77"/>
        <v>-6.4564568465417445</v>
      </c>
      <c r="S1256" s="25"/>
      <c r="T1256" s="25"/>
      <c r="U1256" s="27"/>
      <c r="X1256" s="47">
        <v>42352</v>
      </c>
      <c r="Y1256" s="48">
        <f t="shared" si="78"/>
        <v>-15.037318271334994</v>
      </c>
      <c r="Z1256" s="49"/>
      <c r="AA1256" s="49"/>
      <c r="AB1256" s="51"/>
      <c r="AE1256" s="47">
        <v>42352</v>
      </c>
      <c r="AF1256" s="48">
        <f t="shared" si="79"/>
        <v>-10.429955909662525</v>
      </c>
      <c r="AG1256" s="49"/>
      <c r="AH1256" s="49"/>
      <c r="AI1256" s="51"/>
    </row>
    <row r="1257" spans="1:35" x14ac:dyDescent="0.3">
      <c r="A1257" s="20">
        <v>42347</v>
      </c>
      <c r="C1257">
        <f>-(Historical_Simulation!B1258-Historical_Simulation!B1259)</f>
        <v>0.65249999999999986</v>
      </c>
      <c r="E1257">
        <f>-(Historical_Simulation!C1258-Historical_Simulation!C1259)</f>
        <v>12.540100000000052</v>
      </c>
      <c r="G1257">
        <f>-(Historical_Simulation!D1258-Historical_Simulation!D1259)</f>
        <v>1.8900000000000006</v>
      </c>
      <c r="J1257" s="23">
        <v>42349</v>
      </c>
      <c r="K1257" s="24">
        <f t="shared" si="76"/>
        <v>12.303199377800068</v>
      </c>
      <c r="L1257" s="25"/>
      <c r="M1257" s="25"/>
      <c r="N1257" s="27"/>
      <c r="Q1257" s="23">
        <v>42349</v>
      </c>
      <c r="R1257" s="24">
        <f t="shared" si="77"/>
        <v>8.6685320929138587</v>
      </c>
      <c r="S1257" s="25"/>
      <c r="T1257" s="25"/>
      <c r="U1257" s="27"/>
      <c r="X1257" s="47">
        <v>42349</v>
      </c>
      <c r="Y1257" s="48">
        <f t="shared" si="78"/>
        <v>15.049320400582927</v>
      </c>
      <c r="Z1257" s="49"/>
      <c r="AA1257" s="49"/>
      <c r="AB1257" s="51"/>
      <c r="AE1257" s="47">
        <v>42349</v>
      </c>
      <c r="AF1257" s="48">
        <f t="shared" si="79"/>
        <v>10.717720979526204</v>
      </c>
      <c r="AG1257" s="49"/>
      <c r="AH1257" s="49"/>
      <c r="AI1257" s="51"/>
    </row>
    <row r="1258" spans="1:35" x14ac:dyDescent="0.3">
      <c r="A1258" s="20">
        <v>42346</v>
      </c>
      <c r="C1258">
        <f>-(Historical_Simulation!B1259-Historical_Simulation!B1260)</f>
        <v>1.2499999999999289E-2</v>
      </c>
      <c r="E1258">
        <f>-(Historical_Simulation!C1259-Historical_Simulation!C1260)</f>
        <v>-7.5</v>
      </c>
      <c r="G1258">
        <f>-(Historical_Simulation!D1259-Historical_Simulation!D1260)</f>
        <v>-0.87999999999999545</v>
      </c>
      <c r="J1258" s="23">
        <v>42348</v>
      </c>
      <c r="K1258" s="24">
        <f t="shared" si="76"/>
        <v>1.2689674647768565</v>
      </c>
      <c r="L1258" s="25"/>
      <c r="M1258" s="25"/>
      <c r="N1258" s="27"/>
      <c r="Q1258" s="23">
        <v>42348</v>
      </c>
      <c r="R1258" s="24">
        <f t="shared" si="77"/>
        <v>0.82658478292013138</v>
      </c>
      <c r="S1258" s="25"/>
      <c r="T1258" s="25"/>
      <c r="U1258" s="27"/>
      <c r="X1258" s="47">
        <v>42348</v>
      </c>
      <c r="Y1258" s="48">
        <f t="shared" si="78"/>
        <v>-3.9615910571588522</v>
      </c>
      <c r="Z1258" s="49"/>
      <c r="AA1258" s="49"/>
      <c r="AB1258" s="51"/>
      <c r="AE1258" s="47">
        <v>42348</v>
      </c>
      <c r="AF1258" s="48">
        <f t="shared" si="79"/>
        <v>-2.8033867065726619</v>
      </c>
      <c r="AG1258" s="49"/>
      <c r="AH1258" s="49"/>
      <c r="AI1258" s="51"/>
    </row>
    <row r="1259" spans="1:35" x14ac:dyDescent="0.3">
      <c r="A1259" s="20">
        <v>42345</v>
      </c>
      <c r="C1259">
        <f>-(Historical_Simulation!B1260-Historical_Simulation!B1261)</f>
        <v>0.1875</v>
      </c>
      <c r="E1259">
        <f>-(Historical_Simulation!C1260-Historical_Simulation!C1261)</f>
        <v>2.8097999999999956</v>
      </c>
      <c r="G1259">
        <f>-(Historical_Simulation!D1260-Historical_Simulation!D1261)</f>
        <v>0.57000000000000739</v>
      </c>
      <c r="J1259" s="23">
        <v>42347</v>
      </c>
      <c r="K1259" s="24">
        <f t="shared" si="76"/>
        <v>7.06483513625904</v>
      </c>
      <c r="L1259" s="25"/>
      <c r="M1259" s="25"/>
      <c r="N1259" s="27"/>
      <c r="Q1259" s="23">
        <v>42347</v>
      </c>
      <c r="R1259" s="24">
        <f t="shared" si="77"/>
        <v>5.0479338672400358</v>
      </c>
      <c r="S1259" s="25"/>
      <c r="T1259" s="25"/>
      <c r="U1259" s="27"/>
      <c r="X1259" s="47">
        <v>42347</v>
      </c>
      <c r="Y1259" s="48">
        <f t="shared" si="78"/>
        <v>7.5862914772659717</v>
      </c>
      <c r="Z1259" s="49"/>
      <c r="AA1259" s="49"/>
      <c r="AB1259" s="51"/>
      <c r="AE1259" s="47">
        <v>42347</v>
      </c>
      <c r="AF1259" s="48">
        <f t="shared" si="79"/>
        <v>5.4862506218075211</v>
      </c>
      <c r="AG1259" s="49"/>
      <c r="AH1259" s="49"/>
      <c r="AI1259" s="51"/>
    </row>
    <row r="1260" spans="1:35" x14ac:dyDescent="0.3">
      <c r="A1260" s="20">
        <v>42342</v>
      </c>
      <c r="C1260">
        <f>-(Historical_Simulation!B1261-Historical_Simulation!B1262)</f>
        <v>-0.95749999999999957</v>
      </c>
      <c r="E1260">
        <f>-(Historical_Simulation!C1261-Historical_Simulation!C1262)</f>
        <v>-6.3899000000000115</v>
      </c>
      <c r="G1260">
        <f>-(Historical_Simulation!D1261-Historical_Simulation!D1262)</f>
        <v>-1.8000000000000114</v>
      </c>
      <c r="J1260" s="23">
        <v>42346</v>
      </c>
      <c r="K1260" s="24">
        <f t="shared" si="76"/>
        <v>-4.0398459496572752</v>
      </c>
      <c r="L1260" s="25"/>
      <c r="M1260" s="25"/>
      <c r="N1260" s="27"/>
      <c r="Q1260" s="23">
        <v>42346</v>
      </c>
      <c r="R1260" s="24">
        <f t="shared" si="77"/>
        <v>-2.76524293613855</v>
      </c>
      <c r="S1260" s="25"/>
      <c r="T1260" s="25"/>
      <c r="U1260" s="27"/>
      <c r="X1260" s="47">
        <v>42346</v>
      </c>
      <c r="Y1260" s="48">
        <f t="shared" si="78"/>
        <v>-4.9882344593614887</v>
      </c>
      <c r="Z1260" s="49"/>
      <c r="AA1260" s="49"/>
      <c r="AB1260" s="51"/>
      <c r="AE1260" s="47">
        <v>42346</v>
      </c>
      <c r="AF1260" s="48">
        <f t="shared" si="79"/>
        <v>-3.4736595393641898</v>
      </c>
      <c r="AG1260" s="49"/>
      <c r="AH1260" s="49"/>
      <c r="AI1260" s="51"/>
    </row>
    <row r="1261" spans="1:35" x14ac:dyDescent="0.3">
      <c r="A1261" s="20">
        <v>42341</v>
      </c>
      <c r="C1261">
        <f>-(Historical_Simulation!B1262-Historical_Simulation!B1263)</f>
        <v>0.26999999999999957</v>
      </c>
      <c r="E1261">
        <f>-(Historical_Simulation!C1262-Historical_Simulation!C1263)</f>
        <v>9.7599999999999909</v>
      </c>
      <c r="G1261">
        <f>-(Historical_Simulation!D1262-Historical_Simulation!D1263)</f>
        <v>1.6899999999999977</v>
      </c>
      <c r="J1261" s="23">
        <v>42345</v>
      </c>
      <c r="K1261" s="24">
        <f t="shared" si="76"/>
        <v>1.6020047299549092</v>
      </c>
      <c r="L1261" s="25"/>
      <c r="M1261" s="25"/>
      <c r="N1261" s="27"/>
      <c r="Q1261" s="23">
        <v>42345</v>
      </c>
      <c r="R1261" s="24">
        <f t="shared" si="77"/>
        <v>1.1570940501079676</v>
      </c>
      <c r="S1261" s="25"/>
      <c r="T1261" s="25"/>
      <c r="U1261" s="27"/>
      <c r="X1261" s="47">
        <v>42345</v>
      </c>
      <c r="Y1261" s="48">
        <f t="shared" si="78"/>
        <v>2.3306719111549774</v>
      </c>
      <c r="Z1261" s="49"/>
      <c r="AA1261" s="49"/>
      <c r="AB1261" s="51"/>
      <c r="AE1261" s="47">
        <v>42345</v>
      </c>
      <c r="AF1261" s="48">
        <f t="shared" si="79"/>
        <v>1.6815683740132616</v>
      </c>
      <c r="AG1261" s="49"/>
      <c r="AH1261" s="49"/>
      <c r="AI1261" s="51"/>
    </row>
    <row r="1262" spans="1:35" x14ac:dyDescent="0.3">
      <c r="A1262" s="20">
        <v>42340</v>
      </c>
      <c r="C1262">
        <f>-(Historical_Simulation!B1263-Historical_Simulation!B1264)</f>
        <v>0.26500000000000057</v>
      </c>
      <c r="E1262">
        <f>-(Historical_Simulation!C1263-Historical_Simulation!C1264)</f>
        <v>3.0501000000000431</v>
      </c>
      <c r="G1262">
        <f>-(Historical_Simulation!D1263-Historical_Simulation!D1264)</f>
        <v>1.0500000000000114</v>
      </c>
      <c r="J1262" s="23">
        <v>42342</v>
      </c>
      <c r="K1262" s="24">
        <f t="shared" si="76"/>
        <v>-3.887811365979132</v>
      </c>
      <c r="L1262" s="25"/>
      <c r="M1262" s="25"/>
      <c r="N1262" s="27"/>
      <c r="Q1262" s="23">
        <v>42342</v>
      </c>
      <c r="R1262" s="24">
        <f t="shared" si="77"/>
        <v>-2.9661270517509597</v>
      </c>
      <c r="S1262" s="25"/>
      <c r="T1262" s="25"/>
      <c r="U1262" s="27"/>
      <c r="X1262" s="47">
        <v>42342</v>
      </c>
      <c r="Y1262" s="48">
        <f t="shared" si="78"/>
        <v>-5.6780812683609367</v>
      </c>
      <c r="Z1262" s="49"/>
      <c r="AA1262" s="49"/>
      <c r="AB1262" s="51"/>
      <c r="AE1262" s="47">
        <v>42342</v>
      </c>
      <c r="AF1262" s="48">
        <f t="shared" si="79"/>
        <v>-4.2483564839376884</v>
      </c>
      <c r="AG1262" s="49"/>
      <c r="AH1262" s="49"/>
      <c r="AI1262" s="51"/>
    </row>
    <row r="1263" spans="1:35" x14ac:dyDescent="0.3">
      <c r="A1263" s="20">
        <v>42339</v>
      </c>
      <c r="C1263">
        <f>-(Historical_Simulation!B1264-Historical_Simulation!B1265)</f>
        <v>0.23999999999999844</v>
      </c>
      <c r="E1263">
        <f>-(Historical_Simulation!C1264-Historical_Simulation!C1265)</f>
        <v>-14.260100000000079</v>
      </c>
      <c r="G1263">
        <f>-(Historical_Simulation!D1264-Historical_Simulation!D1265)</f>
        <v>-2.8800000000000097</v>
      </c>
      <c r="J1263" s="23">
        <v>42341</v>
      </c>
      <c r="K1263" s="24">
        <f t="shared" si="76"/>
        <v>5.3890366804988359</v>
      </c>
      <c r="L1263" s="25"/>
      <c r="M1263" s="25"/>
      <c r="N1263" s="27"/>
      <c r="Q1263" s="23">
        <v>42341</v>
      </c>
      <c r="R1263" s="24">
        <f t="shared" si="77"/>
        <v>3.7789225243201079</v>
      </c>
      <c r="S1263" s="25"/>
      <c r="T1263" s="25"/>
      <c r="U1263" s="27"/>
      <c r="X1263" s="47">
        <v>42341</v>
      </c>
      <c r="Y1263" s="48">
        <f t="shared" si="78"/>
        <v>8.2263506244183127</v>
      </c>
      <c r="Z1263" s="49"/>
      <c r="AA1263" s="49"/>
      <c r="AB1263" s="51"/>
      <c r="AE1263" s="47">
        <v>42341</v>
      </c>
      <c r="AF1263" s="48">
        <f t="shared" si="79"/>
        <v>5.8166067741144767</v>
      </c>
      <c r="AG1263" s="49"/>
      <c r="AH1263" s="49"/>
      <c r="AI1263" s="51"/>
    </row>
    <row r="1264" spans="1:35" x14ac:dyDescent="0.3">
      <c r="A1264" s="20">
        <v>42338</v>
      </c>
      <c r="C1264">
        <f>-(Historical_Simulation!B1265-Historical_Simulation!B1266)</f>
        <v>-0.12249999999999872</v>
      </c>
      <c r="E1264">
        <f>-(Historical_Simulation!C1265-Historical_Simulation!C1266)</f>
        <v>8.4600000000000364</v>
      </c>
      <c r="G1264">
        <f>-(Historical_Simulation!D1265-Historical_Simulation!D1266)</f>
        <v>1.210000000000008</v>
      </c>
      <c r="J1264" s="23">
        <v>42340</v>
      </c>
      <c r="K1264" s="24">
        <f t="shared" si="76"/>
        <v>1.767321291765811</v>
      </c>
      <c r="L1264" s="25"/>
      <c r="M1264" s="25"/>
      <c r="N1264" s="27"/>
      <c r="Q1264" s="23">
        <v>42340</v>
      </c>
      <c r="R1264" s="24">
        <f t="shared" si="77"/>
        <v>1.2947892647506951</v>
      </c>
      <c r="S1264" s="25"/>
      <c r="T1264" s="25"/>
      <c r="U1264" s="27"/>
      <c r="X1264" s="47">
        <v>42340</v>
      </c>
      <c r="Y1264" s="48">
        <f t="shared" si="78"/>
        <v>4.6634050987101912</v>
      </c>
      <c r="Z1264" s="49"/>
      <c r="AA1264" s="49"/>
      <c r="AB1264" s="51"/>
      <c r="AE1264" s="47">
        <v>42340</v>
      </c>
      <c r="AF1264" s="48">
        <f t="shared" si="79"/>
        <v>3.331257970197135</v>
      </c>
      <c r="AG1264" s="49"/>
      <c r="AH1264" s="49"/>
      <c r="AI1264" s="51"/>
    </row>
    <row r="1265" spans="1:35" x14ac:dyDescent="0.3">
      <c r="A1265" s="20">
        <v>42335</v>
      </c>
      <c r="C1265">
        <f>-(Historical_Simulation!B1266-Historical_Simulation!B1267)</f>
        <v>5.4999999999999716E-2</v>
      </c>
      <c r="E1265">
        <f>-(Historical_Simulation!C1266-Historical_Simulation!C1267)</f>
        <v>2.0801000000000158</v>
      </c>
      <c r="G1265">
        <f>-(Historical_Simulation!D1266-Historical_Simulation!D1267)</f>
        <v>-4.0000000000006253E-2</v>
      </c>
      <c r="J1265" s="23">
        <v>42339</v>
      </c>
      <c r="K1265" s="24">
        <f t="shared" si="76"/>
        <v>-7.5815536112646642</v>
      </c>
      <c r="L1265" s="25"/>
      <c r="M1265" s="25"/>
      <c r="N1265" s="27"/>
      <c r="Q1265" s="23">
        <v>42339</v>
      </c>
      <c r="R1265" s="24">
        <f t="shared" si="77"/>
        <v>-5.1214043724862313</v>
      </c>
      <c r="S1265" s="25"/>
      <c r="T1265" s="25"/>
      <c r="U1265" s="27"/>
      <c r="X1265" s="47">
        <v>42339</v>
      </c>
      <c r="Y1265" s="48">
        <f t="shared" si="78"/>
        <v>-17.241559118440311</v>
      </c>
      <c r="Z1265" s="49"/>
      <c r="AA1265" s="49"/>
      <c r="AB1265" s="51"/>
      <c r="AE1265" s="47">
        <v>42339</v>
      </c>
      <c r="AF1265" s="48">
        <f t="shared" si="79"/>
        <v>-11.946910658617774</v>
      </c>
      <c r="AG1265" s="49"/>
      <c r="AH1265" s="49"/>
      <c r="AI1265" s="51"/>
    </row>
    <row r="1266" spans="1:35" x14ac:dyDescent="0.3">
      <c r="A1266" s="20">
        <v>42334</v>
      </c>
      <c r="C1266">
        <f>-(Historical_Simulation!B1267-Historical_Simulation!B1268)</f>
        <v>0</v>
      </c>
      <c r="E1266">
        <f>-(Historical_Simulation!C1267-Historical_Simulation!C1268)</f>
        <v>0</v>
      </c>
      <c r="G1266">
        <f>-(Historical_Simulation!D1267-Historical_Simulation!D1268)</f>
        <v>0</v>
      </c>
      <c r="J1266" s="23">
        <v>42338</v>
      </c>
      <c r="K1266" s="24">
        <f t="shared" si="76"/>
        <v>4.5070186839179662</v>
      </c>
      <c r="L1266" s="25"/>
      <c r="M1266" s="25"/>
      <c r="N1266" s="27"/>
      <c r="Q1266" s="23">
        <v>42338</v>
      </c>
      <c r="R1266" s="24">
        <f t="shared" si="77"/>
        <v>3.0508748751293453</v>
      </c>
      <c r="S1266" s="25"/>
      <c r="T1266" s="25"/>
      <c r="U1266" s="27"/>
      <c r="X1266" s="47">
        <v>42338</v>
      </c>
      <c r="Y1266" s="48">
        <f t="shared" si="78"/>
        <v>7.3435825401672332</v>
      </c>
      <c r="Z1266" s="49"/>
      <c r="AA1266" s="49"/>
      <c r="AB1266" s="51"/>
      <c r="AE1266" s="47">
        <v>42338</v>
      </c>
      <c r="AF1266" s="48">
        <f t="shared" si="79"/>
        <v>5.0823264271180211</v>
      </c>
      <c r="AG1266" s="49"/>
      <c r="AH1266" s="49"/>
      <c r="AI1266" s="51"/>
    </row>
    <row r="1267" spans="1:35" x14ac:dyDescent="0.3">
      <c r="A1267" s="20">
        <v>42333</v>
      </c>
      <c r="C1267">
        <f>-(Historical_Simulation!B1268-Historical_Simulation!B1269)</f>
        <v>0.21249999999999858</v>
      </c>
      <c r="E1267">
        <f>-(Historical_Simulation!C1268-Historical_Simulation!C1269)</f>
        <v>-4.1902000000000044</v>
      </c>
      <c r="G1267">
        <f>-(Historical_Simulation!D1268-Historical_Simulation!D1269)</f>
        <v>0.32999999999999829</v>
      </c>
      <c r="J1267" s="23">
        <v>42335</v>
      </c>
      <c r="K1267" s="24">
        <f t="shared" si="76"/>
        <v>1.1473668263096191</v>
      </c>
      <c r="L1267" s="25"/>
      <c r="M1267" s="25"/>
      <c r="N1267" s="27"/>
      <c r="Q1267" s="23">
        <v>42335</v>
      </c>
      <c r="R1267" s="24">
        <f t="shared" si="77"/>
        <v>0.80377966322452177</v>
      </c>
      <c r="S1267" s="25"/>
      <c r="T1267" s="25"/>
      <c r="U1267" s="27"/>
      <c r="X1267" s="47">
        <v>42335</v>
      </c>
      <c r="Y1267" s="48">
        <f t="shared" si="78"/>
        <v>-0.47729106290125967</v>
      </c>
      <c r="Z1267" s="49"/>
      <c r="AA1267" s="49"/>
      <c r="AB1267" s="51"/>
      <c r="AE1267" s="47">
        <v>42335</v>
      </c>
      <c r="AF1267" s="48">
        <f t="shared" si="79"/>
        <v>-0.31607580531049972</v>
      </c>
      <c r="AG1267" s="49"/>
      <c r="AH1267" s="49"/>
      <c r="AI1267" s="51"/>
    </row>
    <row r="1268" spans="1:35" x14ac:dyDescent="0.3">
      <c r="A1268" s="20">
        <v>42332</v>
      </c>
      <c r="C1268">
        <f>-(Historical_Simulation!B1269-Historical_Simulation!B1270)</f>
        <v>-0.28249999999999886</v>
      </c>
      <c r="E1268">
        <f>-(Historical_Simulation!C1269-Historical_Simulation!C1270)</f>
        <v>7.8401000000000067</v>
      </c>
      <c r="G1268">
        <f>-(Historical_Simulation!D1269-Historical_Simulation!D1270)</f>
        <v>1.210000000000008</v>
      </c>
      <c r="J1268" s="23">
        <v>42334</v>
      </c>
      <c r="K1268" s="24">
        <f t="shared" si="76"/>
        <v>0</v>
      </c>
      <c r="L1268" s="25"/>
      <c r="M1268" s="25"/>
      <c r="N1268" s="27"/>
      <c r="Q1268" s="23">
        <v>42334</v>
      </c>
      <c r="R1268" s="24">
        <f t="shared" si="77"/>
        <v>0</v>
      </c>
      <c r="S1268" s="25"/>
      <c r="T1268" s="25"/>
      <c r="U1268" s="27"/>
      <c r="X1268" s="47">
        <v>42334</v>
      </c>
      <c r="Y1268" s="48">
        <f t="shared" si="78"/>
        <v>0</v>
      </c>
      <c r="Z1268" s="49"/>
      <c r="AA1268" s="49"/>
      <c r="AB1268" s="51"/>
      <c r="AE1268" s="47">
        <v>42334</v>
      </c>
      <c r="AF1268" s="48">
        <f t="shared" si="79"/>
        <v>0</v>
      </c>
      <c r="AG1268" s="49"/>
      <c r="AH1268" s="49"/>
      <c r="AI1268" s="51"/>
    </row>
    <row r="1269" spans="1:35" x14ac:dyDescent="0.3">
      <c r="A1269" s="20">
        <v>42331</v>
      </c>
      <c r="C1269">
        <f>-(Historical_Simulation!B1270-Historical_Simulation!B1271)</f>
        <v>0.38749999999999929</v>
      </c>
      <c r="E1269">
        <f>-(Historical_Simulation!C1270-Historical_Simulation!C1271)</f>
        <v>-10.539999999999964</v>
      </c>
      <c r="G1269">
        <f>-(Historical_Simulation!D1270-Historical_Simulation!D1271)</f>
        <v>0.36999999999999034</v>
      </c>
      <c r="J1269" s="23">
        <v>42333</v>
      </c>
      <c r="K1269" s="24">
        <f t="shared" si="76"/>
        <v>-2.1623770066630428</v>
      </c>
      <c r="L1269" s="25"/>
      <c r="M1269" s="25"/>
      <c r="N1269" s="27"/>
      <c r="Q1269" s="23">
        <v>42333</v>
      </c>
      <c r="R1269" s="24">
        <f t="shared" si="77"/>
        <v>-1.415396016630577</v>
      </c>
      <c r="S1269" s="25"/>
      <c r="T1269" s="25"/>
      <c r="U1269" s="27"/>
      <c r="X1269" s="47">
        <v>42333</v>
      </c>
      <c r="Y1269" s="48">
        <f t="shared" si="78"/>
        <v>0.87085999885151333</v>
      </c>
      <c r="Z1269" s="49"/>
      <c r="AA1269" s="49"/>
      <c r="AB1269" s="51"/>
      <c r="AE1269" s="47">
        <v>42333</v>
      </c>
      <c r="AF1269" s="48">
        <f t="shared" si="79"/>
        <v>0.67146218025242843</v>
      </c>
      <c r="AG1269" s="49"/>
      <c r="AH1269" s="49"/>
      <c r="AI1269" s="51"/>
    </row>
    <row r="1270" spans="1:35" x14ac:dyDescent="0.3">
      <c r="A1270" s="20">
        <v>42328</v>
      </c>
      <c r="C1270">
        <f>-(Historical_Simulation!B1271-Historical_Simulation!B1272)</f>
        <v>-0.12999999999999901</v>
      </c>
      <c r="E1270">
        <f>-(Historical_Simulation!C1271-Historical_Simulation!C1272)</f>
        <v>-7.1800000000000637</v>
      </c>
      <c r="G1270">
        <f>-(Historical_Simulation!D1271-Historical_Simulation!D1272)</f>
        <v>-1.0599999999999881</v>
      </c>
      <c r="J1270" s="23">
        <v>42332</v>
      </c>
      <c r="K1270" s="24">
        <f t="shared" si="76"/>
        <v>4.0989422909399291</v>
      </c>
      <c r="L1270" s="25"/>
      <c r="M1270" s="25"/>
      <c r="N1270" s="27"/>
      <c r="Q1270" s="23">
        <v>42332</v>
      </c>
      <c r="R1270" s="24">
        <f t="shared" si="77"/>
        <v>2.7208270912584371</v>
      </c>
      <c r="S1270" s="25"/>
      <c r="T1270" s="25"/>
      <c r="U1270" s="27"/>
      <c r="X1270" s="47">
        <v>42332</v>
      </c>
      <c r="Y1270" s="48">
        <f t="shared" si="78"/>
        <v>8.0800727513692987</v>
      </c>
      <c r="Z1270" s="49"/>
      <c r="AA1270" s="49"/>
      <c r="AB1270" s="51"/>
      <c r="AE1270" s="47">
        <v>42332</v>
      </c>
      <c r="AF1270" s="48">
        <f t="shared" si="79"/>
        <v>5.5472962044830343</v>
      </c>
      <c r="AG1270" s="49"/>
      <c r="AH1270" s="49"/>
      <c r="AI1270" s="51"/>
    </row>
    <row r="1271" spans="1:35" x14ac:dyDescent="0.3">
      <c r="A1271" s="20">
        <v>42327</v>
      </c>
      <c r="C1271">
        <f>-(Historical_Simulation!B1272-Historical_Simulation!B1273)</f>
        <v>-0.37249999999999872</v>
      </c>
      <c r="E1271">
        <f>-(Historical_Simulation!C1272-Historical_Simulation!C1273)</f>
        <v>2.2699999999999818</v>
      </c>
      <c r="G1271">
        <f>-(Historical_Simulation!D1272-Historical_Simulation!D1273)</f>
        <v>1.5099999999999909</v>
      </c>
      <c r="J1271" s="23">
        <v>42331</v>
      </c>
      <c r="K1271" s="24">
        <f t="shared" si="76"/>
        <v>-5.5069439753583671</v>
      </c>
      <c r="L1271" s="25"/>
      <c r="M1271" s="25"/>
      <c r="N1271" s="27"/>
      <c r="Q1271" s="23">
        <v>42331</v>
      </c>
      <c r="R1271" s="24">
        <f t="shared" si="77"/>
        <v>-3.6529373956278075</v>
      </c>
      <c r="S1271" s="25"/>
      <c r="T1271" s="25"/>
      <c r="U1271" s="27"/>
      <c r="X1271" s="47">
        <v>42331</v>
      </c>
      <c r="Y1271" s="48">
        <f t="shared" si="78"/>
        <v>0.2894463831497236</v>
      </c>
      <c r="Z1271" s="49"/>
      <c r="AA1271" s="49"/>
      <c r="AB1271" s="51"/>
      <c r="AE1271" s="47">
        <v>42331</v>
      </c>
      <c r="AF1271" s="48">
        <f t="shared" si="79"/>
        <v>0.31914393060066626</v>
      </c>
      <c r="AG1271" s="49"/>
      <c r="AH1271" s="49"/>
      <c r="AI1271" s="51"/>
    </row>
    <row r="1272" spans="1:35" x14ac:dyDescent="0.3">
      <c r="A1272" s="20">
        <v>42326</v>
      </c>
      <c r="C1272">
        <f>-(Historical_Simulation!B1273-Historical_Simulation!B1274)</f>
        <v>-0.90000000000000213</v>
      </c>
      <c r="E1272">
        <f>-(Historical_Simulation!C1273-Historical_Simulation!C1274)</f>
        <v>-20.240000000000009</v>
      </c>
      <c r="G1272">
        <f>-(Historical_Simulation!D1273-Historical_Simulation!D1274)</f>
        <v>-2.6400000000000006</v>
      </c>
      <c r="J1272" s="23">
        <v>42328</v>
      </c>
      <c r="K1272" s="24">
        <f t="shared" si="76"/>
        <v>-3.9328670808764121</v>
      </c>
      <c r="L1272" s="25"/>
      <c r="M1272" s="25"/>
      <c r="N1272" s="27"/>
      <c r="Q1272" s="23">
        <v>42328</v>
      </c>
      <c r="R1272" s="24">
        <f t="shared" si="77"/>
        <v>-2.7367338036308748</v>
      </c>
      <c r="S1272" s="25"/>
      <c r="T1272" s="25"/>
      <c r="U1272" s="27"/>
      <c r="X1272" s="47">
        <v>42328</v>
      </c>
      <c r="Y1272" s="48">
        <f t="shared" si="78"/>
        <v>-5.3408493526119383</v>
      </c>
      <c r="Z1272" s="49"/>
      <c r="AA1272" s="49"/>
      <c r="AB1272" s="51"/>
      <c r="AE1272" s="47">
        <v>42328</v>
      </c>
      <c r="AF1272" s="48">
        <f t="shared" si="79"/>
        <v>-3.762636830934091</v>
      </c>
      <c r="AG1272" s="49"/>
      <c r="AH1272" s="49"/>
      <c r="AI1272" s="51"/>
    </row>
    <row r="1273" spans="1:35" x14ac:dyDescent="0.3">
      <c r="A1273" s="20">
        <v>42325</v>
      </c>
      <c r="C1273">
        <f>-(Historical_Simulation!B1274-Historical_Simulation!B1275)</f>
        <v>0.12120000000000175</v>
      </c>
      <c r="E1273">
        <f>-(Historical_Simulation!C1274-Historical_Simulation!C1275)</f>
        <v>4.5101000000000795</v>
      </c>
      <c r="G1273">
        <f>-(Historical_Simulation!D1274-Historical_Simulation!D1275)</f>
        <v>-1.0899999999999892</v>
      </c>
      <c r="J1273" s="23">
        <v>42327</v>
      </c>
      <c r="K1273" s="24">
        <f t="shared" si="76"/>
        <v>1.0529008881157114</v>
      </c>
      <c r="L1273" s="25"/>
      <c r="M1273" s="25"/>
      <c r="N1273" s="27"/>
      <c r="Q1273" s="23">
        <v>42327</v>
      </c>
      <c r="R1273" s="24">
        <f t="shared" si="77"/>
        <v>0.6045629895169482</v>
      </c>
      <c r="S1273" s="25"/>
      <c r="T1273" s="25"/>
      <c r="U1273" s="27"/>
      <c r="X1273" s="47">
        <v>42327</v>
      </c>
      <c r="Y1273" s="48">
        <f t="shared" si="78"/>
        <v>10.175267641174235</v>
      </c>
      <c r="Z1273" s="49"/>
      <c r="AA1273" s="49"/>
      <c r="AB1273" s="51"/>
      <c r="AE1273" s="47">
        <v>42327</v>
      </c>
      <c r="AF1273" s="48">
        <f t="shared" si="79"/>
        <v>6.9806600368101837</v>
      </c>
      <c r="AG1273" s="49"/>
      <c r="AH1273" s="49"/>
      <c r="AI1273" s="51"/>
    </row>
    <row r="1274" spans="1:35" x14ac:dyDescent="0.3">
      <c r="A1274" s="20">
        <v>42324</v>
      </c>
      <c r="C1274">
        <f>-(Historical_Simulation!B1275-Historical_Simulation!B1276)</f>
        <v>-0.45870000000000033</v>
      </c>
      <c r="E1274">
        <f>-(Historical_Simulation!C1275-Historical_Simulation!C1276)</f>
        <v>-5.4600000000000364</v>
      </c>
      <c r="G1274">
        <f>-(Historical_Simulation!D1275-Historical_Simulation!D1276)</f>
        <v>-9.0000000000003411E-2</v>
      </c>
      <c r="J1274" s="23">
        <v>42326</v>
      </c>
      <c r="K1274" s="24">
        <f t="shared" si="76"/>
        <v>-11.332262318319035</v>
      </c>
      <c r="L1274" s="25"/>
      <c r="M1274" s="25"/>
      <c r="N1274" s="27"/>
      <c r="Q1274" s="23">
        <v>42326</v>
      </c>
      <c r="R1274" s="24">
        <f t="shared" si="77"/>
        <v>-8.0509548598894618</v>
      </c>
      <c r="S1274" s="25"/>
      <c r="T1274" s="25"/>
      <c r="U1274" s="27"/>
      <c r="X1274" s="47">
        <v>42326</v>
      </c>
      <c r="Y1274" s="48">
        <f t="shared" si="78"/>
        <v>-10.649331046822446</v>
      </c>
      <c r="Z1274" s="49"/>
      <c r="AA1274" s="49"/>
      <c r="AB1274" s="51"/>
      <c r="AE1274" s="47">
        <v>42326</v>
      </c>
      <c r="AF1274" s="48">
        <f t="shared" si="79"/>
        <v>-7.6965463288445051</v>
      </c>
      <c r="AG1274" s="49"/>
      <c r="AH1274" s="49"/>
      <c r="AI1274" s="51"/>
    </row>
    <row r="1275" spans="1:35" x14ac:dyDescent="0.3">
      <c r="A1275" s="20">
        <v>42321</v>
      </c>
      <c r="C1275">
        <f>-(Historical_Simulation!B1276-Historical_Simulation!B1277)</f>
        <v>0.84499999999999886</v>
      </c>
      <c r="E1275">
        <f>-(Historical_Simulation!C1276-Historical_Simulation!C1277)</f>
        <v>23.25</v>
      </c>
      <c r="G1275">
        <f>-(Historical_Simulation!D1276-Historical_Simulation!D1277)</f>
        <v>4.0699999999999932</v>
      </c>
      <c r="J1275" s="23">
        <v>42325</v>
      </c>
      <c r="K1275" s="24">
        <f t="shared" si="76"/>
        <v>2.4886330966324319</v>
      </c>
      <c r="L1275" s="25"/>
      <c r="M1275" s="25"/>
      <c r="N1275" s="27"/>
      <c r="Q1275" s="23">
        <v>42325</v>
      </c>
      <c r="R1275" s="24">
        <f t="shared" si="77"/>
        <v>1.7439934738660512</v>
      </c>
      <c r="S1275" s="25"/>
      <c r="T1275" s="25"/>
      <c r="U1275" s="27"/>
      <c r="X1275" s="47">
        <v>42325</v>
      </c>
      <c r="Y1275" s="48">
        <f t="shared" si="78"/>
        <v>-6.6652308987995772</v>
      </c>
      <c r="Z1275" s="49"/>
      <c r="AA1275" s="49"/>
      <c r="AB1275" s="51"/>
      <c r="AE1275" s="47">
        <v>42325</v>
      </c>
      <c r="AF1275" s="48">
        <f t="shared" si="79"/>
        <v>-4.6098212146531061</v>
      </c>
      <c r="AG1275" s="49"/>
      <c r="AH1275" s="49"/>
      <c r="AI1275" s="51"/>
    </row>
    <row r="1276" spans="1:35" x14ac:dyDescent="0.3">
      <c r="A1276" s="20">
        <v>42320</v>
      </c>
      <c r="C1276">
        <f>-(Historical_Simulation!B1277-Historical_Simulation!B1278)</f>
        <v>9.7500000000000142E-2</v>
      </c>
      <c r="E1276">
        <f>-(Historical_Simulation!C1277-Historical_Simulation!C1278)</f>
        <v>7.6499000000000024</v>
      </c>
      <c r="G1276">
        <f>-(Historical_Simulation!D1277-Historical_Simulation!D1278)</f>
        <v>0.99000000000000909</v>
      </c>
      <c r="J1276" s="23">
        <v>42324</v>
      </c>
      <c r="K1276" s="24">
        <f t="shared" si="76"/>
        <v>-3.1564700895868327</v>
      </c>
      <c r="L1276" s="25"/>
      <c r="M1276" s="25"/>
      <c r="N1276" s="27"/>
      <c r="Q1276" s="23">
        <v>42324</v>
      </c>
      <c r="R1276" s="24">
        <f t="shared" si="77"/>
        <v>-2.3079280527800106</v>
      </c>
      <c r="S1276" s="25"/>
      <c r="T1276" s="25"/>
      <c r="U1276" s="27"/>
      <c r="X1276" s="47">
        <v>42324</v>
      </c>
      <c r="Y1276" s="48">
        <f t="shared" si="78"/>
        <v>1.6071496304387405</v>
      </c>
      <c r="Z1276" s="49"/>
      <c r="AA1276" s="49"/>
      <c r="AB1276" s="51"/>
      <c r="AE1276" s="47">
        <v>42324</v>
      </c>
      <c r="AF1276" s="48">
        <f t="shared" si="79"/>
        <v>0.9814647307154879</v>
      </c>
      <c r="AG1276" s="49"/>
      <c r="AH1276" s="49"/>
      <c r="AI1276" s="51"/>
    </row>
    <row r="1277" spans="1:35" x14ac:dyDescent="0.3">
      <c r="A1277" s="20">
        <v>42319</v>
      </c>
      <c r="C1277">
        <f>-(Historical_Simulation!B1278-Historical_Simulation!B1279)</f>
        <v>0.16499999999999915</v>
      </c>
      <c r="E1277">
        <f>-(Historical_Simulation!C1278-Historical_Simulation!C1279)</f>
        <v>-13.570100000000025</v>
      </c>
      <c r="G1277">
        <f>-(Historical_Simulation!D1278-Historical_Simulation!D1279)</f>
        <v>-1.1000000000000085</v>
      </c>
      <c r="J1277" s="23">
        <v>42321</v>
      </c>
      <c r="K1277" s="24">
        <f t="shared" si="76"/>
        <v>12.930565524402164</v>
      </c>
      <c r="L1277" s="25"/>
      <c r="M1277" s="25"/>
      <c r="N1277" s="27"/>
      <c r="Q1277" s="23">
        <v>42321</v>
      </c>
      <c r="R1277" s="24">
        <f t="shared" si="77"/>
        <v>9.1292370028864163</v>
      </c>
      <c r="S1277" s="25"/>
      <c r="T1277" s="25"/>
      <c r="U1277" s="27"/>
      <c r="X1277" s="47">
        <v>42321</v>
      </c>
      <c r="Y1277" s="48">
        <f t="shared" si="78"/>
        <v>18.914880819541583</v>
      </c>
      <c r="Z1277" s="49"/>
      <c r="AA1277" s="49"/>
      <c r="AB1277" s="51"/>
      <c r="AE1277" s="47">
        <v>42321</v>
      </c>
      <c r="AF1277" s="48">
        <f t="shared" si="79"/>
        <v>13.442047075013509</v>
      </c>
      <c r="AG1277" s="49"/>
      <c r="AH1277" s="49"/>
      <c r="AI1277" s="51"/>
    </row>
    <row r="1278" spans="1:35" x14ac:dyDescent="0.3">
      <c r="A1278" s="20">
        <v>42318</v>
      </c>
      <c r="C1278">
        <f>-(Historical_Simulation!B1279-Historical_Simulation!B1280)</f>
        <v>0.94999999999999929</v>
      </c>
      <c r="E1278">
        <f>-(Historical_Simulation!C1279-Historical_Simulation!C1280)</f>
        <v>-4.189899999999966</v>
      </c>
      <c r="G1278">
        <f>-(Historical_Simulation!D1279-Historical_Simulation!D1280)</f>
        <v>-1.4200000000000017</v>
      </c>
      <c r="J1278" s="23">
        <v>42320</v>
      </c>
      <c r="K1278" s="24">
        <f t="shared" si="76"/>
        <v>4.1713685590937262</v>
      </c>
      <c r="L1278" s="25"/>
      <c r="M1278" s="25"/>
      <c r="N1278" s="27"/>
      <c r="Q1278" s="23">
        <v>42320</v>
      </c>
      <c r="R1278" s="24">
        <f t="shared" si="77"/>
        <v>2.8899959402186743</v>
      </c>
      <c r="S1278" s="25"/>
      <c r="T1278" s="25"/>
      <c r="U1278" s="27"/>
      <c r="X1278" s="47">
        <v>42320</v>
      </c>
      <c r="Y1278" s="48">
        <f t="shared" si="78"/>
        <v>5.0982344593615672</v>
      </c>
      <c r="Z1278" s="49"/>
      <c r="AA1278" s="49"/>
      <c r="AB1278" s="51"/>
      <c r="AE1278" s="47">
        <v>42320</v>
      </c>
      <c r="AF1278" s="48">
        <f t="shared" si="79"/>
        <v>3.5836595393642448</v>
      </c>
      <c r="AG1278" s="49"/>
      <c r="AH1278" s="49"/>
      <c r="AI1278" s="51"/>
    </row>
    <row r="1279" spans="1:35" x14ac:dyDescent="0.3">
      <c r="A1279" s="20">
        <v>42317</v>
      </c>
      <c r="C1279">
        <f>-(Historical_Simulation!B1280-Historical_Simulation!B1281)</f>
        <v>0.12250000000000227</v>
      </c>
      <c r="E1279">
        <f>-(Historical_Simulation!C1280-Historical_Simulation!C1281)</f>
        <v>3.8800999999999704</v>
      </c>
      <c r="G1279">
        <f>-(Historical_Simulation!D1280-Historical_Simulation!D1281)</f>
        <v>0.60500000000000398</v>
      </c>
      <c r="J1279" s="23">
        <v>42319</v>
      </c>
      <c r="K1279" s="24">
        <f t="shared" si="76"/>
        <v>-7.2439020769567719</v>
      </c>
      <c r="L1279" s="25"/>
      <c r="M1279" s="25"/>
      <c r="N1279" s="27"/>
      <c r="Q1279" s="23">
        <v>42319</v>
      </c>
      <c r="R1279" s="24">
        <f t="shared" si="77"/>
        <v>-4.9135460235815867</v>
      </c>
      <c r="S1279" s="25"/>
      <c r="T1279" s="25"/>
      <c r="U1279" s="27"/>
      <c r="X1279" s="47">
        <v>42319</v>
      </c>
      <c r="Y1279" s="48">
        <f t="shared" si="78"/>
        <v>-6.9228757323163679</v>
      </c>
      <c r="Z1279" s="49"/>
      <c r="AA1279" s="49"/>
      <c r="AB1279" s="51"/>
      <c r="AE1279" s="47">
        <v>42319</v>
      </c>
      <c r="AF1279" s="48">
        <f t="shared" si="79"/>
        <v>-4.7761673022921594</v>
      </c>
      <c r="AG1279" s="49"/>
      <c r="AH1279" s="49"/>
      <c r="AI1279" s="51"/>
    </row>
    <row r="1280" spans="1:35" x14ac:dyDescent="0.3">
      <c r="A1280" s="20">
        <v>42314</v>
      </c>
      <c r="C1280">
        <f>-(Historical_Simulation!B1281-Historical_Simulation!B1282)</f>
        <v>-3.5000000000000142E-2</v>
      </c>
      <c r="E1280">
        <f>-(Historical_Simulation!C1281-Historical_Simulation!C1282)</f>
        <v>-3.7201999999999771</v>
      </c>
      <c r="G1280">
        <f>-(Historical_Simulation!D1281-Historical_Simulation!D1282)</f>
        <v>1.6650000000000063</v>
      </c>
      <c r="J1280" s="23">
        <v>42318</v>
      </c>
      <c r="K1280" s="24">
        <f t="shared" si="76"/>
        <v>-1.8225328381555135</v>
      </c>
      <c r="L1280" s="25"/>
      <c r="M1280" s="25"/>
      <c r="N1280" s="27"/>
      <c r="Q1280" s="23">
        <v>42318</v>
      </c>
      <c r="R1280" s="24">
        <f t="shared" si="77"/>
        <v>-0.95047533011094043</v>
      </c>
      <c r="S1280" s="25"/>
      <c r="T1280" s="25"/>
      <c r="U1280" s="27"/>
      <c r="X1280" s="47">
        <v>42318</v>
      </c>
      <c r="Y1280" s="48">
        <f t="shared" si="78"/>
        <v>-12.329261253430589</v>
      </c>
      <c r="Z1280" s="49"/>
      <c r="AA1280" s="49"/>
      <c r="AB1280" s="51"/>
      <c r="AE1280" s="47">
        <v>42318</v>
      </c>
      <c r="AF1280" s="48">
        <f t="shared" si="79"/>
        <v>-8.3073648272192493</v>
      </c>
      <c r="AG1280" s="49"/>
      <c r="AH1280" s="49"/>
      <c r="AI1280" s="51"/>
    </row>
    <row r="1281" spans="1:35" x14ac:dyDescent="0.3">
      <c r="A1281" s="20">
        <v>42313</v>
      </c>
      <c r="C1281">
        <f>-(Historical_Simulation!B1282-Historical_Simulation!B1283)</f>
        <v>0.26999999999999957</v>
      </c>
      <c r="E1281">
        <f>-(Historical_Simulation!C1282-Historical_Simulation!C1283)</f>
        <v>-14.699899999999957</v>
      </c>
      <c r="G1281">
        <f>-(Historical_Simulation!D1282-Historical_Simulation!D1283)</f>
        <v>-4.8200000000000074</v>
      </c>
      <c r="J1281" s="23">
        <v>42317</v>
      </c>
      <c r="K1281" s="24">
        <f t="shared" si="76"/>
        <v>2.1494011834185782</v>
      </c>
      <c r="L1281" s="25"/>
      <c r="M1281" s="25"/>
      <c r="N1281" s="27"/>
      <c r="Q1281" s="23">
        <v>42317</v>
      </c>
      <c r="R1281" s="24">
        <f t="shared" si="77"/>
        <v>1.5118706298614499</v>
      </c>
      <c r="S1281" s="25"/>
      <c r="T1281" s="25"/>
      <c r="U1281" s="27"/>
      <c r="X1281" s="47">
        <v>42317</v>
      </c>
      <c r="Y1281" s="48">
        <f t="shared" si="78"/>
        <v>2.8259782931562381</v>
      </c>
      <c r="Z1281" s="49"/>
      <c r="AA1281" s="49"/>
      <c r="AB1281" s="51"/>
      <c r="AE1281" s="47">
        <v>42317</v>
      </c>
      <c r="AF1281" s="48">
        <f t="shared" si="79"/>
        <v>2.0071744848663746</v>
      </c>
      <c r="AG1281" s="49"/>
      <c r="AH1281" s="49"/>
      <c r="AI1281" s="51"/>
    </row>
    <row r="1282" spans="1:35" x14ac:dyDescent="0.3">
      <c r="A1282" s="20">
        <v>42312</v>
      </c>
      <c r="C1282">
        <f>-(Historical_Simulation!B1283-Historical_Simulation!B1284)</f>
        <v>0.14249999999999829</v>
      </c>
      <c r="E1282">
        <f>-(Historical_Simulation!C1283-Historical_Simulation!C1284)</f>
        <v>-15.639900000000011</v>
      </c>
      <c r="G1282">
        <f>-(Historical_Simulation!D1283-Historical_Simulation!D1284)</f>
        <v>-1.3599999999999994</v>
      </c>
      <c r="J1282" s="23">
        <v>42314</v>
      </c>
      <c r="K1282" s="24">
        <f t="shared" si="76"/>
        <v>-2.0228476264461763</v>
      </c>
      <c r="L1282" s="25"/>
      <c r="M1282" s="25"/>
      <c r="N1282" s="27"/>
      <c r="Q1282" s="23">
        <v>42314</v>
      </c>
      <c r="R1282" s="24">
        <f t="shared" si="77"/>
        <v>-1.3976007678213271</v>
      </c>
      <c r="S1282" s="25"/>
      <c r="T1282" s="25"/>
      <c r="U1282" s="27"/>
      <c r="X1282" s="47">
        <v>42314</v>
      </c>
      <c r="Y1282" s="48">
        <f t="shared" si="78"/>
        <v>9.4902084940219726</v>
      </c>
      <c r="Z1282" s="49"/>
      <c r="AA1282" s="49"/>
      <c r="AB1282" s="51"/>
      <c r="AE1282" s="47">
        <v>42314</v>
      </c>
      <c r="AF1282" s="48">
        <f t="shared" si="79"/>
        <v>6.6053038845032805</v>
      </c>
      <c r="AG1282" s="49"/>
      <c r="AH1282" s="49"/>
      <c r="AI1282" s="51"/>
    </row>
    <row r="1283" spans="1:35" x14ac:dyDescent="0.3">
      <c r="A1283" s="20">
        <v>42311</v>
      </c>
      <c r="C1283">
        <f>-(Historical_Simulation!B1284-Historical_Simulation!B1285)</f>
        <v>-0.34749999999999659</v>
      </c>
      <c r="E1283">
        <f>-(Historical_Simulation!C1284-Historical_Simulation!C1285)</f>
        <v>3.0399999999999636</v>
      </c>
      <c r="G1283">
        <f>-(Historical_Simulation!D1284-Historical_Simulation!D1285)</f>
        <v>0.73000000000000398</v>
      </c>
      <c r="J1283" s="23">
        <v>42313</v>
      </c>
      <c r="K1283" s="24">
        <f t="shared" si="76"/>
        <v>-7.8049702005689552</v>
      </c>
      <c r="L1283" s="25"/>
      <c r="M1283" s="25"/>
      <c r="N1283" s="27"/>
      <c r="Q1283" s="23">
        <v>42313</v>
      </c>
      <c r="R1283" s="24">
        <f t="shared" si="77"/>
        <v>-5.2651126761664369</v>
      </c>
      <c r="S1283" s="25"/>
      <c r="T1283" s="25"/>
      <c r="U1283" s="27"/>
      <c r="X1283" s="47">
        <v>42313</v>
      </c>
      <c r="Y1283" s="48">
        <f t="shared" si="78"/>
        <v>-28.249594843865722</v>
      </c>
      <c r="Z1283" s="49"/>
      <c r="AA1283" s="49"/>
      <c r="AB1283" s="51"/>
      <c r="AE1283" s="47">
        <v>42313</v>
      </c>
      <c r="AF1283" s="48">
        <f t="shared" si="79"/>
        <v>-19.611851042424483</v>
      </c>
      <c r="AG1283" s="49"/>
      <c r="AH1283" s="49"/>
      <c r="AI1283" s="51"/>
    </row>
    <row r="1284" spans="1:35" x14ac:dyDescent="0.3">
      <c r="A1284" s="20">
        <v>42310</v>
      </c>
      <c r="C1284">
        <f>-(Historical_Simulation!B1285-Historical_Simulation!B1286)</f>
        <v>-0.42000000000000171</v>
      </c>
      <c r="E1284">
        <f>-(Historical_Simulation!C1285-Historical_Simulation!C1286)</f>
        <v>-2.4501999999999953</v>
      </c>
      <c r="G1284">
        <f>-(Historical_Simulation!D1285-Historical_Simulation!D1286)</f>
        <v>-1.3400000000000034</v>
      </c>
      <c r="J1284" s="23">
        <v>42312</v>
      </c>
      <c r="K1284" s="24">
        <f t="shared" si="76"/>
        <v>-8.3707438889678585</v>
      </c>
      <c r="L1284" s="25"/>
      <c r="M1284" s="25"/>
      <c r="N1284" s="27"/>
      <c r="Q1284" s="23">
        <v>42312</v>
      </c>
      <c r="R1284" s="24">
        <f t="shared" si="77"/>
        <v>-5.6930341251664673</v>
      </c>
      <c r="S1284" s="25"/>
      <c r="T1284" s="25"/>
      <c r="U1284" s="27"/>
      <c r="X1284" s="47">
        <v>42312</v>
      </c>
      <c r="Y1284" s="48">
        <f t="shared" si="78"/>
        <v>-8.2761033895693785</v>
      </c>
      <c r="Z1284" s="49"/>
      <c r="AA1284" s="49"/>
      <c r="AB1284" s="51"/>
      <c r="AE1284" s="47">
        <v>42312</v>
      </c>
      <c r="AF1284" s="48">
        <f t="shared" si="79"/>
        <v>-5.7263568155683124</v>
      </c>
      <c r="AG1284" s="49"/>
      <c r="AH1284" s="49"/>
      <c r="AI1284" s="51"/>
    </row>
    <row r="1285" spans="1:35" x14ac:dyDescent="0.3">
      <c r="A1285" s="20">
        <v>42307</v>
      </c>
      <c r="C1285">
        <f>-(Historical_Simulation!B1286-Historical_Simulation!B1287)</f>
        <v>0.25750000000000028</v>
      </c>
      <c r="E1285">
        <f>-(Historical_Simulation!C1286-Historical_Simulation!C1287)</f>
        <v>0.65009999999995216</v>
      </c>
      <c r="G1285">
        <f>-(Historical_Simulation!D1286-Historical_Simulation!D1287)</f>
        <v>2.9099999999999966</v>
      </c>
      <c r="J1285" s="23">
        <v>42311</v>
      </c>
      <c r="K1285" s="24">
        <f t="shared" si="76"/>
        <v>1.4797641470168232</v>
      </c>
      <c r="L1285" s="25"/>
      <c r="M1285" s="25"/>
      <c r="N1285" s="27"/>
      <c r="Q1285" s="23">
        <v>42311</v>
      </c>
      <c r="R1285" s="24">
        <f t="shared" si="77"/>
        <v>0.90502634890772071</v>
      </c>
      <c r="S1285" s="25"/>
      <c r="T1285" s="25"/>
      <c r="U1285" s="27"/>
      <c r="X1285" s="47">
        <v>42311</v>
      </c>
      <c r="Y1285" s="48">
        <f t="shared" si="78"/>
        <v>5.6898012660639106</v>
      </c>
      <c r="Z1285" s="49"/>
      <c r="AA1285" s="49"/>
      <c r="AB1285" s="51"/>
      <c r="AE1285" s="47">
        <v>42311</v>
      </c>
      <c r="AF1285" s="48">
        <f t="shared" si="79"/>
        <v>3.8612808444425104</v>
      </c>
      <c r="AG1285" s="49"/>
      <c r="AH1285" s="49"/>
      <c r="AI1285" s="51"/>
    </row>
    <row r="1286" spans="1:35" x14ac:dyDescent="0.3">
      <c r="A1286" s="20">
        <v>42306</v>
      </c>
      <c r="C1286">
        <f>-(Historical_Simulation!B1287-Historical_Simulation!B1288)</f>
        <v>-0.31500000000000128</v>
      </c>
      <c r="E1286">
        <f>-(Historical_Simulation!C1287-Historical_Simulation!C1288)</f>
        <v>-9.4498999999999569</v>
      </c>
      <c r="G1286">
        <f>-(Historical_Simulation!D1287-Historical_Simulation!D1288)</f>
        <v>-0.67999999999999261</v>
      </c>
      <c r="J1286" s="23">
        <v>42310</v>
      </c>
      <c r="K1286" s="24">
        <f t="shared" ref="K1286:K1304" si="80">C1284*$K$3+E1284*(1-$K$3)</f>
        <v>-1.5151178365383275</v>
      </c>
      <c r="L1286" s="25"/>
      <c r="M1286" s="25"/>
      <c r="N1286" s="27"/>
      <c r="Q1286" s="23">
        <v>42310</v>
      </c>
      <c r="R1286" s="24">
        <f t="shared" si="77"/>
        <v>-1.1706653855505462</v>
      </c>
      <c r="S1286" s="25"/>
      <c r="T1286" s="25"/>
      <c r="U1286" s="27"/>
      <c r="X1286" s="47">
        <v>42310</v>
      </c>
      <c r="Y1286" s="48">
        <f t="shared" si="78"/>
        <v>-5.5748187144118839</v>
      </c>
      <c r="Z1286" s="49"/>
      <c r="AA1286" s="49"/>
      <c r="AB1286" s="51"/>
      <c r="AE1286" s="47">
        <v>42310</v>
      </c>
      <c r="AF1286" s="48">
        <f t="shared" si="79"/>
        <v>-4.0135762198488294</v>
      </c>
      <c r="AG1286" s="49"/>
      <c r="AH1286" s="49"/>
      <c r="AI1286" s="51"/>
    </row>
    <row r="1287" spans="1:35" x14ac:dyDescent="0.3">
      <c r="A1287" s="20">
        <v>42305</v>
      </c>
      <c r="C1287">
        <f>-(Historical_Simulation!B1288-Historical_Simulation!B1289)</f>
        <v>-1.1799999999999997</v>
      </c>
      <c r="E1287">
        <f>-(Historical_Simulation!C1288-Historical_Simulation!C1289)</f>
        <v>-6.0901000000000067</v>
      </c>
      <c r="G1287">
        <f>-(Historical_Simulation!D1288-Historical_Simulation!D1289)</f>
        <v>-0.5</v>
      </c>
      <c r="J1287" s="23">
        <v>42307</v>
      </c>
      <c r="K1287" s="24">
        <f t="shared" si="80"/>
        <v>0.46927384623430995</v>
      </c>
      <c r="L1287" s="25"/>
      <c r="M1287" s="25"/>
      <c r="N1287" s="27"/>
      <c r="Q1287" s="23">
        <v>42307</v>
      </c>
      <c r="R1287" s="24">
        <f t="shared" ref="R1287:R1304" si="81">C1285*$R$3+E1285*(1-$R$3)</f>
        <v>0.40266364415678713</v>
      </c>
      <c r="S1287" s="25"/>
      <c r="T1287" s="25"/>
      <c r="U1287" s="27"/>
      <c r="X1287" s="47">
        <v>42307</v>
      </c>
      <c r="Y1287" s="48">
        <f t="shared" ref="Y1287:Y1304" si="82">C1285*$Y$3+G1285*(1-$Y$3)</f>
        <v>15.119626782584207</v>
      </c>
      <c r="Z1287" s="49"/>
      <c r="AA1287" s="49"/>
      <c r="AB1287" s="51"/>
      <c r="AE1287" s="47">
        <v>42307</v>
      </c>
      <c r="AF1287" s="48">
        <f t="shared" ref="AF1287:AF1304" si="83">C1285*$AF$3+G1285*(1-$AF$3)</f>
        <v>10.618327090379331</v>
      </c>
      <c r="AG1287" s="49"/>
      <c r="AH1287" s="49"/>
      <c r="AI1287" s="51"/>
    </row>
    <row r="1288" spans="1:35" x14ac:dyDescent="0.3">
      <c r="A1288" s="20">
        <v>42304</v>
      </c>
      <c r="C1288">
        <f>-(Historical_Simulation!B1289-Historical_Simulation!B1290)</f>
        <v>0.18250000000000099</v>
      </c>
      <c r="E1288">
        <f>-(Historical_Simulation!C1289-Historical_Simulation!C1290)</f>
        <v>-2.3999000000000024</v>
      </c>
      <c r="G1288">
        <f>-(Historical_Simulation!D1289-Historical_Simulation!D1290)</f>
        <v>6.9999999999993179E-2</v>
      </c>
      <c r="J1288" s="23">
        <v>42306</v>
      </c>
      <c r="K1288" s="24">
        <f t="shared" si="80"/>
        <v>-5.2424908506521231</v>
      </c>
      <c r="L1288" s="25"/>
      <c r="M1288" s="25"/>
      <c r="N1288" s="27"/>
      <c r="Q1288" s="23">
        <v>42306</v>
      </c>
      <c r="R1288" s="24">
        <f t="shared" si="81"/>
        <v>-3.6926244855017534</v>
      </c>
      <c r="S1288" s="25"/>
      <c r="T1288" s="25"/>
      <c r="U1288" s="27"/>
      <c r="X1288" s="47">
        <v>42306</v>
      </c>
      <c r="Y1288" s="48">
        <f t="shared" si="82"/>
        <v>-2.3601182943046628</v>
      </c>
      <c r="Z1288" s="49"/>
      <c r="AA1288" s="49"/>
      <c r="AB1288" s="51"/>
      <c r="AE1288" s="47">
        <v>42306</v>
      </c>
      <c r="AF1288" s="48">
        <f t="shared" si="83"/>
        <v>-1.7407123046139017</v>
      </c>
      <c r="AG1288" s="49"/>
      <c r="AH1288" s="49"/>
      <c r="AI1288" s="51"/>
    </row>
    <row r="1289" spans="1:35" x14ac:dyDescent="0.3">
      <c r="A1289" s="20">
        <v>42303</v>
      </c>
      <c r="C1289">
        <f>-(Historical_Simulation!B1290-Historical_Simulation!B1291)</f>
        <v>0.94999999999999929</v>
      </c>
      <c r="E1289">
        <f>-(Historical_Simulation!C1290-Historical_Simulation!C1291)</f>
        <v>-9.5801000000000158</v>
      </c>
      <c r="G1289">
        <f>-(Historical_Simulation!D1290-Historical_Simulation!D1291)</f>
        <v>-1.5799999999999983</v>
      </c>
      <c r="J1289" s="23">
        <v>42305</v>
      </c>
      <c r="K1289" s="24">
        <f t="shared" si="80"/>
        <v>-3.8285755537320751</v>
      </c>
      <c r="L1289" s="25"/>
      <c r="M1289" s="25"/>
      <c r="N1289" s="27"/>
      <c r="Q1289" s="23">
        <v>42305</v>
      </c>
      <c r="R1289" s="24">
        <f t="shared" si="81"/>
        <v>-2.9955069005968595</v>
      </c>
      <c r="S1289" s="25"/>
      <c r="T1289" s="25"/>
      <c r="U1289" s="27"/>
      <c r="X1289" s="47">
        <v>42305</v>
      </c>
      <c r="Y1289" s="48">
        <f t="shared" si="82"/>
        <v>2.6300833976087734</v>
      </c>
      <c r="Z1289" s="49"/>
      <c r="AA1289" s="49"/>
      <c r="AB1289" s="51"/>
      <c r="AE1289" s="47">
        <v>42305</v>
      </c>
      <c r="AF1289" s="48">
        <f t="shared" si="83"/>
        <v>1.4761215538013017</v>
      </c>
      <c r="AG1289" s="49"/>
      <c r="AH1289" s="49"/>
      <c r="AI1289" s="51"/>
    </row>
    <row r="1290" spans="1:35" x14ac:dyDescent="0.3">
      <c r="A1290" s="20">
        <v>42300</v>
      </c>
      <c r="C1290">
        <f>-(Historical_Simulation!B1291-Historical_Simulation!B1292)</f>
        <v>-0.89499999999999957</v>
      </c>
      <c r="E1290">
        <f>-(Historical_Simulation!C1291-Historical_Simulation!C1292)</f>
        <v>-35.120099999999979</v>
      </c>
      <c r="G1290">
        <f>-(Historical_Simulation!D1291-Historical_Simulation!D1292)</f>
        <v>-2.519999999999996</v>
      </c>
      <c r="J1290" s="23">
        <v>42304</v>
      </c>
      <c r="K1290" s="24">
        <f t="shared" si="80"/>
        <v>-1.2104821205184633</v>
      </c>
      <c r="L1290" s="25"/>
      <c r="M1290" s="25"/>
      <c r="N1290" s="27"/>
      <c r="Q1290" s="23">
        <v>42304</v>
      </c>
      <c r="R1290" s="24">
        <f t="shared" si="81"/>
        <v>-0.77234104602784592</v>
      </c>
      <c r="S1290" s="25"/>
      <c r="T1290" s="25"/>
      <c r="U1290" s="27"/>
      <c r="X1290" s="47">
        <v>42304</v>
      </c>
      <c r="Y1290" s="48">
        <f t="shared" si="82"/>
        <v>-0.44784467975149456</v>
      </c>
      <c r="Z1290" s="49"/>
      <c r="AA1290" s="49"/>
      <c r="AB1290" s="51"/>
      <c r="AE1290" s="47">
        <v>42304</v>
      </c>
      <c r="AF1290" s="48">
        <f t="shared" si="83"/>
        <v>-0.25693187470980383</v>
      </c>
      <c r="AG1290" s="49"/>
      <c r="AH1290" s="49"/>
      <c r="AI1290" s="51"/>
    </row>
    <row r="1291" spans="1:35" x14ac:dyDescent="0.3">
      <c r="A1291" s="20">
        <v>42299</v>
      </c>
      <c r="C1291">
        <f>-(Historical_Simulation!B1292-Historical_Simulation!B1293)</f>
        <v>-0.43499999999999872</v>
      </c>
      <c r="E1291">
        <f>-(Historical_Simulation!C1292-Historical_Simulation!C1293)</f>
        <v>-8.1399000000000115</v>
      </c>
      <c r="G1291">
        <f>-(Historical_Simulation!D1292-Historical_Simulation!D1293)</f>
        <v>-2.5600000000000023</v>
      </c>
      <c r="J1291" s="23">
        <v>42303</v>
      </c>
      <c r="K1291" s="24">
        <f t="shared" si="80"/>
        <v>-4.7300809430264419</v>
      </c>
      <c r="L1291" s="25"/>
      <c r="M1291" s="25"/>
      <c r="N1291" s="27"/>
      <c r="Q1291" s="23">
        <v>42303</v>
      </c>
      <c r="R1291" s="24">
        <f t="shared" si="81"/>
        <v>-2.943498953987699</v>
      </c>
      <c r="S1291" s="25"/>
      <c r="T1291" s="25"/>
      <c r="U1291" s="27"/>
      <c r="X1291" s="47">
        <v>42303</v>
      </c>
      <c r="Y1291" s="48">
        <f t="shared" si="82"/>
        <v>-13.225751464632634</v>
      </c>
      <c r="Z1291" s="49"/>
      <c r="AA1291" s="49"/>
      <c r="AB1291" s="51"/>
      <c r="AE1291" s="47">
        <v>42303</v>
      </c>
      <c r="AF1291" s="48">
        <f t="shared" si="83"/>
        <v>-8.9323346045842484</v>
      </c>
      <c r="AG1291" s="49"/>
      <c r="AH1291" s="49"/>
      <c r="AI1291" s="51"/>
    </row>
    <row r="1292" spans="1:35" x14ac:dyDescent="0.3">
      <c r="A1292" s="20">
        <v>42298</v>
      </c>
      <c r="C1292">
        <f>-(Historical_Simulation!B1293-Historical_Simulation!B1294)</f>
        <v>2.4999999999977263E-3</v>
      </c>
      <c r="E1292">
        <f>-(Historical_Simulation!C1293-Historical_Simulation!C1294)</f>
        <v>5.1099000000000387</v>
      </c>
      <c r="G1292">
        <f>-(Historical_Simulation!D1293-Historical_Simulation!D1294)</f>
        <v>-0.10999999999999943</v>
      </c>
      <c r="J1292" s="23">
        <v>42300</v>
      </c>
      <c r="K1292" s="24">
        <f t="shared" si="80"/>
        <v>-19.356490231163409</v>
      </c>
      <c r="L1292" s="25"/>
      <c r="M1292" s="25"/>
      <c r="N1292" s="27"/>
      <c r="Q1292" s="23">
        <v>42300</v>
      </c>
      <c r="R1292" s="24">
        <f t="shared" si="81"/>
        <v>-13.549712780517194</v>
      </c>
      <c r="S1292" s="25"/>
      <c r="T1292" s="25"/>
      <c r="U1292" s="27"/>
      <c r="X1292" s="47">
        <v>42300</v>
      </c>
      <c r="Y1292" s="48">
        <f t="shared" si="82"/>
        <v>-9.999978707520949</v>
      </c>
      <c r="Z1292" s="49"/>
      <c r="AA1292" s="49"/>
      <c r="AB1292" s="51"/>
      <c r="AE1292" s="47">
        <v>42300</v>
      </c>
      <c r="AF1292" s="48">
        <f t="shared" si="83"/>
        <v>-7.2423493013633928</v>
      </c>
      <c r="AG1292" s="49"/>
      <c r="AH1292" s="49"/>
      <c r="AI1292" s="51"/>
    </row>
    <row r="1293" spans="1:35" x14ac:dyDescent="0.3">
      <c r="A1293" s="20">
        <v>42297</v>
      </c>
      <c r="C1293">
        <f>-(Historical_Simulation!B1294-Historical_Simulation!B1295)</f>
        <v>-0.50999999999999801</v>
      </c>
      <c r="E1293">
        <f>-(Historical_Simulation!C1294-Historical_Simulation!C1295)</f>
        <v>12.269999999999982</v>
      </c>
      <c r="G1293">
        <f>-(Historical_Simulation!D1294-Historical_Simulation!D1295)</f>
        <v>1.4699999999999989</v>
      </c>
      <c r="J1293" s="23">
        <v>42299</v>
      </c>
      <c r="K1293" s="24">
        <f t="shared" si="80"/>
        <v>-4.5911291590701344</v>
      </c>
      <c r="L1293" s="25"/>
      <c r="M1293" s="25"/>
      <c r="N1293" s="27"/>
      <c r="Q1293" s="23">
        <v>42299</v>
      </c>
      <c r="R1293" s="24">
        <f t="shared" si="81"/>
        <v>-3.2838827352617557</v>
      </c>
      <c r="S1293" s="25"/>
      <c r="T1293" s="25"/>
      <c r="U1293" s="27"/>
      <c r="X1293" s="47">
        <v>42299</v>
      </c>
      <c r="Y1293" s="48">
        <f t="shared" si="82"/>
        <v>-12.34151061752744</v>
      </c>
      <c r="Z1293" s="49"/>
      <c r="AA1293" s="49"/>
      <c r="AB1293" s="51"/>
      <c r="AE1293" s="47">
        <v>42299</v>
      </c>
      <c r="AF1293" s="48">
        <f t="shared" si="83"/>
        <v>-8.7353798556290823</v>
      </c>
      <c r="AG1293" s="49"/>
      <c r="AH1293" s="49"/>
      <c r="AI1293" s="51"/>
    </row>
    <row r="1294" spans="1:35" x14ac:dyDescent="0.3">
      <c r="A1294" s="20">
        <v>42296</v>
      </c>
      <c r="C1294">
        <f>-(Historical_Simulation!B1295-Historical_Simulation!B1296)</f>
        <v>-0.17249999999999943</v>
      </c>
      <c r="E1294">
        <f>-(Historical_Simulation!C1295-Historical_Simulation!C1296)</f>
        <v>-2.3899000000000115</v>
      </c>
      <c r="G1294">
        <f>-(Historical_Simulation!D1295-Historical_Simulation!D1296)</f>
        <v>-0.92999999999999261</v>
      </c>
      <c r="J1294" s="23">
        <v>42298</v>
      </c>
      <c r="K1294" s="24">
        <f t="shared" si="80"/>
        <v>2.7575018906195963</v>
      </c>
      <c r="L1294" s="25"/>
      <c r="M1294" s="25"/>
      <c r="N1294" s="27"/>
      <c r="Q1294" s="23">
        <v>42298</v>
      </c>
      <c r="R1294" s="24">
        <f t="shared" si="81"/>
        <v>1.8909584721509651</v>
      </c>
      <c r="S1294" s="25"/>
      <c r="T1294" s="25"/>
      <c r="U1294" s="27"/>
      <c r="X1294" s="47">
        <v>42298</v>
      </c>
      <c r="Y1294" s="48">
        <f t="shared" si="82"/>
        <v>-0.6278446797514381</v>
      </c>
      <c r="Z1294" s="49"/>
      <c r="AA1294" s="49"/>
      <c r="AB1294" s="51"/>
      <c r="AE1294" s="47">
        <v>42298</v>
      </c>
      <c r="AF1294" s="48">
        <f t="shared" si="83"/>
        <v>-0.43693187470976552</v>
      </c>
      <c r="AG1294" s="49"/>
      <c r="AH1294" s="49"/>
      <c r="AI1294" s="51"/>
    </row>
    <row r="1295" spans="1:35" x14ac:dyDescent="0.3">
      <c r="A1295" s="20">
        <v>42293</v>
      </c>
      <c r="C1295">
        <f>-(Historical_Simulation!B1296-Historical_Simulation!B1297)</f>
        <v>0.20499999999999829</v>
      </c>
      <c r="E1295">
        <f>-(Historical_Simulation!C1296-Historical_Simulation!C1297)</f>
        <v>-8.3201000000000249</v>
      </c>
      <c r="G1295">
        <f>-(Historical_Simulation!D1296-Historical_Simulation!D1297)</f>
        <v>-1.5800000000000125</v>
      </c>
      <c r="J1295" s="23">
        <v>42297</v>
      </c>
      <c r="K1295" s="24">
        <f t="shared" si="80"/>
        <v>6.3837079849078089</v>
      </c>
      <c r="L1295" s="25"/>
      <c r="M1295" s="25"/>
      <c r="N1295" s="27"/>
      <c r="Q1295" s="23">
        <v>42297</v>
      </c>
      <c r="R1295" s="24">
        <f t="shared" si="81"/>
        <v>4.2153982993478367</v>
      </c>
      <c r="S1295" s="25"/>
      <c r="T1295" s="25"/>
      <c r="U1295" s="27"/>
      <c r="X1295" s="47">
        <v>42297</v>
      </c>
      <c r="Y1295" s="48">
        <f t="shared" si="82"/>
        <v>10.584066363625535</v>
      </c>
      <c r="Z1295" s="49"/>
      <c r="AA1295" s="49"/>
      <c r="AB1295" s="51"/>
      <c r="AE1295" s="47">
        <v>42297</v>
      </c>
      <c r="AF1295" s="48">
        <f t="shared" si="83"/>
        <v>7.2240009948920179</v>
      </c>
      <c r="AG1295" s="49"/>
      <c r="AH1295" s="49"/>
      <c r="AI1295" s="51"/>
    </row>
    <row r="1296" spans="1:35" x14ac:dyDescent="0.3">
      <c r="A1296" s="20">
        <v>42292</v>
      </c>
      <c r="C1296">
        <f>-(Historical_Simulation!B1297-Historical_Simulation!B1298)</f>
        <v>-0.41250000000000142</v>
      </c>
      <c r="E1296">
        <f>-(Historical_Simulation!C1297-Historical_Simulation!C1298)</f>
        <v>-17.60979999999995</v>
      </c>
      <c r="G1296">
        <f>-(Historical_Simulation!D1297-Historical_Simulation!D1298)</f>
        <v>-1.8900000000000006</v>
      </c>
      <c r="J1296" s="23">
        <v>42296</v>
      </c>
      <c r="K1296" s="24">
        <f t="shared" si="80"/>
        <v>-1.3685960943454358</v>
      </c>
      <c r="L1296" s="25"/>
      <c r="M1296" s="25"/>
      <c r="N1296" s="27"/>
      <c r="Q1296" s="23">
        <v>42296</v>
      </c>
      <c r="R1296" s="24">
        <f t="shared" si="81"/>
        <v>-0.992382487400153</v>
      </c>
      <c r="S1296" s="25"/>
      <c r="T1296" s="25"/>
      <c r="U1296" s="27"/>
      <c r="X1296" s="47">
        <v>42296</v>
      </c>
      <c r="Y1296" s="48">
        <f t="shared" si="82"/>
        <v>-4.4168208436597363</v>
      </c>
      <c r="Z1296" s="49"/>
      <c r="AA1296" s="49"/>
      <c r="AB1296" s="51"/>
      <c r="AE1296" s="47">
        <v>42296</v>
      </c>
      <c r="AF1296" s="48">
        <f t="shared" si="83"/>
        <v>-3.1313412897124531</v>
      </c>
      <c r="AG1296" s="49"/>
      <c r="AH1296" s="49"/>
      <c r="AI1296" s="51"/>
    </row>
    <row r="1297" spans="1:35" x14ac:dyDescent="0.3">
      <c r="A1297" s="20">
        <v>42291</v>
      </c>
      <c r="C1297">
        <f>-(Historical_Simulation!B1298-Historical_Simulation!B1299)</f>
        <v>0.39500000000000313</v>
      </c>
      <c r="E1297">
        <f>-(Historical_Simulation!C1298-Historical_Simulation!C1299)</f>
        <v>4.0697999999999865</v>
      </c>
      <c r="G1297">
        <f>-(Historical_Simulation!D1298-Historical_Simulation!D1299)</f>
        <v>5.0000000000011369E-2</v>
      </c>
      <c r="J1297" s="23">
        <v>42293</v>
      </c>
      <c r="K1297" s="24">
        <f t="shared" si="80"/>
        <v>-4.3935563335006123</v>
      </c>
      <c r="L1297" s="25"/>
      <c r="M1297" s="25"/>
      <c r="N1297" s="27"/>
      <c r="Q1297" s="23">
        <v>42293</v>
      </c>
      <c r="R1297" s="24">
        <f t="shared" si="81"/>
        <v>-2.9471512552246026</v>
      </c>
      <c r="S1297" s="25"/>
      <c r="T1297" s="25"/>
      <c r="U1297" s="27"/>
      <c r="X1297" s="47">
        <v>42293</v>
      </c>
      <c r="Y1297" s="48">
        <f t="shared" si="82"/>
        <v>-9.7964689187230967</v>
      </c>
      <c r="Z1297" s="49"/>
      <c r="AA1297" s="49"/>
      <c r="AB1297" s="51"/>
      <c r="AE1297" s="47">
        <v>42293</v>
      </c>
      <c r="AF1297" s="48">
        <f t="shared" si="83"/>
        <v>-6.7673190787284625</v>
      </c>
      <c r="AG1297" s="49"/>
      <c r="AH1297" s="49"/>
      <c r="AI1297" s="51"/>
    </row>
    <row r="1298" spans="1:35" x14ac:dyDescent="0.3">
      <c r="A1298" s="20">
        <v>42290</v>
      </c>
      <c r="C1298">
        <f>-(Historical_Simulation!B1299-Historical_Simulation!B1300)</f>
        <v>-4.7500000000002984E-2</v>
      </c>
      <c r="E1298">
        <f>-(Historical_Simulation!C1299-Historical_Simulation!C1300)</f>
        <v>1.2899999999999636</v>
      </c>
      <c r="G1298">
        <f>-(Historical_Simulation!D1299-Historical_Simulation!D1300)</f>
        <v>0.14000000000000057</v>
      </c>
      <c r="J1298" s="23">
        <v>42292</v>
      </c>
      <c r="K1298" s="24">
        <f t="shared" si="80"/>
        <v>-9.6889604326177512</v>
      </c>
      <c r="L1298" s="25"/>
      <c r="M1298" s="25"/>
      <c r="N1298" s="27"/>
      <c r="Q1298" s="23">
        <v>42292</v>
      </c>
      <c r="R1298" s="24">
        <f t="shared" si="81"/>
        <v>-6.7711926583235069</v>
      </c>
      <c r="S1298" s="25"/>
      <c r="T1298" s="25"/>
      <c r="U1298" s="27"/>
      <c r="X1298" s="47">
        <v>42292</v>
      </c>
      <c r="Y1298" s="48">
        <f t="shared" si="82"/>
        <v>-8.691026794069062</v>
      </c>
      <c r="Z1298" s="49"/>
      <c r="AA1298" s="49"/>
      <c r="AB1298" s="51"/>
      <c r="AE1298" s="47">
        <v>42292</v>
      </c>
      <c r="AF1298" s="48">
        <f t="shared" si="83"/>
        <v>-6.1837052878550347</v>
      </c>
      <c r="AG1298" s="49"/>
      <c r="AH1298" s="49"/>
      <c r="AI1298" s="51"/>
    </row>
    <row r="1299" spans="1:35" x14ac:dyDescent="0.3">
      <c r="A1299" s="20">
        <v>42289</v>
      </c>
      <c r="C1299">
        <f>-(Historical_Simulation!B1300-Historical_Simulation!B1301)</f>
        <v>0.13000000000000256</v>
      </c>
      <c r="E1299">
        <f>-(Historical_Simulation!C1300-Historical_Simulation!C1301)</f>
        <v>-10.389900000000011</v>
      </c>
      <c r="G1299">
        <f>-(Historical_Simulation!D1300-Historical_Simulation!D1301)</f>
        <v>-1.0200000000000102</v>
      </c>
      <c r="J1299" s="23">
        <v>42291</v>
      </c>
      <c r="K1299" s="24">
        <f t="shared" si="80"/>
        <v>2.3772377232346775</v>
      </c>
      <c r="L1299" s="25"/>
      <c r="M1299" s="25"/>
      <c r="N1299" s="27"/>
      <c r="Q1299" s="23">
        <v>42291</v>
      </c>
      <c r="R1299" s="24">
        <f t="shared" si="81"/>
        <v>1.7537553732741324</v>
      </c>
      <c r="S1299" s="25"/>
      <c r="T1299" s="25"/>
      <c r="U1299" s="27"/>
      <c r="X1299" s="47">
        <v>42291</v>
      </c>
      <c r="Y1299" s="48">
        <f t="shared" si="82"/>
        <v>-1.5380570179044026</v>
      </c>
      <c r="Z1299" s="49"/>
      <c r="AA1299" s="49"/>
      <c r="AB1299" s="51"/>
      <c r="AE1299" s="47">
        <v>42291</v>
      </c>
      <c r="AF1299" s="48">
        <f t="shared" si="83"/>
        <v>-0.95259108244327251</v>
      </c>
      <c r="AG1299" s="49"/>
      <c r="AH1299" s="49"/>
      <c r="AI1299" s="51"/>
    </row>
    <row r="1300" spans="1:35" x14ac:dyDescent="0.3">
      <c r="A1300" s="20">
        <v>42286</v>
      </c>
      <c r="C1300">
        <f>-(Historical_Simulation!B1301-Historical_Simulation!B1302)</f>
        <v>-0.65500000000000114</v>
      </c>
      <c r="E1300">
        <f>-(Historical_Simulation!C1301-Historical_Simulation!C1302)</f>
        <v>-6.6400999999999613</v>
      </c>
      <c r="G1300">
        <f>-(Historical_Simulation!D1301-Historical_Simulation!D1302)</f>
        <v>-0.76999999999999602</v>
      </c>
      <c r="J1300" s="23">
        <v>42290</v>
      </c>
      <c r="K1300" s="24">
        <f t="shared" si="80"/>
        <v>0.67396591782581672</v>
      </c>
      <c r="L1300" s="25"/>
      <c r="M1300" s="25"/>
      <c r="N1300" s="27"/>
      <c r="Q1300" s="23">
        <v>42290</v>
      </c>
      <c r="R1300" s="24">
        <f t="shared" si="81"/>
        <v>0.44703992373846185</v>
      </c>
      <c r="S1300" s="25"/>
      <c r="T1300" s="25"/>
      <c r="U1300" s="27"/>
      <c r="X1300" s="47">
        <v>42290</v>
      </c>
      <c r="Y1300" s="48">
        <f t="shared" si="82"/>
        <v>1.0030744662524365</v>
      </c>
      <c r="Z1300" s="49"/>
      <c r="AA1300" s="49"/>
      <c r="AB1300" s="51"/>
      <c r="AE1300" s="47">
        <v>42290</v>
      </c>
      <c r="AF1300" s="48">
        <f t="shared" si="83"/>
        <v>0.68488645784963476</v>
      </c>
      <c r="AG1300" s="49"/>
      <c r="AH1300" s="49"/>
      <c r="AI1300" s="51"/>
    </row>
    <row r="1301" spans="1:35" x14ac:dyDescent="0.3">
      <c r="A1301" s="20">
        <v>42285</v>
      </c>
      <c r="C1301">
        <f>-(Historical_Simulation!B1302-Historical_Simulation!B1303)</f>
        <v>0.32000000000000028</v>
      </c>
      <c r="E1301">
        <f>-(Historical_Simulation!C1302-Historical_Simulation!C1303)</f>
        <v>8.7799999999999727</v>
      </c>
      <c r="G1301">
        <f>-(Historical_Simulation!D1302-Historical_Simulation!D1303)</f>
        <v>-6.9999999999993179E-2</v>
      </c>
      <c r="J1301" s="23">
        <v>42289</v>
      </c>
      <c r="K1301" s="24">
        <f t="shared" si="80"/>
        <v>-5.5445789225689994</v>
      </c>
      <c r="L1301" s="25"/>
      <c r="M1301" s="25"/>
      <c r="N1301" s="27"/>
      <c r="Q1301" s="23">
        <v>42289</v>
      </c>
      <c r="R1301" s="24">
        <f t="shared" si="81"/>
        <v>-3.7597275093356335</v>
      </c>
      <c r="S1301" s="25"/>
      <c r="T1301" s="25"/>
      <c r="U1301" s="27"/>
      <c r="X1301" s="47">
        <v>42289</v>
      </c>
      <c r="Y1301" s="48">
        <f t="shared" si="82"/>
        <v>-6.3135233930149095</v>
      </c>
      <c r="Z1301" s="49"/>
      <c r="AA1301" s="49"/>
      <c r="AB1301" s="51"/>
      <c r="AE1301" s="47">
        <v>42289</v>
      </c>
      <c r="AF1301" s="48">
        <f t="shared" si="83"/>
        <v>-4.3619702748110738</v>
      </c>
      <c r="AG1301" s="49"/>
      <c r="AH1301" s="49"/>
      <c r="AI1301" s="51"/>
    </row>
    <row r="1302" spans="1:35" x14ac:dyDescent="0.3">
      <c r="A1302" s="20">
        <v>42284</v>
      </c>
      <c r="C1302">
        <f>-(Historical_Simulation!B1303-Historical_Simulation!B1304)</f>
        <v>0.13250000000000028</v>
      </c>
      <c r="E1302">
        <f>-(Historical_Simulation!C1303-Historical_Simulation!C1304)</f>
        <v>-4.4598999999999478</v>
      </c>
      <c r="G1302">
        <f>-(Historical_Simulation!D1303-Historical_Simulation!D1304)</f>
        <v>0.39999999999999147</v>
      </c>
      <c r="J1302" s="23">
        <v>42286</v>
      </c>
      <c r="K1302" s="24">
        <f t="shared" si="80"/>
        <v>-3.8834453568444065</v>
      </c>
      <c r="L1302" s="25"/>
      <c r="M1302" s="25"/>
      <c r="N1302" s="27"/>
      <c r="Q1302" s="23">
        <v>42286</v>
      </c>
      <c r="R1302" s="24">
        <f t="shared" si="81"/>
        <v>-2.8679875869660871</v>
      </c>
      <c r="S1302" s="25"/>
      <c r="T1302" s="25"/>
      <c r="U1302" s="27"/>
      <c r="X1302" s="47">
        <v>42286</v>
      </c>
      <c r="Y1302" s="48">
        <f t="shared" si="82"/>
        <v>-1.299352339301457</v>
      </c>
      <c r="Z1302" s="49"/>
      <c r="AA1302" s="49"/>
      <c r="AB1302" s="51"/>
      <c r="AE1302" s="47">
        <v>42286</v>
      </c>
      <c r="AF1302" s="48">
        <f t="shared" si="83"/>
        <v>-1.1041970274810839</v>
      </c>
      <c r="AG1302" s="49"/>
      <c r="AH1302" s="49"/>
      <c r="AI1302" s="51"/>
    </row>
    <row r="1303" spans="1:35" x14ac:dyDescent="0.3">
      <c r="J1303" s="23">
        <v>42285</v>
      </c>
      <c r="K1303" s="24">
        <f t="shared" si="80"/>
        <v>4.8834404970516401</v>
      </c>
      <c r="L1303" s="25"/>
      <c r="M1303" s="25"/>
      <c r="N1303" s="27"/>
      <c r="Q1303" s="23">
        <v>42285</v>
      </c>
      <c r="R1303" s="24">
        <f t="shared" si="81"/>
        <v>3.4480805643570123</v>
      </c>
      <c r="S1303" s="25"/>
      <c r="T1303" s="25"/>
      <c r="U1303" s="27"/>
      <c r="X1303" s="47">
        <v>42285</v>
      </c>
      <c r="Y1303" s="48">
        <f t="shared" si="82"/>
        <v>-1.8651948898049957</v>
      </c>
      <c r="Z1303" s="49"/>
      <c r="AA1303" s="49"/>
      <c r="AB1303" s="51"/>
      <c r="AE1303" s="47">
        <v>42285</v>
      </c>
      <c r="AF1303" s="48">
        <f t="shared" si="83"/>
        <v>-1.2033638323271918</v>
      </c>
      <c r="AG1303" s="49"/>
      <c r="AH1303" s="49"/>
      <c r="AI1303" s="51"/>
    </row>
    <row r="1304" spans="1:35" x14ac:dyDescent="0.3">
      <c r="J1304" s="28">
        <v>42284</v>
      </c>
      <c r="K1304" s="29">
        <f t="shared" si="80"/>
        <v>-2.3447037988959547</v>
      </c>
      <c r="L1304" s="30"/>
      <c r="M1304" s="30"/>
      <c r="N1304" s="31"/>
      <c r="Q1304" s="28">
        <v>42284</v>
      </c>
      <c r="R1304" s="29">
        <f t="shared" si="81"/>
        <v>-1.5655374921693883</v>
      </c>
      <c r="S1304" s="30"/>
      <c r="T1304" s="30"/>
      <c r="U1304" s="31"/>
      <c r="X1304" s="52">
        <v>42284</v>
      </c>
      <c r="Y1304" s="53">
        <f t="shared" si="82"/>
        <v>1.6313195718534028</v>
      </c>
      <c r="Z1304" s="54"/>
      <c r="AA1304" s="54"/>
      <c r="AB1304" s="55"/>
      <c r="AE1304" s="52">
        <v>42284</v>
      </c>
      <c r="AF1304" s="53">
        <f t="shared" si="83"/>
        <v>1.1773713465320959</v>
      </c>
      <c r="AG1304" s="54"/>
      <c r="AH1304" s="54"/>
      <c r="AI1304" s="55"/>
    </row>
  </sheetData>
  <mergeCells count="4">
    <mergeCell ref="J1:N1"/>
    <mergeCell ref="Q1:U1"/>
    <mergeCell ref="X1:AB1"/>
    <mergeCell ref="AE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Historical_Simulation</vt:lpstr>
      <vt:lpstr>Calcolo portafogli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</dc:creator>
  <cp:keywords/>
  <dc:description/>
  <cp:lastModifiedBy>Gabriele Pagliarini</cp:lastModifiedBy>
  <cp:revision/>
  <dcterms:created xsi:type="dcterms:W3CDTF">2020-05-12T13:28:52Z</dcterms:created>
  <dcterms:modified xsi:type="dcterms:W3CDTF">2025-05-31T18:11:26Z</dcterms:modified>
  <cp:category/>
  <cp:contentStatus/>
</cp:coreProperties>
</file>