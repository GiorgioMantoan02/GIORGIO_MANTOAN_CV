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781247_polimi_it/Documents/"/>
    </mc:Choice>
  </mc:AlternateContent>
  <xr:revisionPtr revIDLastSave="754" documentId="13_ncr:1_{9C4C5539-B324-44F1-8EA9-3C6D5A8BC41A}" xr6:coauthVersionLast="47" xr6:coauthVersionMax="47" xr10:uidLastSave="{7533BD73-9410-45B0-BD5D-64732990D30F}"/>
  <bookViews>
    <workbookView minimized="1" xWindow="1500" yWindow="1500" windowWidth="17280" windowHeight="9072" activeTab="3" xr2:uid="{243643BA-9605-481C-BAE0-B16A631D894D}"/>
  </bookViews>
  <sheets>
    <sheet name="lezione" sheetId="1" r:id="rId1"/>
    <sheet name="punto 1-2-3" sheetId="2" r:id="rId2"/>
    <sheet name="punto 4" sheetId="3" r:id="rId3"/>
    <sheet name="punto 5-6" sheetId="4" r:id="rId4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" i="4" l="1"/>
  <c r="K44" i="4"/>
  <c r="J41" i="4"/>
  <c r="M36" i="4"/>
  <c r="K45" i="4" s="1"/>
  <c r="M35" i="4"/>
  <c r="F36" i="4"/>
  <c r="I35" i="4" s="1"/>
  <c r="B41" i="4"/>
  <c r="B40" i="4"/>
  <c r="B37" i="4" s="1"/>
  <c r="B38" i="4" s="1"/>
  <c r="E25" i="4"/>
  <c r="E24" i="4"/>
  <c r="N14" i="4" s="1"/>
  <c r="E15" i="4"/>
  <c r="F15" i="4" s="1"/>
  <c r="E13" i="4"/>
  <c r="E11" i="4"/>
  <c r="F11" i="4" s="1"/>
  <c r="E9" i="4"/>
  <c r="F9" i="4" s="1"/>
  <c r="A16" i="4"/>
  <c r="A17" i="4" s="1"/>
  <c r="A18" i="4" s="1"/>
  <c r="A19" i="4" s="1"/>
  <c r="A20" i="4" s="1"/>
  <c r="A15" i="4"/>
  <c r="A14" i="4"/>
  <c r="A13" i="4"/>
  <c r="A12" i="4"/>
  <c r="A11" i="4"/>
  <c r="A10" i="4"/>
  <c r="A8" i="4"/>
  <c r="A9" i="4"/>
  <c r="F13" i="4"/>
  <c r="J44" i="4" l="1"/>
  <c r="J42" i="4"/>
  <c r="N9" i="4"/>
  <c r="N8" i="4"/>
  <c r="N13" i="4"/>
  <c r="N11" i="4"/>
  <c r="N18" i="4"/>
  <c r="N10" i="4"/>
  <c r="N17" i="4"/>
  <c r="N20" i="4"/>
  <c r="N16" i="4"/>
  <c r="N12" i="4"/>
  <c r="N19" i="4"/>
  <c r="N15" i="4"/>
  <c r="G11" i="4"/>
  <c r="G15" i="4"/>
  <c r="G13" i="4"/>
  <c r="G9" i="4"/>
  <c r="B20" i="4"/>
  <c r="B16" i="4"/>
  <c r="B12" i="4"/>
  <c r="B8" i="4"/>
  <c r="C18" i="4"/>
  <c r="C14" i="4"/>
  <c r="C10" i="4"/>
  <c r="D18" i="4"/>
  <c r="D14" i="4"/>
  <c r="D10" i="4"/>
  <c r="B19" i="4"/>
  <c r="B15" i="4"/>
  <c r="B11" i="4"/>
  <c r="C17" i="4"/>
  <c r="C13" i="4"/>
  <c r="C9" i="4"/>
  <c r="D17" i="4"/>
  <c r="D13" i="4"/>
  <c r="H13" i="4" s="1"/>
  <c r="D9" i="4"/>
  <c r="H9" i="4" s="1"/>
  <c r="B18" i="4"/>
  <c r="B14" i="4"/>
  <c r="B10" i="4"/>
  <c r="C20" i="4"/>
  <c r="C16" i="4"/>
  <c r="C12" i="4"/>
  <c r="C8" i="4"/>
  <c r="D20" i="4"/>
  <c r="D16" i="4"/>
  <c r="D12" i="4"/>
  <c r="D8" i="4"/>
  <c r="B17" i="4"/>
  <c r="B13" i="4"/>
  <c r="B9" i="4"/>
  <c r="C19" i="4"/>
  <c r="C15" i="4"/>
  <c r="C11" i="4"/>
  <c r="D19" i="4"/>
  <c r="D15" i="4"/>
  <c r="H15" i="4" s="1"/>
  <c r="D11" i="4"/>
  <c r="H11" i="4" s="1"/>
  <c r="D64" i="3" l="1"/>
  <c r="D63" i="3"/>
  <c r="D61" i="3"/>
  <c r="D60" i="3"/>
  <c r="D58" i="3"/>
  <c r="D56" i="3"/>
  <c r="D55" i="3"/>
  <c r="D52" i="3"/>
  <c r="D49" i="3"/>
  <c r="J59" i="3"/>
  <c r="J58" i="3"/>
  <c r="J57" i="3"/>
  <c r="J56" i="3"/>
  <c r="C48" i="3"/>
  <c r="K59" i="3"/>
  <c r="K58" i="3"/>
  <c r="K57" i="3"/>
  <c r="K56" i="3"/>
  <c r="K55" i="3"/>
  <c r="K54" i="3"/>
  <c r="K53" i="3"/>
  <c r="C49" i="3"/>
  <c r="C50" i="3"/>
  <c r="C51" i="3"/>
  <c r="C53" i="3"/>
  <c r="C54" i="3"/>
  <c r="C57" i="3"/>
  <c r="C59" i="3"/>
  <c r="C62" i="3"/>
  <c r="J55" i="3"/>
  <c r="J54" i="3"/>
  <c r="A26" i="3"/>
  <c r="A27" i="3"/>
  <c r="K48" i="3"/>
  <c r="K26" i="3"/>
  <c r="K4" i="3"/>
  <c r="E12" i="3"/>
  <c r="Q57" i="3"/>
  <c r="Q35" i="3"/>
  <c r="K15" i="3"/>
  <c r="J15" i="3"/>
  <c r="K14" i="3"/>
  <c r="K13" i="3"/>
  <c r="J14" i="3"/>
  <c r="J13" i="3"/>
  <c r="K12" i="3"/>
  <c r="K11" i="3"/>
  <c r="J12" i="3"/>
  <c r="J11" i="3"/>
  <c r="F3" i="4"/>
  <c r="F4" i="4"/>
  <c r="J53" i="3"/>
  <c r="B40" i="3"/>
  <c r="C40" i="3" s="1"/>
  <c r="K37" i="3" s="1"/>
  <c r="A40" i="3"/>
  <c r="J37" i="3" s="1"/>
  <c r="B37" i="3"/>
  <c r="C37" i="3" s="1"/>
  <c r="K36" i="3" s="1"/>
  <c r="A37" i="3"/>
  <c r="J36" i="3" s="1"/>
  <c r="B35" i="3"/>
  <c r="C35" i="3" s="1"/>
  <c r="A35" i="3"/>
  <c r="B32" i="3"/>
  <c r="C32" i="3" s="1"/>
  <c r="K35" i="3" s="1"/>
  <c r="A32" i="3"/>
  <c r="J35" i="3" s="1"/>
  <c r="B31" i="3"/>
  <c r="C31" i="3" s="1"/>
  <c r="K34" i="3" s="1"/>
  <c r="A31" i="3"/>
  <c r="J34" i="3" s="1"/>
  <c r="B29" i="3"/>
  <c r="C29" i="3" s="1"/>
  <c r="K33" i="3" s="1"/>
  <c r="A29" i="3"/>
  <c r="J33" i="3" s="1"/>
  <c r="B28" i="3"/>
  <c r="C28" i="3" s="1"/>
  <c r="K32" i="3" s="1"/>
  <c r="A28" i="3"/>
  <c r="J32" i="3" s="1"/>
  <c r="B26" i="3"/>
  <c r="J31" i="3"/>
  <c r="K10" i="3"/>
  <c r="J10" i="3"/>
  <c r="K9" i="3"/>
  <c r="J9" i="3"/>
  <c r="Q13" i="3"/>
  <c r="B50" i="2"/>
  <c r="C50" i="2" s="1"/>
  <c r="C49" i="2"/>
  <c r="K45" i="2" s="1"/>
  <c r="B49" i="2"/>
  <c r="J45" i="2"/>
  <c r="C45" i="2"/>
  <c r="K44" i="2" s="1"/>
  <c r="B45" i="2"/>
  <c r="J44" i="2"/>
  <c r="C44" i="2"/>
  <c r="B44" i="2"/>
  <c r="B43" i="2"/>
  <c r="C43" i="2" s="1"/>
  <c r="J42" i="2" s="1"/>
  <c r="C42" i="2"/>
  <c r="B42" i="2"/>
  <c r="B41" i="2"/>
  <c r="C41" i="2" s="1"/>
  <c r="B34" i="2"/>
  <c r="C34" i="2" s="1"/>
  <c r="C33" i="2"/>
  <c r="B33" i="2"/>
  <c r="K29" i="2"/>
  <c r="J29" i="2"/>
  <c r="L31" i="2" s="1"/>
  <c r="L32" i="2" s="1"/>
  <c r="C29" i="2"/>
  <c r="B29" i="2"/>
  <c r="K28" i="2"/>
  <c r="J28" i="2"/>
  <c r="C28" i="2"/>
  <c r="B28" i="2"/>
  <c r="B27" i="2"/>
  <c r="C27" i="2" s="1"/>
  <c r="J26" i="2" s="1"/>
  <c r="B26" i="2"/>
  <c r="C26" i="2" s="1"/>
  <c r="C25" i="2"/>
  <c r="B25" i="2"/>
  <c r="K9" i="2"/>
  <c r="J9" i="2"/>
  <c r="L11" i="2" s="1"/>
  <c r="K8" i="2"/>
  <c r="J8" i="2"/>
  <c r="J6" i="2"/>
  <c r="B30" i="1"/>
  <c r="B28" i="1"/>
  <c r="B27" i="1"/>
  <c r="B26" i="1"/>
  <c r="B25" i="1"/>
  <c r="B24" i="1"/>
  <c r="Q16" i="1"/>
  <c r="I11" i="1"/>
  <c r="I12" i="1" s="1"/>
  <c r="G10" i="1"/>
  <c r="E10" i="1"/>
  <c r="E9" i="1"/>
  <c r="I8" i="1"/>
  <c r="G8" i="1"/>
  <c r="J8" i="1" s="1"/>
  <c r="L11" i="1" s="1"/>
  <c r="F8" i="1"/>
  <c r="E8" i="1"/>
  <c r="F7" i="1"/>
  <c r="G7" i="1" s="1"/>
  <c r="P6" i="1" s="1"/>
  <c r="E7" i="1"/>
  <c r="I6" i="1"/>
  <c r="G6" i="1"/>
  <c r="F6" i="1"/>
  <c r="E6" i="1"/>
  <c r="G5" i="1"/>
  <c r="F5" i="1"/>
  <c r="E5" i="1"/>
  <c r="O4" i="1"/>
  <c r="F4" i="1"/>
  <c r="E4" i="1"/>
  <c r="C26" i="3" l="1"/>
  <c r="K31" i="3" s="1"/>
  <c r="Q28" i="3"/>
  <c r="L48" i="3"/>
  <c r="M48" i="3"/>
  <c r="M50" i="3" s="1"/>
  <c r="C55" i="3" s="1"/>
  <c r="K6" i="3"/>
  <c r="B27" i="3" s="1"/>
  <c r="E8" i="4" s="1"/>
  <c r="F8" i="4" s="1"/>
  <c r="L12" i="1"/>
  <c r="G9" i="1"/>
  <c r="Q9" i="1" s="1"/>
  <c r="L12" i="2"/>
  <c r="G9" i="2"/>
  <c r="S6" i="1"/>
  <c r="S7" i="1" s="1"/>
  <c r="G4" i="1"/>
  <c r="O6" i="1"/>
  <c r="O7" i="1" s="1"/>
  <c r="K11" i="1"/>
  <c r="K12" i="1" s="1"/>
  <c r="J11" i="1"/>
  <c r="J12" i="1" s="1"/>
  <c r="J14" i="1" s="1"/>
  <c r="M17" i="1" s="1"/>
  <c r="J47" i="2"/>
  <c r="K31" i="2"/>
  <c r="J31" i="2"/>
  <c r="L47" i="2"/>
  <c r="L48" i="2" s="1"/>
  <c r="K47" i="2"/>
  <c r="P4" i="1"/>
  <c r="Q4" i="1" s="1"/>
  <c r="R4" i="1" s="1"/>
  <c r="S4" i="1" s="1"/>
  <c r="T4" i="1" s="1"/>
  <c r="U4" i="1" s="1"/>
  <c r="K11" i="2"/>
  <c r="J11" i="2"/>
  <c r="G8" i="4" l="1"/>
  <c r="H8" i="4"/>
  <c r="K50" i="3"/>
  <c r="K51" i="3" s="1"/>
  <c r="L26" i="3"/>
  <c r="K28" i="3"/>
  <c r="M51" i="3"/>
  <c r="N48" i="3"/>
  <c r="N50" i="3" s="1"/>
  <c r="C56" i="3" s="1"/>
  <c r="L4" i="3"/>
  <c r="K12" i="2"/>
  <c r="B47" i="2"/>
  <c r="B31" i="2"/>
  <c r="P7" i="1"/>
  <c r="Q15" i="1" s="1"/>
  <c r="T18" i="1" s="1"/>
  <c r="Q12" i="1"/>
  <c r="Q13" i="1" s="1"/>
  <c r="P12" i="1"/>
  <c r="P13" i="1" s="1"/>
  <c r="J32" i="2"/>
  <c r="C30" i="2"/>
  <c r="C31" i="2"/>
  <c r="K32" i="2"/>
  <c r="R6" i="1"/>
  <c r="R7" i="1" s="1"/>
  <c r="Q6" i="1"/>
  <c r="Q7" i="1" s="1"/>
  <c r="B46" i="2"/>
  <c r="B30" i="2"/>
  <c r="J12" i="2"/>
  <c r="K14" i="2" s="1"/>
  <c r="K15" i="2" s="1"/>
  <c r="C9" i="2" s="1"/>
  <c r="C47" i="2"/>
  <c r="K48" i="2"/>
  <c r="J48" i="2"/>
  <c r="K50" i="2" s="1"/>
  <c r="K51" i="2" s="1"/>
  <c r="C18" i="2" s="1"/>
  <c r="C46" i="2"/>
  <c r="E3" i="4"/>
  <c r="B48" i="2"/>
  <c r="C48" i="2" s="1"/>
  <c r="B32" i="2"/>
  <c r="C32" i="2" s="1"/>
  <c r="A30" i="3" l="1"/>
  <c r="M26" i="3"/>
  <c r="A33" i="3" s="1"/>
  <c r="L28" i="3"/>
  <c r="K29" i="3"/>
  <c r="C27" i="3"/>
  <c r="N51" i="3"/>
  <c r="O48" i="3"/>
  <c r="O50" i="3" s="1"/>
  <c r="C58" i="3" s="1"/>
  <c r="K7" i="3"/>
  <c r="L6" i="3"/>
  <c r="M4" i="3"/>
  <c r="K34" i="2"/>
  <c r="K35" i="2" s="1"/>
  <c r="C17" i="2" s="1"/>
  <c r="D17" i="2" s="1"/>
  <c r="C16" i="2"/>
  <c r="D18" i="2" s="1"/>
  <c r="C3" i="4"/>
  <c r="D24" i="4" s="1"/>
  <c r="K8" i="4" l="1"/>
  <c r="K9" i="4"/>
  <c r="K13" i="4"/>
  <c r="K11" i="4"/>
  <c r="K15" i="4"/>
  <c r="L7" i="3"/>
  <c r="B30" i="3"/>
  <c r="E10" i="4" s="1"/>
  <c r="F10" i="4" s="1"/>
  <c r="L29" i="3"/>
  <c r="C30" i="3"/>
  <c r="M28" i="3"/>
  <c r="N26" i="3"/>
  <c r="A34" i="3" s="1"/>
  <c r="O51" i="3"/>
  <c r="P48" i="3"/>
  <c r="P50" i="3" s="1"/>
  <c r="C60" i="3" s="1"/>
  <c r="D27" i="3"/>
  <c r="M6" i="3"/>
  <c r="N4" i="3"/>
  <c r="G10" i="4" l="1"/>
  <c r="H10" i="4"/>
  <c r="M7" i="3"/>
  <c r="B33" i="3"/>
  <c r="E12" i="4" s="1"/>
  <c r="F12" i="4" s="1"/>
  <c r="D30" i="3"/>
  <c r="M29" i="3"/>
  <c r="C33" i="3"/>
  <c r="N28" i="3"/>
  <c r="O26" i="3"/>
  <c r="A36" i="3" s="1"/>
  <c r="P51" i="3"/>
  <c r="Q48" i="3"/>
  <c r="Q50" i="3" s="1"/>
  <c r="C61" i="3" s="1"/>
  <c r="O4" i="3"/>
  <c r="N6" i="3"/>
  <c r="G12" i="4" l="1"/>
  <c r="H12" i="4"/>
  <c r="K10" i="4"/>
  <c r="D33" i="3"/>
  <c r="N7" i="3"/>
  <c r="B34" i="3"/>
  <c r="E14" i="4" s="1"/>
  <c r="F14" i="4" s="1"/>
  <c r="N29" i="3"/>
  <c r="C34" i="3"/>
  <c r="O28" i="3"/>
  <c r="P26" i="3"/>
  <c r="A38" i="3" s="1"/>
  <c r="Q51" i="3"/>
  <c r="R48" i="3"/>
  <c r="R50" i="3" s="1"/>
  <c r="C63" i="3" s="1"/>
  <c r="P4" i="3"/>
  <c r="O6" i="3"/>
  <c r="K12" i="4" l="1"/>
  <c r="G14" i="4"/>
  <c r="H14" i="4"/>
  <c r="O7" i="3"/>
  <c r="B36" i="3"/>
  <c r="E16" i="4" s="1"/>
  <c r="F16" i="4" s="1"/>
  <c r="D34" i="3"/>
  <c r="O29" i="3"/>
  <c r="C36" i="3"/>
  <c r="P28" i="3"/>
  <c r="Q26" i="3"/>
  <c r="A39" i="3" s="1"/>
  <c r="R51" i="3"/>
  <c r="S48" i="3"/>
  <c r="Q4" i="3"/>
  <c r="P6" i="3"/>
  <c r="K14" i="4" l="1"/>
  <c r="G16" i="4"/>
  <c r="H16" i="4"/>
  <c r="D36" i="3"/>
  <c r="P7" i="3"/>
  <c r="B38" i="3"/>
  <c r="E17" i="4" s="1"/>
  <c r="F17" i="4" s="1"/>
  <c r="P29" i="3"/>
  <c r="C38" i="3"/>
  <c r="S50" i="3"/>
  <c r="R26" i="3"/>
  <c r="A41" i="3" s="1"/>
  <c r="R4" i="3"/>
  <c r="Q6" i="3"/>
  <c r="G17" i="4" l="1"/>
  <c r="H17" i="4"/>
  <c r="K16" i="4"/>
  <c r="Q7" i="3"/>
  <c r="B39" i="3"/>
  <c r="E18" i="4" s="1"/>
  <c r="F18" i="4" s="1"/>
  <c r="D38" i="3"/>
  <c r="S51" i="3"/>
  <c r="C64" i="3"/>
  <c r="Q29" i="3"/>
  <c r="C39" i="3"/>
  <c r="R28" i="3"/>
  <c r="S26" i="3"/>
  <c r="A42" i="3" s="1"/>
  <c r="R6" i="3"/>
  <c r="S4" i="3"/>
  <c r="G18" i="4" l="1"/>
  <c r="H18" i="4"/>
  <c r="K17" i="4"/>
  <c r="D39" i="3"/>
  <c r="R7" i="3"/>
  <c r="B41" i="3"/>
  <c r="E19" i="4" s="1"/>
  <c r="F19" i="4" s="1"/>
  <c r="R29" i="3"/>
  <c r="C41" i="3"/>
  <c r="D41" i="3" s="1"/>
  <c r="S28" i="3"/>
  <c r="C42" i="3" s="1"/>
  <c r="S6" i="3"/>
  <c r="G12" i="3" s="1"/>
  <c r="E4" i="4" s="1"/>
  <c r="G19" i="4" l="1"/>
  <c r="H19" i="4"/>
  <c r="K18" i="4"/>
  <c r="S7" i="3"/>
  <c r="Q11" i="3" s="1"/>
  <c r="Q12" i="3" s="1"/>
  <c r="B42" i="3"/>
  <c r="E20" i="4" s="1"/>
  <c r="F20" i="4" s="1"/>
  <c r="D42" i="3"/>
  <c r="G20" i="4" l="1"/>
  <c r="H20" i="4"/>
  <c r="K19" i="4"/>
  <c r="C12" i="3"/>
  <c r="C17" i="3" s="1"/>
  <c r="C4" i="4" s="1"/>
  <c r="D25" i="4" s="1"/>
  <c r="M19" i="4" s="1"/>
  <c r="G25" i="4" l="1" a="1"/>
  <c r="G25" i="4" s="1"/>
  <c r="G24" i="4" a="1"/>
  <c r="G24" i="4" s="1"/>
  <c r="F37" i="4"/>
  <c r="M11" i="4"/>
  <c r="M9" i="4"/>
  <c r="M13" i="4"/>
  <c r="M15" i="4"/>
  <c r="M8" i="4"/>
  <c r="M10" i="4"/>
  <c r="M12" i="4"/>
  <c r="M14" i="4"/>
  <c r="M16" i="4"/>
  <c r="M17" i="4"/>
  <c r="M18" i="4"/>
  <c r="M20" i="4"/>
  <c r="K20" i="4"/>
  <c r="F24" i="4" s="1" a="1"/>
  <c r="F24" i="4" s="1"/>
  <c r="M24" i="4" l="1"/>
  <c r="F25" i="4" a="1"/>
  <c r="F25" i="4" s="1"/>
  <c r="G37" i="4" s="1"/>
  <c r="K36" i="4" s="1"/>
  <c r="G36" i="4"/>
  <c r="I36" i="4" s="1"/>
  <c r="K35" i="4"/>
  <c r="K39" i="4" l="1"/>
  <c r="K42" i="4"/>
  <c r="K41" i="4"/>
  <c r="K38" i="4"/>
  <c r="M23" i="4"/>
  <c r="J45" i="4"/>
  <c r="M44" i="4" s="1"/>
  <c r="J39" i="4"/>
  <c r="S29" i="3"/>
  <c r="Q33" i="3" s="1"/>
  <c r="M41" i="4" l="1"/>
  <c r="M38" i="4"/>
  <c r="G40" i="4" s="1"/>
  <c r="Q34" i="3"/>
  <c r="G41" i="4" l="1"/>
  <c r="G43" i="4" s="1"/>
  <c r="G44" i="4"/>
  <c r="C18" i="3"/>
  <c r="D18" i="3" s="1"/>
  <c r="L50" i="3"/>
  <c r="C52" i="3" s="1"/>
  <c r="L51" i="3" l="1"/>
  <c r="Q55" i="3" s="1"/>
  <c r="Q56" i="3" s="1"/>
  <c r="C19" i="3" s="1"/>
  <c r="D1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<sst xmlns="http://schemas.openxmlformats.org/spreadsheetml/2006/main" count="239" uniqueCount="90">
  <si>
    <t>Today</t>
  </si>
  <si>
    <t>ZCB</t>
  </si>
  <si>
    <t>Coupon bond with maturity 1 ott 27</t>
  </si>
  <si>
    <t>Coupon bond with maturity 1 lug 28</t>
  </si>
  <si>
    <t>Coupon</t>
  </si>
  <si>
    <t>Maturity</t>
  </si>
  <si>
    <t>Price</t>
  </si>
  <si>
    <t>Time to maturity (T)</t>
  </si>
  <si>
    <t>p(0,T)</t>
  </si>
  <si>
    <t>i(0,T)</t>
  </si>
  <si>
    <t>Dates</t>
  </si>
  <si>
    <t>no</t>
  </si>
  <si>
    <t>Time to mat</t>
  </si>
  <si>
    <t>Time to mat (T)</t>
  </si>
  <si>
    <t>Payments</t>
  </si>
  <si>
    <t>Disc Val</t>
  </si>
  <si>
    <t>Interpolation</t>
  </si>
  <si>
    <t>unknown</t>
  </si>
  <si>
    <t>Interpol</t>
  </si>
  <si>
    <t>DiscVal</t>
  </si>
  <si>
    <t>i(0,0.92)</t>
  </si>
  <si>
    <t>i(0,2.5)</t>
  </si>
  <si>
    <t>T</t>
  </si>
  <si>
    <t>i(0,3.25)</t>
  </si>
  <si>
    <t>Discounted price</t>
  </si>
  <si>
    <t>Market Price</t>
  </si>
  <si>
    <t>Discounted Price</t>
  </si>
  <si>
    <t>Looking for J9 such that  J14=J15</t>
  </si>
  <si>
    <t>Difference</t>
  </si>
  <si>
    <t>Accrual</t>
  </si>
  <si>
    <t>Coupon bond with maturity 1 apr 27</t>
  </si>
  <si>
    <t>curva dei tassi</t>
  </si>
  <si>
    <t>market price</t>
  </si>
  <si>
    <t>variazione</t>
  </si>
  <si>
    <t>i(0,t)</t>
  </si>
  <si>
    <t>-</t>
  </si>
  <si>
    <t>i(0,t) + 0,02%</t>
  </si>
  <si>
    <t>i(0,t) - 0,02%</t>
  </si>
  <si>
    <t>aumento della curva dei tassi</t>
  </si>
  <si>
    <t>t</t>
  </si>
  <si>
    <t>i(0,t) + 0.02%</t>
  </si>
  <si>
    <t>diminuzione del market price</t>
  </si>
  <si>
    <t>diminuzione della curva dei tassi</t>
  </si>
  <si>
    <t>i(0,t) - 0.02%</t>
  </si>
  <si>
    <t>aumento del market price</t>
  </si>
  <si>
    <t>Rateo</t>
  </si>
  <si>
    <t>i(0,0.08)</t>
  </si>
  <si>
    <t>i(0,0.42)</t>
  </si>
  <si>
    <t>interpol</t>
  </si>
  <si>
    <t>PORTAFOGLIO</t>
  </si>
  <si>
    <t>cedola</t>
  </si>
  <si>
    <t>date</t>
  </si>
  <si>
    <t>price</t>
  </si>
  <si>
    <t>quota parte</t>
  </si>
  <si>
    <t>Coupon bond with maturity 1 giu 29</t>
  </si>
  <si>
    <t>i(0,0.50)</t>
  </si>
  <si>
    <t>i(0,0.75)</t>
  </si>
  <si>
    <t>i(0,2.50)</t>
  </si>
  <si>
    <t>t^2</t>
  </si>
  <si>
    <t>t+1</t>
  </si>
  <si>
    <t>t+2</t>
  </si>
  <si>
    <t>1+i(0,t)</t>
  </si>
  <si>
    <t>(1+i(0,t))^(-(t+2))</t>
  </si>
  <si>
    <t>x1(0,t)</t>
  </si>
  <si>
    <t>m1</t>
  </si>
  <si>
    <t>x2(0,t)</t>
  </si>
  <si>
    <t>m2</t>
  </si>
  <si>
    <t>x_tot (0,t)</t>
  </si>
  <si>
    <t>(1+i(0,t))^(-t)</t>
  </si>
  <si>
    <t>=</t>
  </si>
  <si>
    <t>k</t>
  </si>
  <si>
    <t>p(0,x_k)</t>
  </si>
  <si>
    <t>alpha_k</t>
  </si>
  <si>
    <t>DU(0,x_k)</t>
  </si>
  <si>
    <t>C(0,x_k)</t>
  </si>
  <si>
    <t>DURATION</t>
  </si>
  <si>
    <t>CONVEXITY</t>
  </si>
  <si>
    <t>IMMUNIZZAZIONE</t>
  </si>
  <si>
    <t>i(0,3)</t>
  </si>
  <si>
    <t>L</t>
  </si>
  <si>
    <t>DU(0,L)</t>
  </si>
  <si>
    <t>p(0,L)</t>
  </si>
  <si>
    <t xml:space="preserve">w1 + </t>
  </si>
  <si>
    <t>w2 =</t>
  </si>
  <si>
    <t>D =</t>
  </si>
  <si>
    <t>D1 =</t>
  </si>
  <si>
    <t>D2 =</t>
  </si>
  <si>
    <t>w_k</t>
  </si>
  <si>
    <t>equilibrio flussi</t>
  </si>
  <si>
    <t>duration matching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</si>
</sst>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0.000000"/>
    <numFmt numFmtId="165" formatCode="0.0000%"/>
    <numFmt numFmtId="166" formatCode="0.000"/>
    <numFmt numFmtId="167" formatCode="0.0000"/>
    <numFmt numFmtId="168" formatCode="0.00000"/>
    <numFmt numFmtId="169" formatCode="[$-410]dd\-mmm\-yy;@"/>
    <numFmt numFmtId="170" formatCode="0.0%"/>
    <numFmt numFmtId="171" formatCode="_-* #,##0.0000_-;\-* #,##0.0000_-;_-* &quot;-&quot;??_-;_-@_-"/>
    <numFmt numFmtId="172" formatCode="0.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name val="Aptos Narrow"/>
      <family val="2"/>
      <scheme val="minor"/>
    </font>
    <font>
      <i/>
      <sz val="10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B0F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2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189F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97">
    <xf numFmtId="0" fontId="0" fillId="0" borderId="0" xfId="0"/>
    <xf numFmtId="0" fontId="4" fillId="0" borderId="1" xfId="0" applyFont="1" applyBorder="1"/>
    <xf numFmtId="15" fontId="4" fillId="2" borderId="2" xfId="0" applyNumberFormat="1" applyFont="1" applyFill="1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3" borderId="8" xfId="0" applyFill="1" applyBorder="1"/>
    <xf numFmtId="0" fontId="0" fillId="3" borderId="0" xfId="0" applyFill="1"/>
    <xf numFmtId="0" fontId="0" fillId="4" borderId="6" xfId="0" applyFill="1" applyBorder="1"/>
    <xf numFmtId="0" fontId="0" fillId="4" borderId="0" xfId="0" applyFill="1"/>
    <xf numFmtId="0" fontId="0" fillId="4" borderId="7" xfId="0" applyFill="1" applyBorder="1"/>
    <xf numFmtId="0" fontId="0" fillId="2" borderId="6" xfId="0" applyFill="1" applyBorder="1"/>
    <xf numFmtId="0" fontId="0" fillId="2" borderId="0" xfId="0" applyFill="1"/>
    <xf numFmtId="0" fontId="0" fillId="2" borderId="7" xfId="0" applyFill="1" applyBorder="1"/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2" fontId="3" fillId="3" borderId="8" xfId="0" applyNumberFormat="1" applyFont="1" applyFill="1" applyBorder="1" applyAlignment="1">
      <alignment horizontal="center" wrapText="1"/>
    </xf>
    <xf numFmtId="2" fontId="3" fillId="3" borderId="0" xfId="0" applyNumberFormat="1" applyFont="1" applyFill="1" applyAlignment="1">
      <alignment horizontal="center" wrapText="1"/>
    </xf>
    <xf numFmtId="2" fontId="3" fillId="4" borderId="6" xfId="0" applyNumberFormat="1" applyFont="1" applyFill="1" applyBorder="1" applyAlignment="1">
      <alignment horizontal="center" wrapText="1"/>
    </xf>
    <xf numFmtId="15" fontId="0" fillId="4" borderId="0" xfId="0" applyNumberFormat="1" applyFill="1"/>
    <xf numFmtId="2" fontId="3" fillId="2" borderId="6" xfId="0" applyNumberFormat="1" applyFont="1" applyFill="1" applyBorder="1" applyAlignment="1">
      <alignment horizontal="center" wrapText="1"/>
    </xf>
    <xf numFmtId="15" fontId="0" fillId="2" borderId="0" xfId="0" applyNumberFormat="1" applyFill="1"/>
    <xf numFmtId="15" fontId="0" fillId="2" borderId="7" xfId="0" applyNumberFormat="1" applyFill="1" applyBorder="1"/>
    <xf numFmtId="0" fontId="4" fillId="3" borderId="6" xfId="0" applyFont="1" applyFill="1" applyBorder="1" applyAlignment="1">
      <alignment horizontal="center"/>
    </xf>
    <xf numFmtId="15" fontId="4" fillId="3" borderId="0" xfId="0" applyNumberFormat="1" applyFont="1" applyFill="1" applyAlignment="1">
      <alignment horizontal="center"/>
    </xf>
    <xf numFmtId="0" fontId="4" fillId="3" borderId="7" xfId="0" applyFont="1" applyFill="1" applyBorder="1"/>
    <xf numFmtId="0" fontId="4" fillId="0" borderId="0" xfId="0" applyFont="1" applyAlignment="1">
      <alignment horizontal="right"/>
    </xf>
    <xf numFmtId="2" fontId="0" fillId="3" borderId="8" xfId="0" applyNumberFormat="1" applyFill="1" applyBorder="1" applyAlignment="1">
      <alignment horizontal="center"/>
    </xf>
    <xf numFmtId="164" fontId="0" fillId="3" borderId="0" xfId="0" applyNumberFormat="1" applyFill="1"/>
    <xf numFmtId="165" fontId="0" fillId="5" borderId="0" xfId="0" applyNumberFormat="1" applyFill="1"/>
    <xf numFmtId="0" fontId="0" fillId="5" borderId="0" xfId="0" applyFill="1"/>
    <xf numFmtId="0" fontId="2" fillId="4" borderId="7" xfId="0" applyFont="1" applyFill="1" applyBorder="1"/>
    <xf numFmtId="0" fontId="0" fillId="2" borderId="0" xfId="0" applyFill="1" applyAlignment="1">
      <alignment horizontal="right"/>
    </xf>
    <xf numFmtId="0" fontId="2" fillId="2" borderId="7" xfId="0" applyFont="1" applyFill="1" applyBorder="1"/>
    <xf numFmtId="0" fontId="0" fillId="4" borderId="0" xfId="0" applyFill="1" applyAlignment="1">
      <alignment horizontal="right"/>
    </xf>
    <xf numFmtId="164" fontId="0" fillId="5" borderId="0" xfId="0" applyNumberFormat="1" applyFill="1"/>
    <xf numFmtId="2" fontId="0" fillId="3" borderId="9" xfId="0" applyNumberFormat="1" applyFill="1" applyBorder="1" applyAlignment="1">
      <alignment horizontal="center"/>
    </xf>
    <xf numFmtId="164" fontId="0" fillId="3" borderId="10" xfId="0" applyNumberFormat="1" applyFill="1" applyBorder="1"/>
    <xf numFmtId="165" fontId="0" fillId="5" borderId="11" xfId="0" applyNumberFormat="1" applyFill="1" applyBorder="1"/>
    <xf numFmtId="0" fontId="0" fillId="4" borderId="6" xfId="0" applyFill="1" applyBorder="1" applyAlignment="1">
      <alignment horizontal="right"/>
    </xf>
    <xf numFmtId="2" fontId="2" fillId="4" borderId="1" xfId="0" applyNumberFormat="1" applyFont="1" applyFill="1" applyBorder="1"/>
    <xf numFmtId="165" fontId="2" fillId="4" borderId="2" xfId="0" applyNumberFormat="1" applyFont="1" applyFill="1" applyBorder="1"/>
    <xf numFmtId="0" fontId="2" fillId="4" borderId="2" xfId="0" applyFont="1" applyFill="1" applyBorder="1"/>
    <xf numFmtId="0" fontId="2" fillId="4" borderId="3" xfId="0" applyFont="1" applyFill="1" applyBorder="1"/>
    <xf numFmtId="10" fontId="4" fillId="4" borderId="6" xfId="0" applyNumberFormat="1" applyFont="1" applyFill="1" applyBorder="1" applyAlignment="1">
      <alignment horizontal="center"/>
    </xf>
    <xf numFmtId="15" fontId="4" fillId="4" borderId="0" xfId="0" applyNumberFormat="1" applyFont="1" applyFill="1" applyAlignment="1">
      <alignment horizontal="center"/>
    </xf>
    <xf numFmtId="0" fontId="4" fillId="4" borderId="7" xfId="0" applyFont="1" applyFill="1" applyBorder="1"/>
    <xf numFmtId="0" fontId="0" fillId="3" borderId="0" xfId="0" applyFill="1" applyAlignment="1">
      <alignment horizontal="center"/>
    </xf>
    <xf numFmtId="165" fontId="0" fillId="4" borderId="0" xfId="0" applyNumberFormat="1" applyFill="1"/>
    <xf numFmtId="0" fontId="2" fillId="4" borderId="6" xfId="0" applyFont="1" applyFill="1" applyBorder="1"/>
    <xf numFmtId="165" fontId="2" fillId="4" borderId="0" xfId="0" applyNumberFormat="1" applyFont="1" applyFill="1"/>
    <xf numFmtId="0" fontId="6" fillId="4" borderId="0" xfId="0" applyFont="1" applyFill="1"/>
    <xf numFmtId="2" fontId="3" fillId="2" borderId="1" xfId="0" applyNumberFormat="1" applyFont="1" applyFill="1" applyBorder="1" applyAlignment="1">
      <alignment horizontal="center" wrapText="1"/>
    </xf>
    <xf numFmtId="2" fontId="3" fillId="2" borderId="2" xfId="0" applyNumberFormat="1" applyFont="1" applyFill="1" applyBorder="1" applyAlignment="1">
      <alignment horizontal="center" wrapText="1"/>
    </xf>
    <xf numFmtId="165" fontId="0" fillId="2" borderId="2" xfId="0" applyNumberFormat="1" applyFill="1" applyBorder="1"/>
    <xf numFmtId="10" fontId="0" fillId="2" borderId="2" xfId="0" applyNumberFormat="1" applyFill="1" applyBorder="1"/>
    <xf numFmtId="0" fontId="0" fillId="2" borderId="3" xfId="0" applyFill="1" applyBorder="1"/>
    <xf numFmtId="10" fontId="4" fillId="2" borderId="6" xfId="0" applyNumberFormat="1" applyFont="1" applyFill="1" applyBorder="1" applyAlignment="1">
      <alignment horizontal="center"/>
    </xf>
    <xf numFmtId="15" fontId="4" fillId="2" borderId="0" xfId="0" applyNumberFormat="1" applyFont="1" applyFill="1" applyAlignment="1">
      <alignment horizontal="center"/>
    </xf>
    <xf numFmtId="0" fontId="4" fillId="2" borderId="7" xfId="0" applyFont="1" applyFill="1" applyBorder="1"/>
    <xf numFmtId="0" fontId="4" fillId="0" borderId="0" xfId="0" applyFont="1"/>
    <xf numFmtId="165" fontId="0" fillId="2" borderId="0" xfId="0" applyNumberFormat="1" applyFill="1"/>
    <xf numFmtId="2" fontId="3" fillId="4" borderId="1" xfId="0" applyNumberFormat="1" applyFont="1" applyFill="1" applyBorder="1" applyAlignment="1">
      <alignment horizontal="center" wrapText="1"/>
    </xf>
    <xf numFmtId="0" fontId="0" fillId="4" borderId="2" xfId="0" applyFill="1" applyBorder="1"/>
    <xf numFmtId="0" fontId="0" fillId="4" borderId="3" xfId="0" applyFill="1" applyBorder="1"/>
    <xf numFmtId="2" fontId="3" fillId="2" borderId="12" xfId="0" applyNumberFormat="1" applyFont="1" applyFill="1" applyBorder="1" applyAlignment="1">
      <alignment horizontal="center" wrapText="1"/>
    </xf>
    <xf numFmtId="2" fontId="3" fillId="2" borderId="13" xfId="0" applyNumberFormat="1" applyFont="1" applyFill="1" applyBorder="1" applyAlignment="1">
      <alignment horizontal="center" wrapText="1"/>
    </xf>
    <xf numFmtId="165" fontId="0" fillId="2" borderId="13" xfId="1" applyNumberFormat="1" applyFont="1" applyFill="1" applyBorder="1"/>
    <xf numFmtId="10" fontId="0" fillId="2" borderId="13" xfId="0" applyNumberFormat="1" applyFill="1" applyBorder="1"/>
    <xf numFmtId="0" fontId="6" fillId="2" borderId="14" xfId="0" applyFont="1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2" fontId="3" fillId="4" borderId="12" xfId="0" applyNumberFormat="1" applyFont="1" applyFill="1" applyBorder="1" applyAlignment="1">
      <alignment horizontal="center" wrapText="1"/>
    </xf>
    <xf numFmtId="165" fontId="0" fillId="5" borderId="13" xfId="0" applyNumberFormat="1" applyFill="1" applyBorder="1"/>
    <xf numFmtId="0" fontId="0" fillId="4" borderId="14" xfId="0" applyFill="1" applyBorder="1"/>
    <xf numFmtId="0" fontId="3" fillId="2" borderId="1" xfId="0" applyFont="1" applyFill="1" applyBorder="1"/>
    <xf numFmtId="0" fontId="0" fillId="2" borderId="2" xfId="0" applyFill="1" applyBorder="1"/>
    <xf numFmtId="2" fontId="3" fillId="4" borderId="15" xfId="0" applyNumberFormat="1" applyFont="1" applyFill="1" applyBorder="1" applyAlignment="1">
      <alignment horizontal="center" wrapText="1"/>
    </xf>
    <xf numFmtId="2" fontId="0" fillId="5" borderId="16" xfId="0" applyNumberFormat="1" applyFill="1" applyBorder="1"/>
    <xf numFmtId="0" fontId="0" fillId="4" borderId="17" xfId="0" applyFill="1" applyBorder="1"/>
    <xf numFmtId="0" fontId="3" fillId="2" borderId="6" xfId="0" applyFont="1" applyFill="1" applyBorder="1"/>
    <xf numFmtId="165" fontId="0" fillId="5" borderId="7" xfId="0" applyNumberFormat="1" applyFill="1" applyBorder="1"/>
    <xf numFmtId="0" fontId="3" fillId="2" borderId="12" xfId="0" applyFont="1" applyFill="1" applyBorder="1"/>
    <xf numFmtId="166" fontId="0" fillId="5" borderId="13" xfId="0" applyNumberFormat="1" applyFill="1" applyBorder="1"/>
    <xf numFmtId="0" fontId="0" fillId="5" borderId="14" xfId="0" applyFill="1" applyBorder="1"/>
    <xf numFmtId="2" fontId="0" fillId="5" borderId="0" xfId="0" applyNumberFormat="1" applyFill="1"/>
    <xf numFmtId="2" fontId="0" fillId="4" borderId="0" xfId="0" applyNumberFormat="1" applyFill="1"/>
    <xf numFmtId="166" fontId="0" fillId="5" borderId="0" xfId="0" applyNumberFormat="1" applyFill="1"/>
    <xf numFmtId="2" fontId="0" fillId="5" borderId="7" xfId="0" applyNumberFormat="1" applyFill="1" applyBorder="1"/>
    <xf numFmtId="0" fontId="0" fillId="4" borderId="12" xfId="0" applyFill="1" applyBorder="1"/>
    <xf numFmtId="0" fontId="0" fillId="4" borderId="13" xfId="0" applyFill="1" applyBorder="1"/>
    <xf numFmtId="2" fontId="0" fillId="4" borderId="14" xfId="0" applyNumberFormat="1" applyFill="1" applyBorder="1"/>
    <xf numFmtId="0" fontId="0" fillId="2" borderId="12" xfId="0" applyFill="1" applyBorder="1"/>
    <xf numFmtId="0" fontId="0" fillId="2" borderId="13" xfId="0" applyFill="1" applyBorder="1"/>
    <xf numFmtId="2" fontId="0" fillId="5" borderId="13" xfId="0" applyNumberFormat="1" applyFill="1" applyBorder="1"/>
    <xf numFmtId="0" fontId="0" fillId="2" borderId="14" xfId="0" applyFill="1" applyBorder="1"/>
    <xf numFmtId="165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1" applyNumberFormat="1" applyFont="1"/>
    <xf numFmtId="0" fontId="3" fillId="0" borderId="0" xfId="0" applyFont="1"/>
    <xf numFmtId="15" fontId="3" fillId="0" borderId="0" xfId="0" applyNumberFormat="1" applyFont="1"/>
    <xf numFmtId="15" fontId="0" fillId="0" borderId="0" xfId="0" applyNumberFormat="1"/>
    <xf numFmtId="168" fontId="0" fillId="0" borderId="0" xfId="0" applyNumberFormat="1"/>
    <xf numFmtId="10" fontId="0" fillId="4" borderId="0" xfId="1" applyNumberFormat="1" applyFont="1" applyFill="1"/>
    <xf numFmtId="165" fontId="0" fillId="4" borderId="0" xfId="1" applyNumberFormat="1" applyFont="1" applyFill="1"/>
    <xf numFmtId="10" fontId="0" fillId="2" borderId="0" xfId="1" applyNumberFormat="1" applyFont="1" applyFill="1"/>
    <xf numFmtId="165" fontId="0" fillId="2" borderId="0" xfId="1" applyNumberFormat="1" applyFont="1" applyFill="1"/>
    <xf numFmtId="0" fontId="0" fillId="0" borderId="22" xfId="0" applyBorder="1"/>
    <xf numFmtId="0" fontId="0" fillId="0" borderId="1" xfId="0" applyBorder="1"/>
    <xf numFmtId="167" fontId="0" fillId="0" borderId="25" xfId="0" applyNumberFormat="1" applyBorder="1" applyAlignment="1">
      <alignment horizontal="center"/>
    </xf>
    <xf numFmtId="0" fontId="3" fillId="0" borderId="0" xfId="0" applyFont="1" applyAlignment="1">
      <alignment horizontal="center"/>
    </xf>
    <xf numFmtId="2" fontId="0" fillId="0" borderId="0" xfId="0" applyNumberFormat="1"/>
    <xf numFmtId="2" fontId="7" fillId="0" borderId="0" xfId="0" applyNumberFormat="1" applyFont="1" applyAlignment="1">
      <alignment horizontal="right"/>
    </xf>
    <xf numFmtId="165" fontId="7" fillId="0" borderId="0" xfId="0" applyNumberFormat="1" applyFont="1"/>
    <xf numFmtId="167" fontId="3" fillId="0" borderId="0" xfId="0" applyNumberFormat="1" applyFont="1"/>
    <xf numFmtId="0" fontId="0" fillId="0" borderId="2" xfId="0" applyBorder="1"/>
    <xf numFmtId="0" fontId="0" fillId="0" borderId="16" xfId="0" applyBorder="1"/>
    <xf numFmtId="0" fontId="3" fillId="0" borderId="0" xfId="0" applyFont="1" applyAlignment="1">
      <alignment vertical="center"/>
    </xf>
    <xf numFmtId="167" fontId="0" fillId="0" borderId="0" xfId="0" applyNumberFormat="1"/>
    <xf numFmtId="167" fontId="3" fillId="6" borderId="23" xfId="0" applyNumberFormat="1" applyFont="1" applyFill="1" applyBorder="1"/>
    <xf numFmtId="0" fontId="3" fillId="0" borderId="0" xfId="0" applyFont="1" applyAlignment="1">
      <alignment horizontal="center" vertical="center"/>
    </xf>
    <xf numFmtId="0" fontId="0" fillId="0" borderId="8" xfId="0" applyBorder="1"/>
    <xf numFmtId="0" fontId="0" fillId="0" borderId="19" xfId="0" applyBorder="1"/>
    <xf numFmtId="0" fontId="3" fillId="0" borderId="8" xfId="0" applyFont="1" applyBorder="1" applyAlignment="1">
      <alignment horizontal="center"/>
    </xf>
    <xf numFmtId="168" fontId="0" fillId="0" borderId="19" xfId="0" applyNumberFormat="1" applyBorder="1"/>
    <xf numFmtId="167" fontId="9" fillId="0" borderId="0" xfId="0" applyNumberFormat="1" applyFont="1"/>
    <xf numFmtId="165" fontId="10" fillId="0" borderId="0" xfId="1" applyNumberFormat="1" applyFont="1" applyFill="1" applyBorder="1"/>
    <xf numFmtId="0" fontId="11" fillId="0" borderId="0" xfId="0" applyFont="1"/>
    <xf numFmtId="2" fontId="11" fillId="0" borderId="0" xfId="0" applyNumberFormat="1" applyFont="1" applyAlignment="1">
      <alignment horizontal="center"/>
    </xf>
    <xf numFmtId="168" fontId="11" fillId="0" borderId="0" xfId="0" applyNumberFormat="1" applyFont="1"/>
    <xf numFmtId="165" fontId="8" fillId="0" borderId="0" xfId="1" applyNumberFormat="1" applyFont="1" applyFill="1" applyBorder="1"/>
    <xf numFmtId="0" fontId="0" fillId="0" borderId="24" xfId="0" applyBorder="1"/>
    <xf numFmtId="165" fontId="0" fillId="0" borderId="0" xfId="1" applyNumberFormat="1" applyFont="1" applyBorder="1"/>
    <xf numFmtId="168" fontId="0" fillId="0" borderId="24" xfId="0" applyNumberFormat="1" applyBorder="1"/>
    <xf numFmtId="0" fontId="0" fillId="0" borderId="24" xfId="0" applyBorder="1" applyAlignment="1">
      <alignment horizontal="center"/>
    </xf>
    <xf numFmtId="168" fontId="0" fillId="0" borderId="25" xfId="0" applyNumberFormat="1" applyBorder="1"/>
    <xf numFmtId="168" fontId="0" fillId="0" borderId="26" xfId="0" applyNumberFormat="1" applyBorder="1"/>
    <xf numFmtId="168" fontId="0" fillId="0" borderId="3" xfId="0" applyNumberFormat="1" applyBorder="1"/>
    <xf numFmtId="168" fontId="7" fillId="0" borderId="0" xfId="0" applyNumberFormat="1" applyFont="1"/>
    <xf numFmtId="165" fontId="13" fillId="0" borderId="0" xfId="1" applyNumberFormat="1" applyFont="1" applyFill="1" applyBorder="1"/>
    <xf numFmtId="10" fontId="0" fillId="0" borderId="0" xfId="0" applyNumberFormat="1"/>
    <xf numFmtId="2" fontId="7" fillId="0" borderId="0" xfId="0" applyNumberFormat="1" applyFont="1" applyAlignment="1">
      <alignment horizontal="center"/>
    </xf>
    <xf numFmtId="165" fontId="7" fillId="0" borderId="0" xfId="1" applyNumberFormat="1" applyFont="1" applyFill="1"/>
    <xf numFmtId="168" fontId="0" fillId="0" borderId="0" xfId="0" applyNumberFormat="1" applyAlignment="1">
      <alignment horizontal="right"/>
    </xf>
    <xf numFmtId="0" fontId="0" fillId="7" borderId="8" xfId="0" applyFill="1" applyBorder="1"/>
    <xf numFmtId="0" fontId="0" fillId="7" borderId="0" xfId="0" applyFill="1"/>
    <xf numFmtId="0" fontId="0" fillId="7" borderId="19" xfId="0" applyFill="1" applyBorder="1"/>
    <xf numFmtId="2" fontId="3" fillId="7" borderId="8" xfId="0" applyNumberFormat="1" applyFont="1" applyFill="1" applyBorder="1" applyAlignment="1">
      <alignment horizontal="center" wrapText="1"/>
    </xf>
    <xf numFmtId="15" fontId="0" fillId="7" borderId="0" xfId="0" applyNumberFormat="1" applyFill="1"/>
    <xf numFmtId="0" fontId="2" fillId="7" borderId="0" xfId="0" applyFont="1" applyFill="1"/>
    <xf numFmtId="0" fontId="2" fillId="7" borderId="19" xfId="0" applyFont="1" applyFill="1" applyBorder="1"/>
    <xf numFmtId="0" fontId="0" fillId="7" borderId="0" xfId="0" applyFill="1" applyAlignment="1">
      <alignment horizontal="right"/>
    </xf>
    <xf numFmtId="0" fontId="0" fillId="7" borderId="8" xfId="0" applyFill="1" applyBorder="1" applyAlignment="1">
      <alignment horizontal="right"/>
    </xf>
    <xf numFmtId="2" fontId="2" fillId="7" borderId="1" xfId="0" applyNumberFormat="1" applyFont="1" applyFill="1" applyBorder="1" applyAlignment="1">
      <alignment horizontal="right"/>
    </xf>
    <xf numFmtId="165" fontId="2" fillId="7" borderId="2" xfId="0" applyNumberFormat="1" applyFont="1" applyFill="1" applyBorder="1"/>
    <xf numFmtId="0" fontId="2" fillId="7" borderId="2" xfId="0" applyFont="1" applyFill="1" applyBorder="1"/>
    <xf numFmtId="0" fontId="2" fillId="7" borderId="3" xfId="0" applyFont="1" applyFill="1" applyBorder="1"/>
    <xf numFmtId="2" fontId="2" fillId="7" borderId="6" xfId="0" applyNumberFormat="1" applyFont="1" applyFill="1" applyBorder="1" applyAlignment="1">
      <alignment horizontal="right"/>
    </xf>
    <xf numFmtId="165" fontId="2" fillId="7" borderId="0" xfId="0" applyNumberFormat="1" applyFont="1" applyFill="1"/>
    <xf numFmtId="0" fontId="6" fillId="7" borderId="0" xfId="0" applyFont="1" applyFill="1"/>
    <xf numFmtId="0" fontId="2" fillId="7" borderId="7" xfId="0" applyFont="1" applyFill="1" applyBorder="1"/>
    <xf numFmtId="2" fontId="3" fillId="7" borderId="20" xfId="0" applyNumberFormat="1" applyFont="1" applyFill="1" applyBorder="1" applyAlignment="1">
      <alignment horizontal="center" wrapText="1"/>
    </xf>
    <xf numFmtId="0" fontId="0" fillId="7" borderId="2" xfId="0" applyFill="1" applyBorder="1"/>
    <xf numFmtId="2" fontId="3" fillId="7" borderId="21" xfId="0" applyNumberFormat="1" applyFont="1" applyFill="1" applyBorder="1" applyAlignment="1">
      <alignment horizontal="center" wrapText="1"/>
    </xf>
    <xf numFmtId="165" fontId="0" fillId="7" borderId="16" xfId="0" applyNumberFormat="1" applyFill="1" applyBorder="1"/>
    <xf numFmtId="0" fontId="0" fillId="7" borderId="16" xfId="0" applyFill="1" applyBorder="1"/>
    <xf numFmtId="167" fontId="0" fillId="7" borderId="0" xfId="0" applyNumberFormat="1" applyFill="1"/>
    <xf numFmtId="167" fontId="3" fillId="7" borderId="23" xfId="0" applyNumberFormat="1" applyFont="1" applyFill="1" applyBorder="1"/>
    <xf numFmtId="2" fontId="0" fillId="7" borderId="19" xfId="0" applyNumberFormat="1" applyFill="1" applyBorder="1"/>
    <xf numFmtId="0" fontId="0" fillId="7" borderId="9" xfId="0" applyFill="1" applyBorder="1"/>
    <xf numFmtId="0" fontId="0" fillId="7" borderId="10" xfId="0" applyFill="1" applyBorder="1"/>
    <xf numFmtId="2" fontId="0" fillId="7" borderId="27" xfId="0" applyNumberFormat="1" applyFill="1" applyBorder="1"/>
    <xf numFmtId="15" fontId="11" fillId="8" borderId="0" xfId="0" applyNumberFormat="1" applyFont="1" applyFill="1"/>
    <xf numFmtId="2" fontId="11" fillId="8" borderId="0" xfId="0" applyNumberFormat="1" applyFont="1" applyFill="1" applyAlignment="1">
      <alignment horizontal="right"/>
    </xf>
    <xf numFmtId="165" fontId="12" fillId="8" borderId="0" xfId="1" applyNumberFormat="1" applyFont="1" applyFill="1"/>
    <xf numFmtId="10" fontId="0" fillId="8" borderId="0" xfId="0" applyNumberFormat="1" applyFill="1"/>
    <xf numFmtId="15" fontId="0" fillId="8" borderId="0" xfId="0" applyNumberFormat="1" applyFill="1"/>
    <xf numFmtId="167" fontId="0" fillId="8" borderId="0" xfId="0" applyNumberFormat="1" applyFill="1" applyAlignment="1">
      <alignment horizontal="right"/>
    </xf>
    <xf numFmtId="165" fontId="7" fillId="8" borderId="0" xfId="1" applyNumberFormat="1" applyFont="1" applyFill="1"/>
    <xf numFmtId="169" fontId="0" fillId="0" borderId="0" xfId="0" applyNumberFormat="1"/>
    <xf numFmtId="2" fontId="14" fillId="0" borderId="0" xfId="0" applyNumberFormat="1" applyFont="1"/>
    <xf numFmtId="0" fontId="14" fillId="0" borderId="0" xfId="0" applyFont="1"/>
    <xf numFmtId="0" fontId="8" fillId="0" borderId="0" xfId="0" applyFont="1"/>
    <xf numFmtId="165" fontId="14" fillId="0" borderId="0" xfId="0" applyNumberFormat="1" applyFont="1"/>
    <xf numFmtId="2" fontId="14" fillId="0" borderId="22" xfId="0" applyNumberFormat="1" applyFont="1" applyBorder="1"/>
    <xf numFmtId="165" fontId="14" fillId="0" borderId="22" xfId="0" applyNumberFormat="1" applyFont="1" applyBorder="1"/>
    <xf numFmtId="168" fontId="2" fillId="0" borderId="0" xfId="0" applyNumberFormat="1" applyFont="1"/>
    <xf numFmtId="165" fontId="15" fillId="0" borderId="0" xfId="1" applyNumberFormat="1" applyFont="1" applyBorder="1"/>
    <xf numFmtId="165" fontId="13" fillId="0" borderId="0" xfId="1" applyNumberFormat="1" applyFont="1" applyBorder="1"/>
    <xf numFmtId="165" fontId="16" fillId="0" borderId="0" xfId="1" applyNumberFormat="1" applyFont="1" applyBorder="1"/>
    <xf numFmtId="168" fontId="8" fillId="0" borderId="0" xfId="0" applyNumberFormat="1" applyFont="1"/>
    <xf numFmtId="2" fontId="0" fillId="0" borderId="22" xfId="0" applyNumberFormat="1" applyBorder="1"/>
    <xf numFmtId="165" fontId="0" fillId="0" borderId="22" xfId="0" applyNumberFormat="1" applyBorder="1"/>
    <xf numFmtId="169" fontId="0" fillId="0" borderId="19" xfId="0" applyNumberFormat="1" applyBorder="1"/>
    <xf numFmtId="2" fontId="14" fillId="0" borderId="19" xfId="0" applyNumberFormat="1" applyFont="1" applyBorder="1"/>
    <xf numFmtId="0" fontId="14" fillId="0" borderId="19" xfId="0" applyFont="1" applyBorder="1"/>
    <xf numFmtId="165" fontId="16" fillId="0" borderId="19" xfId="1" applyNumberFormat="1" applyFont="1" applyBorder="1"/>
    <xf numFmtId="0" fontId="10" fillId="0" borderId="21" xfId="0" applyFont="1" applyBorder="1"/>
    <xf numFmtId="0" fontId="15" fillId="0" borderId="28" xfId="0" applyFont="1" applyBorder="1"/>
    <xf numFmtId="0" fontId="13" fillId="0" borderId="29" xfId="0" applyFont="1" applyBorder="1"/>
    <xf numFmtId="0" fontId="13" fillId="0" borderId="28" xfId="0" applyFont="1" applyBorder="1"/>
    <xf numFmtId="0" fontId="16" fillId="0" borderId="30" xfId="0" applyFont="1" applyBorder="1"/>
    <xf numFmtId="2" fontId="0" fillId="0" borderId="31" xfId="0" applyNumberFormat="1" applyBorder="1"/>
    <xf numFmtId="165" fontId="0" fillId="0" borderId="31" xfId="0" applyNumberFormat="1" applyBorder="1"/>
    <xf numFmtId="0" fontId="0" fillId="0" borderId="10" xfId="0" applyBorder="1"/>
    <xf numFmtId="0" fontId="0" fillId="0" borderId="27" xfId="0" applyBorder="1"/>
    <xf numFmtId="0" fontId="16" fillId="0" borderId="0" xfId="0" applyFont="1"/>
    <xf numFmtId="165" fontId="15" fillId="0" borderId="0" xfId="1" applyNumberFormat="1" applyFont="1" applyFill="1" applyBorder="1"/>
    <xf numFmtId="165" fontId="16" fillId="0" borderId="0" xfId="1" applyNumberFormat="1" applyFont="1" applyFill="1" applyBorder="1"/>
    <xf numFmtId="165" fontId="16" fillId="0" borderId="19" xfId="1" applyNumberFormat="1" applyFont="1" applyFill="1" applyBorder="1"/>
    <xf numFmtId="2" fontId="14" fillId="0" borderId="32" xfId="0" applyNumberFormat="1" applyFont="1" applyBorder="1"/>
    <xf numFmtId="165" fontId="14" fillId="0" borderId="32" xfId="0" applyNumberFormat="1" applyFont="1" applyBorder="1"/>
    <xf numFmtId="9" fontId="0" fillId="8" borderId="0" xfId="0" applyNumberFormat="1" applyFill="1" applyAlignment="1">
      <alignment horizontal="center"/>
    </xf>
    <xf numFmtId="170" fontId="0" fillId="4" borderId="0" xfId="1" applyNumberFormat="1" applyFont="1" applyFill="1" applyAlignment="1">
      <alignment horizontal="center"/>
    </xf>
    <xf numFmtId="9" fontId="0" fillId="2" borderId="0" xfId="1" applyFont="1" applyFill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1" xfId="0" applyFont="1" applyBorder="1"/>
    <xf numFmtId="171" fontId="0" fillId="0" borderId="0" xfId="2" applyNumberFormat="1" applyFont="1"/>
    <xf numFmtId="0" fontId="3" fillId="0" borderId="15" xfId="0" applyFont="1" applyBorder="1"/>
    <xf numFmtId="0" fontId="3" fillId="0" borderId="16" xfId="0" applyFont="1" applyBorder="1"/>
    <xf numFmtId="165" fontId="3" fillId="0" borderId="17" xfId="1" applyNumberFormat="1" applyFont="1" applyBorder="1"/>
    <xf numFmtId="2" fontId="0" fillId="0" borderId="2" xfId="0" applyNumberFormat="1" applyBorder="1"/>
    <xf numFmtId="168" fontId="0" fillId="0" borderId="2" xfId="0" applyNumberFormat="1" applyBorder="1"/>
    <xf numFmtId="2" fontId="0" fillId="0" borderId="13" xfId="0" applyNumberFormat="1" applyBorder="1"/>
    <xf numFmtId="168" fontId="0" fillId="0" borderId="13" xfId="0" applyNumberFormat="1" applyBorder="1"/>
    <xf numFmtId="166" fontId="0" fillId="0" borderId="2" xfId="0" applyNumberFormat="1" applyBorder="1"/>
    <xf numFmtId="166" fontId="0" fillId="0" borderId="13" xfId="0" applyNumberFormat="1" applyBorder="1"/>
    <xf numFmtId="0" fontId="3" fillId="0" borderId="17" xfId="0" applyFont="1" applyBorder="1"/>
    <xf numFmtId="165" fontId="0" fillId="0" borderId="2" xfId="1" applyNumberFormat="1" applyFont="1" applyBorder="1"/>
    <xf numFmtId="2" fontId="0" fillId="0" borderId="6" xfId="0" applyNumberFormat="1" applyBorder="1"/>
    <xf numFmtId="171" fontId="0" fillId="0" borderId="0" xfId="2" applyNumberFormat="1" applyFont="1" applyBorder="1"/>
    <xf numFmtId="165" fontId="0" fillId="0" borderId="13" xfId="1" applyNumberFormat="1" applyFont="1" applyBorder="1"/>
    <xf numFmtId="171" fontId="0" fillId="0" borderId="13" xfId="2" applyNumberFormat="1" applyFont="1" applyBorder="1"/>
    <xf numFmtId="168" fontId="0" fillId="0" borderId="14" xfId="0" applyNumberFormat="1" applyBorder="1"/>
    <xf numFmtId="2" fontId="0" fillId="0" borderId="24" xfId="0" applyNumberFormat="1" applyBorder="1"/>
    <xf numFmtId="2" fontId="0" fillId="0" borderId="25" xfId="0" applyNumberFormat="1" applyBorder="1"/>
    <xf numFmtId="0" fontId="17" fillId="0" borderId="0" xfId="0" applyFont="1"/>
    <xf numFmtId="0" fontId="3" fillId="0" borderId="6" xfId="0" applyFont="1" applyBorder="1"/>
    <xf numFmtId="2" fontId="0" fillId="0" borderId="7" xfId="0" applyNumberFormat="1" applyBorder="1"/>
    <xf numFmtId="0" fontId="3" fillId="0" borderId="12" xfId="0" applyFont="1" applyBorder="1"/>
    <xf numFmtId="167" fontId="0" fillId="0" borderId="13" xfId="0" applyNumberFormat="1" applyBorder="1"/>
    <xf numFmtId="166" fontId="0" fillId="0" borderId="15" xfId="0" applyNumberFormat="1" applyBorder="1"/>
    <xf numFmtId="0" fontId="0" fillId="0" borderId="16" xfId="0" applyBorder="1" applyAlignment="1">
      <alignment horizontal="center"/>
    </xf>
    <xf numFmtId="166" fontId="0" fillId="0" borderId="16" xfId="0" applyNumberFormat="1" applyBorder="1"/>
    <xf numFmtId="0" fontId="0" fillId="0" borderId="17" xfId="0" applyBorder="1"/>
    <xf numFmtId="0" fontId="3" fillId="0" borderId="22" xfId="0" applyFont="1" applyBorder="1"/>
    <xf numFmtId="171" fontId="0" fillId="0" borderId="2" xfId="2" applyNumberFormat="1" applyFont="1" applyBorder="1" applyAlignment="1">
      <alignment horizontal="right"/>
    </xf>
    <xf numFmtId="165" fontId="0" fillId="9" borderId="25" xfId="0" applyNumberFormat="1" applyFill="1" applyBorder="1"/>
    <xf numFmtId="2" fontId="0" fillId="0" borderId="26" xfId="0" applyNumberFormat="1" applyBorder="1"/>
    <xf numFmtId="0" fontId="0" fillId="0" borderId="0" xfId="0" applyAlignment="1">
      <alignment horizontal="right"/>
    </xf>
    <xf numFmtId="165" fontId="0" fillId="9" borderId="0" xfId="1" applyNumberFormat="1" applyFont="1" applyFill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166" fontId="0" fillId="0" borderId="17" xfId="0" applyNumberFormat="1" applyBorder="1"/>
    <xf numFmtId="168" fontId="3" fillId="11" borderId="23" xfId="0" applyNumberFormat="1" applyFont="1" applyFill="1" applyBorder="1"/>
    <xf numFmtId="2" fontId="0" fillId="7" borderId="6" xfId="0" applyNumberFormat="1" applyFill="1" applyBorder="1"/>
    <xf numFmtId="2" fontId="0" fillId="12" borderId="1" xfId="0" applyNumberFormat="1" applyFill="1" applyBorder="1"/>
    <xf numFmtId="2" fontId="0" fillId="12" borderId="6" xfId="0" applyNumberFormat="1" applyFill="1" applyBorder="1"/>
    <xf numFmtId="2" fontId="0" fillId="12" borderId="12" xfId="0" applyNumberFormat="1" applyFill="1" applyBorder="1"/>
    <xf numFmtId="15" fontId="7" fillId="12" borderId="0" xfId="0" applyNumberFormat="1" applyFont="1" applyFill="1"/>
    <xf numFmtId="167" fontId="0" fillId="0" borderId="3" xfId="0" applyNumberFormat="1" applyBorder="1"/>
    <xf numFmtId="167" fontId="0" fillId="0" borderId="14" xfId="0" applyNumberFormat="1" applyBorder="1"/>
    <xf numFmtId="167" fontId="0" fillId="0" borderId="2" xfId="0" applyNumberFormat="1" applyBorder="1"/>
    <xf numFmtId="167" fontId="3" fillId="10" borderId="24" xfId="0" applyNumberFormat="1" applyFont="1" applyFill="1" applyBorder="1"/>
    <xf numFmtId="167" fontId="3" fillId="10" borderId="26" xfId="0" applyNumberFormat="1" applyFont="1" applyFill="1" applyBorder="1"/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7" borderId="4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18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172" fontId="3" fillId="2" borderId="22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7" fontId="0" fillId="0" borderId="24" xfId="0" applyNumberFormat="1" applyBorder="1"/>
    <xf numFmtId="167" fontId="0" fillId="0" borderId="25" xfId="0" applyNumberFormat="1" applyBorder="1"/>
    <xf numFmtId="167" fontId="0" fillId="0" borderId="26" xfId="0" applyNumberFormat="1" applyBorder="1"/>
    <xf numFmtId="9" fontId="9" fillId="13" borderId="0" xfId="0" applyNumberFormat="1" applyFont="1" applyFill="1" applyAlignment="1">
      <alignment horizontal="center"/>
    </xf>
    <xf numFmtId="15" fontId="9" fillId="13" borderId="0" xfId="0" applyNumberFormat="1" applyFont="1" applyFill="1"/>
    <xf numFmtId="167" fontId="9" fillId="13" borderId="0" xfId="0" applyNumberFormat="1" applyFont="1" applyFill="1"/>
    <xf numFmtId="165" fontId="3" fillId="13" borderId="0" xfId="0" applyNumberFormat="1" applyFont="1" applyFill="1"/>
  </cellXfs>
  <cellStyles count="3">
    <cellStyle name="Migliaia" xfId="2" builtinId="3"/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curva dei tassi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lezione!$C$23</c:f>
              <c:strCache>
                <c:ptCount val="1"/>
                <c:pt idx="0">
                  <c:v>i(0,T)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lezione!$B$24:$B$30</c:f>
              <c:numCache>
                <c:formatCode>0.00</c:formatCode>
                <c:ptCount val="7"/>
                <c:pt idx="0">
                  <c:v>8.3333333333333329E-2</c:v>
                </c:pt>
                <c:pt idx="1">
                  <c:v>0.41666666666666669</c:v>
                </c:pt>
                <c:pt idx="2">
                  <c:v>0.5</c:v>
                </c:pt>
                <c:pt idx="3">
                  <c:v>0.75</c:v>
                </c:pt>
                <c:pt idx="4">
                  <c:v>0.91666666666666663</c:v>
                </c:pt>
                <c:pt idx="5" formatCode="General">
                  <c:v>2.75</c:v>
                </c:pt>
                <c:pt idx="6" formatCode="General">
                  <c:v>3.25</c:v>
                </c:pt>
              </c:numCache>
            </c:numRef>
          </c:xVal>
          <c:yVal>
            <c:numRef>
              <c:f>lezione!$C$24:$C$30</c:f>
              <c:numCache>
                <c:formatCode>0.0000%</c:formatCode>
                <c:ptCount val="7"/>
                <c:pt idx="0">
                  <c:v>1.5121238400839232E-4</c:v>
                </c:pt>
                <c:pt idx="1">
                  <c:v>4.2125271464366065E-3</c:v>
                </c:pt>
                <c:pt idx="2">
                  <c:v>5.8676967789799139E-3</c:v>
                </c:pt>
                <c:pt idx="3">
                  <c:v>1.3036279319655009E-2</c:v>
                </c:pt>
                <c:pt idx="4">
                  <c:v>1.9493009527127736E-2</c:v>
                </c:pt>
                <c:pt idx="5">
                  <c:v>2.4746243048156855E-2</c:v>
                </c:pt>
                <c:pt idx="6">
                  <c:v>2.560408833450371E-2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C5-4E98-9DB2-26D7FB104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039616"/>
        <c:axId val="102041056"/>
      </c:scatterChart>
      <c:valAx>
        <c:axId val="10203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041056"/>
        <c:crosses val="autoZero"/>
        <c:crossBetween val="midCat"/>
      </c:valAx>
      <c:valAx>
        <c:axId val="10204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039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0329111286667998E-2"/>
          <c:y val="0.10274238227146816"/>
          <c:w val="0.87006224552691658"/>
          <c:h val="0.80342072545640941"/>
        </c:manualLayout>
      </c:layout>
      <c:scatterChart>
        <c:scatterStyle val="lineMarker"/>
        <c:varyColors val="0"/>
        <c:ser>
          <c:idx val="0"/>
          <c:order val="0"/>
          <c:tx>
            <c:strRef>
              <c:f>'punto 1-2-3'!$B$24</c:f>
              <c:strCache>
                <c:ptCount val="1"/>
                <c:pt idx="0">
                  <c:v>i(0,t)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'punto 1-2-3'!$A$25:$A$34</c:f>
              <c:numCache>
                <c:formatCode>0.00</c:formatCode>
                <c:ptCount val="10"/>
                <c:pt idx="0">
                  <c:v>8.3333333333333329E-2</c:v>
                </c:pt>
                <c:pt idx="1">
                  <c:v>0.41666666666666669</c:v>
                </c:pt>
                <c:pt idx="2">
                  <c:v>0.5</c:v>
                </c:pt>
                <c:pt idx="3">
                  <c:v>0.75</c:v>
                </c:pt>
                <c:pt idx="4">
                  <c:v>0.91666666666666663</c:v>
                </c:pt>
                <c:pt idx="5">
                  <c:v>1</c:v>
                </c:pt>
                <c:pt idx="6">
                  <c:v>1.5</c:v>
                </c:pt>
                <c:pt idx="7">
                  <c:v>2</c:v>
                </c:pt>
                <c:pt idx="8">
                  <c:v>2.5</c:v>
                </c:pt>
                <c:pt idx="9">
                  <c:v>3.25</c:v>
                </c:pt>
              </c:numCache>
            </c:numRef>
          </c:xVal>
          <c:yVal>
            <c:numRef>
              <c:f>'punto 1-2-3'!$B$25:$B$34</c:f>
              <c:numCache>
                <c:formatCode>0.0000%</c:formatCode>
                <c:ptCount val="10"/>
                <c:pt idx="0">
                  <c:v>1.5121238400839232E-4</c:v>
                </c:pt>
                <c:pt idx="1">
                  <c:v>4.2125271464366065E-3</c:v>
                </c:pt>
                <c:pt idx="2">
                  <c:v>5.8676967789799139E-3</c:v>
                </c:pt>
                <c:pt idx="3">
                  <c:v>1.3036279319655009E-2</c:v>
                </c:pt>
                <c:pt idx="4">
                  <c:v>1.9493009527127736E-2</c:v>
                </c:pt>
                <c:pt idx="5">
                  <c:v>1.9746920625962245E-2</c:v>
                </c:pt>
                <c:pt idx="6">
                  <c:v>2.1270387218969303E-2</c:v>
                </c:pt>
                <c:pt idx="7">
                  <c:v>2.2793853811976364E-2</c:v>
                </c:pt>
                <c:pt idx="8">
                  <c:v>2.4317320404983425E-2</c:v>
                </c:pt>
                <c:pt idx="9">
                  <c:v>2.560408833450371E-2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97-4E00-B80C-9B7FE588459D}"/>
            </c:ext>
          </c:extLst>
        </c:ser>
        <c:ser>
          <c:idx val="1"/>
          <c:order val="1"/>
          <c:tx>
            <c:strRef>
              <c:f>'punto 1-2-3'!$C$24</c:f>
              <c:strCache>
                <c:ptCount val="1"/>
                <c:pt idx="0">
                  <c:v>i(0,t) + 0.02%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'punto 1-2-3'!$A$25:$A$34</c:f>
              <c:numCache>
                <c:formatCode>0.00</c:formatCode>
                <c:ptCount val="10"/>
                <c:pt idx="0">
                  <c:v>8.3333333333333329E-2</c:v>
                </c:pt>
                <c:pt idx="1">
                  <c:v>0.41666666666666669</c:v>
                </c:pt>
                <c:pt idx="2">
                  <c:v>0.5</c:v>
                </c:pt>
                <c:pt idx="3">
                  <c:v>0.75</c:v>
                </c:pt>
                <c:pt idx="4">
                  <c:v>0.91666666666666663</c:v>
                </c:pt>
                <c:pt idx="5">
                  <c:v>1</c:v>
                </c:pt>
                <c:pt idx="6">
                  <c:v>1.5</c:v>
                </c:pt>
                <c:pt idx="7">
                  <c:v>2</c:v>
                </c:pt>
                <c:pt idx="8">
                  <c:v>2.5</c:v>
                </c:pt>
                <c:pt idx="9">
                  <c:v>3.25</c:v>
                </c:pt>
              </c:numCache>
            </c:numRef>
          </c:xVal>
          <c:yVal>
            <c:numRef>
              <c:f>'punto 1-2-3'!$C$25:$C$34</c:f>
              <c:numCache>
                <c:formatCode>0.0000%</c:formatCode>
                <c:ptCount val="10"/>
                <c:pt idx="0">
                  <c:v>3.512123840083923E-4</c:v>
                </c:pt>
                <c:pt idx="1">
                  <c:v>4.4125271464366062E-3</c:v>
                </c:pt>
                <c:pt idx="2">
                  <c:v>6.0676967789799136E-3</c:v>
                </c:pt>
                <c:pt idx="3">
                  <c:v>1.3236279319655009E-2</c:v>
                </c:pt>
                <c:pt idx="4">
                  <c:v>1.9693009527127735E-2</c:v>
                </c:pt>
                <c:pt idx="5">
                  <c:v>1.9946920625962244E-2</c:v>
                </c:pt>
                <c:pt idx="6">
                  <c:v>2.1470387218969302E-2</c:v>
                </c:pt>
                <c:pt idx="7">
                  <c:v>2.2993853811976363E-2</c:v>
                </c:pt>
                <c:pt idx="8">
                  <c:v>2.4517320404983424E-2</c:v>
                </c:pt>
                <c:pt idx="9">
                  <c:v>2.5804088334503709E-2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97-4E00-B80C-9B7FE588459D}"/>
            </c:ext>
          </c:extLst>
        </c:ser>
        <c:ser>
          <c:idx val="2"/>
          <c:order val="2"/>
          <c:tx>
            <c:strRef>
              <c:f>'punto 1-2-3'!$C$40</c:f>
              <c:strCache>
                <c:ptCount val="1"/>
                <c:pt idx="0">
                  <c:v>i(0,t) - 0.02%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'punto 1-2-3'!$A$41:$A$50</c:f>
              <c:numCache>
                <c:formatCode>0.00</c:formatCode>
                <c:ptCount val="10"/>
                <c:pt idx="0">
                  <c:v>8.3333333333333329E-2</c:v>
                </c:pt>
                <c:pt idx="1">
                  <c:v>0.41666666666666669</c:v>
                </c:pt>
                <c:pt idx="2">
                  <c:v>0.5</c:v>
                </c:pt>
                <c:pt idx="3">
                  <c:v>0.75</c:v>
                </c:pt>
                <c:pt idx="4">
                  <c:v>0.91666666666666663</c:v>
                </c:pt>
                <c:pt idx="5">
                  <c:v>1</c:v>
                </c:pt>
                <c:pt idx="6">
                  <c:v>1.5</c:v>
                </c:pt>
                <c:pt idx="7">
                  <c:v>2</c:v>
                </c:pt>
                <c:pt idx="8">
                  <c:v>2.5</c:v>
                </c:pt>
                <c:pt idx="9">
                  <c:v>3.25</c:v>
                </c:pt>
              </c:numCache>
            </c:numRef>
          </c:xVal>
          <c:yVal>
            <c:numRef>
              <c:f>'punto 1-2-3'!$C$41:$C$50</c:f>
              <c:numCache>
                <c:formatCode>0.0000%</c:formatCode>
                <c:ptCount val="10"/>
                <c:pt idx="0">
                  <c:v>-4.878761599160769E-5</c:v>
                </c:pt>
                <c:pt idx="1">
                  <c:v>4.0125271464366069E-3</c:v>
                </c:pt>
                <c:pt idx="2">
                  <c:v>5.6676967789799143E-3</c:v>
                </c:pt>
                <c:pt idx="3">
                  <c:v>1.2836279319655008E-2</c:v>
                </c:pt>
                <c:pt idx="4">
                  <c:v>1.9293009527127737E-2</c:v>
                </c:pt>
                <c:pt idx="5">
                  <c:v>1.9546920625962246E-2</c:v>
                </c:pt>
                <c:pt idx="6">
                  <c:v>2.1070387218969304E-2</c:v>
                </c:pt>
                <c:pt idx="7">
                  <c:v>2.2593853811976365E-2</c:v>
                </c:pt>
                <c:pt idx="8">
                  <c:v>2.4117320404983426E-2</c:v>
                </c:pt>
                <c:pt idx="9">
                  <c:v>2.5404088334503711E-2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597-4E00-B80C-9B7FE5884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2603968"/>
        <c:axId val="684631952"/>
      </c:scatterChart>
      <c:valAx>
        <c:axId val="712603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84631952"/>
        <c:crosses val="autoZero"/>
        <c:crossBetween val="midCat"/>
      </c:valAx>
      <c:valAx>
        <c:axId val="68463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12603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CURVA DEI TASSI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'punto 4'!$B$25</c:f>
              <c:strCache>
                <c:ptCount val="1"/>
                <c:pt idx="0">
                  <c:v>i(0,t)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'punto 4'!$A$26:$A$42</c:f>
              <c:numCache>
                <c:formatCode>0.00</c:formatCode>
                <c:ptCount val="17"/>
                <c:pt idx="0">
                  <c:v>8.3333333333333329E-2</c:v>
                </c:pt>
                <c:pt idx="1">
                  <c:v>0.16666666666666666</c:v>
                </c:pt>
                <c:pt idx="2">
                  <c:v>0.41666666666666669</c:v>
                </c:pt>
                <c:pt idx="3">
                  <c:v>0.5</c:v>
                </c:pt>
                <c:pt idx="4">
                  <c:v>0.66666666666666663</c:v>
                </c:pt>
                <c:pt idx="5">
                  <c:v>0.75</c:v>
                </c:pt>
                <c:pt idx="6">
                  <c:v>0.91666666666666663</c:v>
                </c:pt>
                <c:pt idx="7">
                  <c:v>1.1666666666666665</c:v>
                </c:pt>
                <c:pt idx="8">
                  <c:v>1.6666666666666665</c:v>
                </c:pt>
                <c:pt idx="9">
                  <c:v>2</c:v>
                </c:pt>
                <c:pt idx="10">
                  <c:v>2.1666666666666665</c:v>
                </c:pt>
                <c:pt idx="11">
                  <c:v>2.5</c:v>
                </c:pt>
                <c:pt idx="12">
                  <c:v>2.6666666666666665</c:v>
                </c:pt>
                <c:pt idx="13">
                  <c:v>3.1666666666666665</c:v>
                </c:pt>
                <c:pt idx="14">
                  <c:v>3.25</c:v>
                </c:pt>
                <c:pt idx="15">
                  <c:v>3.6666666666666665</c:v>
                </c:pt>
                <c:pt idx="16">
                  <c:v>4.1666666666666661</c:v>
                </c:pt>
              </c:numCache>
            </c:numRef>
          </c:xVal>
          <c:yVal>
            <c:numRef>
              <c:f>'punto 4'!$B$26:$B$42</c:f>
              <c:numCache>
                <c:formatCode>0.0000%</c:formatCode>
                <c:ptCount val="17"/>
                <c:pt idx="0">
                  <c:v>1.5121238400839232E-4</c:v>
                </c:pt>
                <c:pt idx="1">
                  <c:v>1.1665410746154457E-3</c:v>
                </c:pt>
                <c:pt idx="2">
                  <c:v>4.2125271464366065E-3</c:v>
                </c:pt>
                <c:pt idx="3">
                  <c:v>5.8676967789799139E-3</c:v>
                </c:pt>
                <c:pt idx="4">
                  <c:v>1.0646751806096644E-2</c:v>
                </c:pt>
                <c:pt idx="5">
                  <c:v>1.3036279319655009E-2</c:v>
                </c:pt>
                <c:pt idx="6">
                  <c:v>1.9493009527127736E-2</c:v>
                </c:pt>
                <c:pt idx="7">
                  <c:v>2.0254742823631263E-2</c:v>
                </c:pt>
                <c:pt idx="8">
                  <c:v>2.1778209416638321E-2</c:v>
                </c:pt>
                <c:pt idx="9">
                  <c:v>2.2793853811976364E-2</c:v>
                </c:pt>
                <c:pt idx="10">
                  <c:v>2.3301676009645386E-2</c:v>
                </c:pt>
                <c:pt idx="11">
                  <c:v>2.4317320404983425E-2</c:v>
                </c:pt>
                <c:pt idx="12">
                  <c:v>2.460326883376571E-2</c:v>
                </c:pt>
                <c:pt idx="13">
                  <c:v>2.5461114120112566E-2</c:v>
                </c:pt>
                <c:pt idx="14">
                  <c:v>2.560408833450371E-2</c:v>
                </c:pt>
                <c:pt idx="15">
                  <c:v>2.6318959406459425E-2</c:v>
                </c:pt>
                <c:pt idx="16">
                  <c:v>2.7176804692806273E-2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B3-498E-9551-EED7F1AA2997}"/>
            </c:ext>
          </c:extLst>
        </c:ser>
        <c:ser>
          <c:idx val="1"/>
          <c:order val="1"/>
          <c:tx>
            <c:strRef>
              <c:f>'punto 4'!$C$25</c:f>
              <c:strCache>
                <c:ptCount val="1"/>
                <c:pt idx="0">
                  <c:v>i(0,t) + 0.02%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'punto 4'!$A$26:$A$42</c:f>
              <c:numCache>
                <c:formatCode>0.00</c:formatCode>
                <c:ptCount val="17"/>
                <c:pt idx="0">
                  <c:v>8.3333333333333329E-2</c:v>
                </c:pt>
                <c:pt idx="1">
                  <c:v>0.16666666666666666</c:v>
                </c:pt>
                <c:pt idx="2">
                  <c:v>0.41666666666666669</c:v>
                </c:pt>
                <c:pt idx="3">
                  <c:v>0.5</c:v>
                </c:pt>
                <c:pt idx="4">
                  <c:v>0.66666666666666663</c:v>
                </c:pt>
                <c:pt idx="5">
                  <c:v>0.75</c:v>
                </c:pt>
                <c:pt idx="6">
                  <c:v>0.91666666666666663</c:v>
                </c:pt>
                <c:pt idx="7">
                  <c:v>1.1666666666666665</c:v>
                </c:pt>
                <c:pt idx="8">
                  <c:v>1.6666666666666665</c:v>
                </c:pt>
                <c:pt idx="9">
                  <c:v>2</c:v>
                </c:pt>
                <c:pt idx="10">
                  <c:v>2.1666666666666665</c:v>
                </c:pt>
                <c:pt idx="11">
                  <c:v>2.5</c:v>
                </c:pt>
                <c:pt idx="12">
                  <c:v>2.6666666666666665</c:v>
                </c:pt>
                <c:pt idx="13">
                  <c:v>3.1666666666666665</c:v>
                </c:pt>
                <c:pt idx="14">
                  <c:v>3.25</c:v>
                </c:pt>
                <c:pt idx="15">
                  <c:v>3.6666666666666665</c:v>
                </c:pt>
                <c:pt idx="16">
                  <c:v>4.1666666666666661</c:v>
                </c:pt>
              </c:numCache>
            </c:numRef>
          </c:xVal>
          <c:yVal>
            <c:numRef>
              <c:f>'punto 4'!$C$26:$C$42</c:f>
              <c:numCache>
                <c:formatCode>0.0000%</c:formatCode>
                <c:ptCount val="17"/>
                <c:pt idx="0">
                  <c:v>3.512123840083923E-4</c:v>
                </c:pt>
                <c:pt idx="1">
                  <c:v>1.3665410746154455E-3</c:v>
                </c:pt>
                <c:pt idx="2">
                  <c:v>4.4125271464366062E-3</c:v>
                </c:pt>
                <c:pt idx="3">
                  <c:v>6.0676967789799136E-3</c:v>
                </c:pt>
                <c:pt idx="4">
                  <c:v>1.0846751806096644E-2</c:v>
                </c:pt>
                <c:pt idx="5">
                  <c:v>1.3236279319655009E-2</c:v>
                </c:pt>
                <c:pt idx="6">
                  <c:v>1.9693009527127735E-2</c:v>
                </c:pt>
                <c:pt idx="7">
                  <c:v>2.0454742823631265E-2</c:v>
                </c:pt>
                <c:pt idx="8">
                  <c:v>2.1978209416638323E-2</c:v>
                </c:pt>
                <c:pt idx="9">
                  <c:v>2.2993853811976363E-2</c:v>
                </c:pt>
                <c:pt idx="10">
                  <c:v>2.3501676009645384E-2</c:v>
                </c:pt>
                <c:pt idx="11">
                  <c:v>2.4517320404983424E-2</c:v>
                </c:pt>
                <c:pt idx="12">
                  <c:v>2.4803268833765713E-2</c:v>
                </c:pt>
                <c:pt idx="13">
                  <c:v>2.5661114120112568E-2</c:v>
                </c:pt>
                <c:pt idx="14">
                  <c:v>2.5804088334503709E-2</c:v>
                </c:pt>
                <c:pt idx="15">
                  <c:v>2.651895940645942E-2</c:v>
                </c:pt>
                <c:pt idx="16">
                  <c:v>2.7376804692806275E-2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B3-498E-9551-EED7F1AA2997}"/>
            </c:ext>
          </c:extLst>
        </c:ser>
        <c:ser>
          <c:idx val="2"/>
          <c:order val="2"/>
          <c:tx>
            <c:strRef>
              <c:f>'punto 4'!$C$47</c:f>
              <c:strCache>
                <c:ptCount val="1"/>
                <c:pt idx="0">
                  <c:v>i(0,t) - 0.02%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'punto 4'!$A$26:$A$42</c:f>
              <c:numCache>
                <c:formatCode>0.00</c:formatCode>
                <c:ptCount val="17"/>
                <c:pt idx="0">
                  <c:v>8.3333333333333329E-2</c:v>
                </c:pt>
                <c:pt idx="1">
                  <c:v>0.16666666666666666</c:v>
                </c:pt>
                <c:pt idx="2">
                  <c:v>0.41666666666666669</c:v>
                </c:pt>
                <c:pt idx="3">
                  <c:v>0.5</c:v>
                </c:pt>
                <c:pt idx="4">
                  <c:v>0.66666666666666663</c:v>
                </c:pt>
                <c:pt idx="5">
                  <c:v>0.75</c:v>
                </c:pt>
                <c:pt idx="6">
                  <c:v>0.91666666666666663</c:v>
                </c:pt>
                <c:pt idx="7">
                  <c:v>1.1666666666666665</c:v>
                </c:pt>
                <c:pt idx="8">
                  <c:v>1.6666666666666665</c:v>
                </c:pt>
                <c:pt idx="9">
                  <c:v>2</c:v>
                </c:pt>
                <c:pt idx="10">
                  <c:v>2.1666666666666665</c:v>
                </c:pt>
                <c:pt idx="11">
                  <c:v>2.5</c:v>
                </c:pt>
                <c:pt idx="12">
                  <c:v>2.6666666666666665</c:v>
                </c:pt>
                <c:pt idx="13">
                  <c:v>3.1666666666666665</c:v>
                </c:pt>
                <c:pt idx="14">
                  <c:v>3.25</c:v>
                </c:pt>
                <c:pt idx="15">
                  <c:v>3.6666666666666665</c:v>
                </c:pt>
                <c:pt idx="16">
                  <c:v>4.1666666666666661</c:v>
                </c:pt>
              </c:numCache>
            </c:numRef>
          </c:xVal>
          <c:yVal>
            <c:numRef>
              <c:f>'punto 4'!$C$48:$C$64</c:f>
              <c:numCache>
                <c:formatCode>0.0000%</c:formatCode>
                <c:ptCount val="17"/>
                <c:pt idx="0">
                  <c:v>-4.878761599160769E-5</c:v>
                </c:pt>
                <c:pt idx="1">
                  <c:v>9.6654107461544578E-4</c:v>
                </c:pt>
                <c:pt idx="2">
                  <c:v>4.0125271464366069E-3</c:v>
                </c:pt>
                <c:pt idx="3">
                  <c:v>5.6676967789799143E-3</c:v>
                </c:pt>
                <c:pt idx="4">
                  <c:v>1.0446751806096641E-2</c:v>
                </c:pt>
                <c:pt idx="5">
                  <c:v>1.2836279319655008E-2</c:v>
                </c:pt>
                <c:pt idx="6">
                  <c:v>1.9293009527127737E-2</c:v>
                </c:pt>
                <c:pt idx="7">
                  <c:v>2.0054742823631264E-2</c:v>
                </c:pt>
                <c:pt idx="8">
                  <c:v>2.1578209416638326E-2</c:v>
                </c:pt>
                <c:pt idx="9">
                  <c:v>2.2593853811976365E-2</c:v>
                </c:pt>
                <c:pt idx="10">
                  <c:v>2.3101676009645387E-2</c:v>
                </c:pt>
                <c:pt idx="11">
                  <c:v>2.4117320404983426E-2</c:v>
                </c:pt>
                <c:pt idx="12">
                  <c:v>2.4403268833765712E-2</c:v>
                </c:pt>
                <c:pt idx="13">
                  <c:v>2.526111412011257E-2</c:v>
                </c:pt>
                <c:pt idx="14">
                  <c:v>2.5404088334503711E-2</c:v>
                </c:pt>
                <c:pt idx="15">
                  <c:v>2.6118959406459422E-2</c:v>
                </c:pt>
                <c:pt idx="16">
                  <c:v>2.6976804692806278E-2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B3-498E-9551-EED7F1AA2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7730856"/>
        <c:axId val="917726176"/>
      </c:scatterChart>
      <c:valAx>
        <c:axId val="917730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17726176"/>
        <c:crosses val="autoZero"/>
        <c:crossBetween val="midCat"/>
      </c:valAx>
      <c:valAx>
        <c:axId val="91772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17730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745067</xdr:colOff>
      <xdr:row>21</xdr:row>
      <xdr:rowOff>42333</xdr:rowOff>
    </xdr:from>
    <xdr:to>
      <xdr:col>8</xdr:col>
      <xdr:colOff>1059180</xdr:colOff>
      <xdr:row>32</xdr:row>
      <xdr:rowOff>153670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44E01C1-5888-4CBD-8A65-4E41361304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54</xdr:row>
      <xdr:rowOff>6350</xdr:rowOff>
    </xdr:from>
    <xdr:to>
      <xdr:col>9</xdr:col>
      <xdr:colOff>400050</xdr:colOff>
      <xdr:row>79</xdr:row>
      <xdr:rowOff>12700</xdr:rowOff>
    </xdr:to>
    <xdr:graphicFrame macro="">
      <xdr:nvGraphicFramePr>
        <xdr:cNvPr id="3" name="Grafico 1">
          <a:extLst>
            <a:ext uri="{FF2B5EF4-FFF2-40B4-BE49-F238E27FC236}">
              <a16:creationId xmlns:a16="http://schemas.microsoft.com/office/drawing/2014/main" id="{91032903-F0A3-4D76-9C57-3AEAA86BEF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66</xdr:row>
      <xdr:rowOff>12700</xdr:rowOff>
    </xdr:from>
    <xdr:to>
      <xdr:col>10</xdr:col>
      <xdr:colOff>12700</xdr:colOff>
      <xdr:row>98</xdr:row>
      <xdr:rowOff>177800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FE3C38B-8D97-4330-963D-8DF0BD2BF6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406400</xdr:colOff>
      <xdr:row>26</xdr:row>
      <xdr:rowOff>146050</xdr:rowOff>
    </xdr:from>
    <xdr:to>
      <xdr:col>4</xdr:col>
      <xdr:colOff>599440</xdr:colOff>
      <xdr:row>29</xdr:row>
      <xdr:rowOff>6350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273ECCB8-92A1-F040-7708-C31BBA127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00" y="4933950"/>
          <a:ext cx="3063240" cy="412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622300</xdr:colOff>
      <xdr:row>26</xdr:row>
      <xdr:rowOff>152400</xdr:rowOff>
    </xdr:from>
    <xdr:to>
      <xdr:col>9</xdr:col>
      <xdr:colOff>124460</xdr:colOff>
      <xdr:row>29</xdr:row>
      <xdr:rowOff>11430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A59458A2-15E5-F942-C3F9-7F2F060BD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0050" y="4940300"/>
          <a:ext cx="2810510" cy="411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374650</xdr:colOff>
      <xdr:row>26</xdr:row>
      <xdr:rowOff>152400</xdr:rowOff>
    </xdr:from>
    <xdr:to>
      <xdr:col>16</xdr:col>
      <xdr:colOff>1270</xdr:colOff>
      <xdr:row>29</xdr:row>
      <xdr:rowOff>13970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C16FB1AB-0541-8944-A089-B3256BA85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4940300"/>
          <a:ext cx="3328670" cy="414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425450</xdr:colOff>
      <xdr:row>34</xdr:row>
      <xdr:rowOff>12700</xdr:rowOff>
    </xdr:from>
    <xdr:to>
      <xdr:col>16</xdr:col>
      <xdr:colOff>317500</xdr:colOff>
      <xdr:row>35</xdr:row>
      <xdr:rowOff>157480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D344CD1E-0453-B44E-DD9C-E82D9D92F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6286500"/>
          <a:ext cx="1720850" cy="3289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4D212-1C41-4B5B-8F6F-11630159FDE4}">
  <dimension ref="A1:U30"/>
  <sheetViews>
    <sheetView zoomScale="90" zoomScaleNormal="90" workbookViewId="0">
      <selection activeCell="J40" sqref="J40"/>
    </sheetView>
  </sheetViews>
  <sheetFormatPr defaultColWidth="8.6640625" defaultRowHeight="14.4" x14ac:dyDescent="0.3"/>
  <cols>
    <col min="1" max="1" width="22.33203125" customWidth="1"/>
    <col min="2" max="2" width="26.44140625" customWidth="1"/>
    <col min="3" max="3" width="20.6640625" customWidth="1"/>
    <col min="4" max="4" width="7" customWidth="1"/>
    <col min="5" max="5" width="15.44140625" customWidth="1"/>
    <col min="6" max="6" width="10.44140625" bestFit="1" customWidth="1"/>
    <col min="7" max="7" width="10.6640625" bestFit="1" customWidth="1"/>
    <col min="8" max="8" width="12" bestFit="1" customWidth="1"/>
    <col min="9" max="9" width="20.44140625" bestFit="1" customWidth="1"/>
    <col min="10" max="10" width="10.109375" customWidth="1"/>
    <col min="11" max="11" width="10" customWidth="1"/>
    <col min="12" max="13" width="10.33203125" customWidth="1"/>
    <col min="14" max="14" width="15.33203125" customWidth="1"/>
    <col min="15" max="21" width="10.44140625" customWidth="1"/>
  </cols>
  <sheetData>
    <row r="1" spans="1:21" ht="25.8" x14ac:dyDescent="0.5">
      <c r="A1" s="1" t="s">
        <v>0</v>
      </c>
      <c r="B1" s="2">
        <v>45748</v>
      </c>
      <c r="C1" s="3"/>
      <c r="E1" s="269" t="s">
        <v>1</v>
      </c>
      <c r="F1" s="270"/>
      <c r="G1" s="270"/>
      <c r="H1" s="271" t="s">
        <v>2</v>
      </c>
      <c r="I1" s="272"/>
      <c r="J1" s="272"/>
      <c r="K1" s="272"/>
      <c r="L1" s="272"/>
      <c r="M1" s="273"/>
      <c r="N1" s="274" t="s">
        <v>3</v>
      </c>
      <c r="O1" s="275"/>
      <c r="P1" s="275"/>
      <c r="Q1" s="275"/>
      <c r="R1" s="275"/>
      <c r="S1" s="275"/>
      <c r="T1" s="275"/>
      <c r="U1" s="276"/>
    </row>
    <row r="2" spans="1:21" x14ac:dyDescent="0.3">
      <c r="A2" s="4"/>
      <c r="C2" s="5"/>
      <c r="E2" s="6"/>
      <c r="F2" s="7"/>
      <c r="G2" s="7"/>
      <c r="H2" s="8"/>
      <c r="I2" s="9"/>
      <c r="J2" s="9"/>
      <c r="K2" s="9"/>
      <c r="L2" s="9"/>
      <c r="M2" s="10"/>
      <c r="N2" s="11"/>
      <c r="O2" s="12"/>
      <c r="P2" s="12"/>
      <c r="Q2" s="12"/>
      <c r="R2" s="12"/>
      <c r="S2" s="12"/>
      <c r="T2" s="12"/>
      <c r="U2" s="13"/>
    </row>
    <row r="3" spans="1:21" ht="31.2" x14ac:dyDescent="0.5">
      <c r="A3" s="14" t="s">
        <v>4</v>
      </c>
      <c r="B3" s="15" t="s">
        <v>5</v>
      </c>
      <c r="C3" s="16" t="s">
        <v>6</v>
      </c>
      <c r="E3" s="17" t="s">
        <v>7</v>
      </c>
      <c r="F3" s="18" t="s">
        <v>8</v>
      </c>
      <c r="G3" s="18" t="s">
        <v>9</v>
      </c>
      <c r="H3" s="19" t="s">
        <v>10</v>
      </c>
      <c r="I3" s="20">
        <v>45931</v>
      </c>
      <c r="J3" s="20">
        <v>46113</v>
      </c>
      <c r="K3" s="20">
        <v>46296</v>
      </c>
      <c r="L3" s="20">
        <v>46478</v>
      </c>
      <c r="M3" s="20">
        <v>46661</v>
      </c>
      <c r="N3" s="21" t="s">
        <v>10</v>
      </c>
      <c r="O3" s="22">
        <v>45839</v>
      </c>
      <c r="P3" s="22">
        <v>46023</v>
      </c>
      <c r="Q3" s="22">
        <v>46204</v>
      </c>
      <c r="R3" s="22">
        <v>46388</v>
      </c>
      <c r="S3" s="22">
        <v>46569</v>
      </c>
      <c r="T3" s="22">
        <v>46753</v>
      </c>
      <c r="U3" s="23">
        <v>46935</v>
      </c>
    </row>
    <row r="4" spans="1:21" ht="25.8" x14ac:dyDescent="0.5">
      <c r="A4" s="24" t="s">
        <v>11</v>
      </c>
      <c r="B4" s="25">
        <v>45778</v>
      </c>
      <c r="C4" s="26">
        <v>99.998739999999998</v>
      </c>
      <c r="D4" s="27"/>
      <c r="E4" s="28">
        <f>1/12</f>
        <v>8.3333333333333329E-2</v>
      </c>
      <c r="F4" s="29">
        <f>C4/100</f>
        <v>0.99998739999999997</v>
      </c>
      <c r="G4" s="30">
        <f>F4^(-1/E4)-1</f>
        <v>1.5121238400839232E-4</v>
      </c>
      <c r="H4" s="19" t="s">
        <v>12</v>
      </c>
      <c r="I4" s="9">
        <v>0.5</v>
      </c>
      <c r="J4" s="9">
        <v>1</v>
      </c>
      <c r="K4" s="9">
        <v>1.5</v>
      </c>
      <c r="L4" s="9">
        <v>2</v>
      </c>
      <c r="M4" s="10">
        <v>2.5</v>
      </c>
      <c r="N4" s="21" t="s">
        <v>13</v>
      </c>
      <c r="O4" s="12">
        <f>3/12</f>
        <v>0.25</v>
      </c>
      <c r="P4" s="12">
        <f>O4+0.5</f>
        <v>0.75</v>
      </c>
      <c r="Q4" s="12">
        <f t="shared" ref="Q4:U4" si="0">P4+0.5</f>
        <v>1.25</v>
      </c>
      <c r="R4" s="12">
        <f t="shared" si="0"/>
        <v>1.75</v>
      </c>
      <c r="S4" s="12">
        <f t="shared" si="0"/>
        <v>2.25</v>
      </c>
      <c r="T4" s="12">
        <f t="shared" si="0"/>
        <v>2.75</v>
      </c>
      <c r="U4" s="13">
        <f t="shared" si="0"/>
        <v>3.25</v>
      </c>
    </row>
    <row r="5" spans="1:21" ht="25.8" x14ac:dyDescent="0.5">
      <c r="A5" s="24" t="s">
        <v>11</v>
      </c>
      <c r="B5" s="25">
        <v>45901</v>
      </c>
      <c r="C5" s="26">
        <v>99.825000000000003</v>
      </c>
      <c r="D5" s="27"/>
      <c r="E5" s="28">
        <f>5/12</f>
        <v>0.41666666666666669</v>
      </c>
      <c r="F5" s="29">
        <f t="shared" ref="F5:F7" si="1">C5/100</f>
        <v>0.99825000000000008</v>
      </c>
      <c r="G5" s="30">
        <f t="shared" ref="G5:G8" si="2">F5^(-1/E5)-1</f>
        <v>4.2125271464366065E-3</v>
      </c>
      <c r="H5" s="19" t="s">
        <v>14</v>
      </c>
      <c r="I5" s="9">
        <v>1.35</v>
      </c>
      <c r="J5" s="9">
        <v>1.35</v>
      </c>
      <c r="K5" s="9">
        <v>1.35</v>
      </c>
      <c r="L5" s="9">
        <v>1.35</v>
      </c>
      <c r="M5" s="10">
        <v>101.35</v>
      </c>
      <c r="N5" s="21" t="s">
        <v>14</v>
      </c>
      <c r="O5" s="12">
        <v>0.25</v>
      </c>
      <c r="P5" s="12">
        <v>0.25</v>
      </c>
      <c r="Q5" s="12">
        <v>0.25</v>
      </c>
      <c r="R5" s="12">
        <v>0.25</v>
      </c>
      <c r="S5" s="12">
        <v>0.25</v>
      </c>
      <c r="T5" s="12">
        <v>0.25</v>
      </c>
      <c r="U5" s="13">
        <v>100.25</v>
      </c>
    </row>
    <row r="6" spans="1:21" ht="25.8" x14ac:dyDescent="0.5">
      <c r="A6" s="24" t="s">
        <v>11</v>
      </c>
      <c r="B6" s="25">
        <v>45931</v>
      </c>
      <c r="C6" s="26">
        <v>99.707899999999995</v>
      </c>
      <c r="D6" s="27"/>
      <c r="E6" s="28">
        <f>6/12</f>
        <v>0.5</v>
      </c>
      <c r="F6" s="29">
        <f t="shared" si="1"/>
        <v>0.99707899999999994</v>
      </c>
      <c r="G6" s="30">
        <f t="shared" si="2"/>
        <v>5.8676967789799139E-3</v>
      </c>
      <c r="H6" s="19" t="s">
        <v>15</v>
      </c>
      <c r="I6" s="31">
        <f>I5*(1+G6)^(-I4)</f>
        <v>1.3460566499999997</v>
      </c>
      <c r="J6" s="277" t="s">
        <v>16</v>
      </c>
      <c r="K6" s="277"/>
      <c r="L6" s="277"/>
      <c r="M6" s="32" t="s">
        <v>17</v>
      </c>
      <c r="N6" s="21" t="s">
        <v>9</v>
      </c>
      <c r="O6" s="30">
        <f>((E5-O4)*G4+(O4-E4)*G5)/(E5-E4)</f>
        <v>2.1818697652224994E-3</v>
      </c>
      <c r="P6" s="30">
        <f>G7</f>
        <v>1.3036279319655009E-2</v>
      </c>
      <c r="Q6" s="30">
        <f>(($E9-Q4)*$G8+(Q4-$E8)*$G9)/($E9-$E8)</f>
        <v>2.0508653922465776E-2</v>
      </c>
      <c r="R6" s="30">
        <f t="shared" ref="R6:S6" si="3">(($E9-R4)*$G8+(R4-$E8)*$G9)/($E9-$E8)</f>
        <v>2.2032120515472833E-2</v>
      </c>
      <c r="S6" s="30">
        <f t="shared" si="3"/>
        <v>2.3555587108479895E-2</v>
      </c>
      <c r="T6" s="33" t="s">
        <v>18</v>
      </c>
      <c r="U6" s="34" t="s">
        <v>17</v>
      </c>
    </row>
    <row r="7" spans="1:21" ht="25.8" x14ac:dyDescent="0.5">
      <c r="A7" s="24" t="s">
        <v>11</v>
      </c>
      <c r="B7" s="25">
        <v>46023</v>
      </c>
      <c r="C7" s="26">
        <v>99.033299999999997</v>
      </c>
      <c r="D7" s="27"/>
      <c r="E7" s="28">
        <f>9/12</f>
        <v>0.75</v>
      </c>
      <c r="F7" s="29">
        <f t="shared" si="1"/>
        <v>0.99033300000000002</v>
      </c>
      <c r="G7" s="30">
        <f t="shared" si="2"/>
        <v>1.3036279319655009E-2</v>
      </c>
      <c r="H7" s="19"/>
      <c r="I7" s="35"/>
      <c r="J7" s="35"/>
      <c r="K7" s="9"/>
      <c r="L7" s="9"/>
      <c r="M7" s="10"/>
      <c r="N7" s="21" t="s">
        <v>19</v>
      </c>
      <c r="O7" s="36">
        <f>O5*(1+O6)^(-O4)</f>
        <v>0.24986381879511393</v>
      </c>
      <c r="P7" s="36">
        <f t="shared" ref="P7:S7" si="4">P5*(1+P6)^(-P4)</f>
        <v>0.24758325</v>
      </c>
      <c r="Q7" s="36">
        <f t="shared" si="4"/>
        <v>0.24373569932513067</v>
      </c>
      <c r="R7" s="36">
        <f t="shared" si="4"/>
        <v>0.2406451176164966</v>
      </c>
      <c r="S7" s="36">
        <f t="shared" si="4"/>
        <v>0.23724074757560729</v>
      </c>
      <c r="T7" s="12"/>
      <c r="U7" s="13"/>
    </row>
    <row r="8" spans="1:21" ht="26.4" thickBot="1" x14ac:dyDescent="0.55000000000000004">
      <c r="A8" s="24" t="s">
        <v>11</v>
      </c>
      <c r="B8" s="25">
        <v>46082</v>
      </c>
      <c r="C8" s="26">
        <v>98.245900000000006</v>
      </c>
      <c r="D8" s="27"/>
      <c r="E8" s="37">
        <f>11/12</f>
        <v>0.91666666666666663</v>
      </c>
      <c r="F8" s="38">
        <f>C8/100</f>
        <v>0.98245900000000008</v>
      </c>
      <c r="G8" s="39">
        <f t="shared" si="2"/>
        <v>1.9493009527127736E-2</v>
      </c>
      <c r="H8" s="40" t="s">
        <v>20</v>
      </c>
      <c r="I8" s="41">
        <f>E8</f>
        <v>0.91666666666666663</v>
      </c>
      <c r="J8" s="42">
        <f>G8</f>
        <v>1.9493009527127736E-2</v>
      </c>
      <c r="K8" s="43"/>
      <c r="L8" s="44"/>
      <c r="M8" s="10"/>
      <c r="N8" s="21"/>
      <c r="O8" s="12"/>
      <c r="P8" s="12"/>
      <c r="Q8" s="12"/>
      <c r="R8" s="12"/>
      <c r="S8" s="12"/>
      <c r="T8" s="12"/>
      <c r="U8" s="13"/>
    </row>
    <row r="9" spans="1:21" ht="25.8" x14ac:dyDescent="0.5">
      <c r="A9" s="45">
        <v>2.7E-2</v>
      </c>
      <c r="B9" s="46">
        <v>46661</v>
      </c>
      <c r="C9" s="47">
        <v>100.71</v>
      </c>
      <c r="D9" s="27"/>
      <c r="E9" s="48">
        <f>2.5</f>
        <v>2.5</v>
      </c>
      <c r="G9" s="49">
        <f>L11</f>
        <v>2.4317320404983425E-2</v>
      </c>
      <c r="H9" s="40" t="s">
        <v>21</v>
      </c>
      <c r="I9" s="50">
        <v>2.5</v>
      </c>
      <c r="J9" s="51">
        <v>2.4317320404983425E-2</v>
      </c>
      <c r="K9" s="52" t="s">
        <v>17</v>
      </c>
      <c r="L9" s="32"/>
      <c r="M9" s="10"/>
      <c r="N9" s="11"/>
      <c r="O9" s="53" t="s">
        <v>21</v>
      </c>
      <c r="P9" s="54">
        <v>2.5</v>
      </c>
      <c r="Q9" s="55">
        <f>G9</f>
        <v>2.4317320404983425E-2</v>
      </c>
      <c r="R9" s="56"/>
      <c r="S9" s="57"/>
      <c r="T9" s="12"/>
      <c r="U9" s="13"/>
    </row>
    <row r="10" spans="1:21" ht="25.8" x14ac:dyDescent="0.5">
      <c r="A10" s="58">
        <v>5.0000000000000001E-3</v>
      </c>
      <c r="B10" s="59">
        <v>46935</v>
      </c>
      <c r="C10" s="60">
        <v>93.67</v>
      </c>
      <c r="D10" s="61"/>
      <c r="E10" s="48">
        <f>3.25</f>
        <v>3.25</v>
      </c>
      <c r="G10" s="62">
        <f>Q10</f>
        <v>2.560408833450371E-2</v>
      </c>
      <c r="H10" s="63" t="s">
        <v>22</v>
      </c>
      <c r="I10" s="64">
        <v>1</v>
      </c>
      <c r="J10" s="64">
        <v>1.5</v>
      </c>
      <c r="K10" s="64">
        <v>2</v>
      </c>
      <c r="L10" s="64">
        <v>2.5</v>
      </c>
      <c r="M10" s="65"/>
      <c r="N10" s="11"/>
      <c r="O10" s="66" t="s">
        <v>23</v>
      </c>
      <c r="P10" s="67">
        <v>3.25</v>
      </c>
      <c r="Q10" s="68">
        <v>2.560408833450371E-2</v>
      </c>
      <c r="R10" s="69"/>
      <c r="S10" s="70" t="s">
        <v>17</v>
      </c>
      <c r="T10" s="12"/>
      <c r="U10" s="13"/>
    </row>
    <row r="11" spans="1:21" ht="25.8" x14ac:dyDescent="0.5">
      <c r="A11" s="71"/>
      <c r="B11" s="72"/>
      <c r="C11" s="73"/>
      <c r="D11" s="61"/>
      <c r="H11" s="74" t="s">
        <v>9</v>
      </c>
      <c r="I11" s="75">
        <f>(($I$9-I10)*$J$8+(I10-$I$8)*$J$9)/($I$9-$I$8)</f>
        <v>1.9746920625962245E-2</v>
      </c>
      <c r="J11" s="75">
        <f t="shared" ref="J11:L11" si="5">(($I$9-J10)*$J$8+(J10-$I$8)*$J$9)/($I$9-$I$8)</f>
        <v>2.1270387218969303E-2</v>
      </c>
      <c r="K11" s="75">
        <f t="shared" si="5"/>
        <v>2.2793853811976364E-2</v>
      </c>
      <c r="L11" s="75">
        <f t="shared" si="5"/>
        <v>2.4317320404983425E-2</v>
      </c>
      <c r="M11" s="76"/>
      <c r="N11" s="11"/>
      <c r="O11" s="77" t="s">
        <v>22</v>
      </c>
      <c r="P11" s="78">
        <v>2.75</v>
      </c>
      <c r="Q11" s="57">
        <v>3.25</v>
      </c>
      <c r="R11" s="12"/>
      <c r="S11" s="12"/>
      <c r="T11" s="12"/>
      <c r="U11" s="13"/>
    </row>
    <row r="12" spans="1:21" ht="25.8" x14ac:dyDescent="0.5">
      <c r="D12" s="61"/>
      <c r="H12" s="79" t="s">
        <v>15</v>
      </c>
      <c r="I12" s="80">
        <f>J5*(1+I11)^(-I10)</f>
        <v>1.3238578834553529</v>
      </c>
      <c r="J12" s="80">
        <f t="shared" ref="J12:L12" si="6">K5*(1+J11)^(-J10)</f>
        <v>1.3080449232707456</v>
      </c>
      <c r="K12" s="80">
        <f t="shared" si="6"/>
        <v>1.2904986343905571</v>
      </c>
      <c r="L12" s="80">
        <f t="shared" si="6"/>
        <v>95.441545239058314</v>
      </c>
      <c r="M12" s="81"/>
      <c r="N12" s="11"/>
      <c r="O12" s="82" t="s">
        <v>9</v>
      </c>
      <c r="P12" s="30">
        <f>(($P$10-P11)*$Q$9+(P11-$P$9)*$Q$10)/($P$10-$P$9)</f>
        <v>2.4746243048156855E-2</v>
      </c>
      <c r="Q12" s="83">
        <f>(($P$10-Q11)*$Q$9+(Q11-$P$9)*$Q$10)/($P$10-$P$9)</f>
        <v>2.560408833450371E-2</v>
      </c>
      <c r="R12" s="12"/>
      <c r="S12" s="12"/>
      <c r="T12" s="12"/>
      <c r="U12" s="13"/>
    </row>
    <row r="13" spans="1:21" x14ac:dyDescent="0.3">
      <c r="H13" s="8"/>
      <c r="I13" s="9"/>
      <c r="J13" s="9"/>
      <c r="K13" s="9"/>
      <c r="L13" s="9"/>
      <c r="M13" s="10"/>
      <c r="N13" s="11"/>
      <c r="O13" s="84" t="s">
        <v>19</v>
      </c>
      <c r="P13" s="85">
        <f>T5*(1+P12)^(-P11)</f>
        <v>0.23374648458807781</v>
      </c>
      <c r="Q13" s="86">
        <f>U5*(1+Q12)^(-Q11)</f>
        <v>92.342199597926793</v>
      </c>
      <c r="R13" s="12"/>
      <c r="S13" s="12"/>
      <c r="T13" s="12"/>
      <c r="U13" s="13"/>
    </row>
    <row r="14" spans="1:21" x14ac:dyDescent="0.3">
      <c r="H14" s="8"/>
      <c r="I14" s="9" t="s">
        <v>24</v>
      </c>
      <c r="J14" s="87">
        <f>SUM(I6,I12:L12)</f>
        <v>100.71000333017497</v>
      </c>
      <c r="K14" s="9"/>
      <c r="L14" s="9"/>
      <c r="M14" s="10"/>
      <c r="N14" s="11"/>
      <c r="O14" s="12"/>
      <c r="P14" s="12"/>
      <c r="Q14" s="12"/>
      <c r="R14" s="12"/>
      <c r="S14" s="12"/>
      <c r="T14" s="12"/>
      <c r="U14" s="13"/>
    </row>
    <row r="15" spans="1:21" x14ac:dyDescent="0.3">
      <c r="H15" s="8"/>
      <c r="I15" s="9" t="s">
        <v>25</v>
      </c>
      <c r="J15" s="88">
        <v>100.71</v>
      </c>
      <c r="K15" s="9"/>
      <c r="L15" s="9"/>
      <c r="M15" s="10"/>
      <c r="N15" s="11"/>
      <c r="O15" s="12" t="s">
        <v>26</v>
      </c>
      <c r="P15" s="12"/>
      <c r="Q15" s="89">
        <f>SUM(O7:S7,P13:Q13)</f>
        <v>93.795014715827222</v>
      </c>
      <c r="R15" s="12"/>
      <c r="S15" s="12"/>
      <c r="T15" s="12"/>
      <c r="U15" s="13"/>
    </row>
    <row r="16" spans="1:21" x14ac:dyDescent="0.3">
      <c r="H16" s="8"/>
      <c r="I16" s="9"/>
      <c r="J16" s="9"/>
      <c r="K16" s="9"/>
      <c r="L16" s="9"/>
      <c r="M16" s="10"/>
      <c r="N16" s="11"/>
      <c r="O16" s="12" t="s">
        <v>25</v>
      </c>
      <c r="P16" s="12"/>
      <c r="Q16" s="31">
        <f>C10</f>
        <v>93.67</v>
      </c>
      <c r="R16" s="12"/>
      <c r="S16" s="12"/>
      <c r="T16" s="12"/>
      <c r="U16" s="13"/>
    </row>
    <row r="17" spans="2:21" x14ac:dyDescent="0.3">
      <c r="H17" s="8"/>
      <c r="I17" s="52" t="s">
        <v>27</v>
      </c>
      <c r="J17" s="9"/>
      <c r="K17" s="9"/>
      <c r="L17" s="9" t="s">
        <v>28</v>
      </c>
      <c r="M17" s="90">
        <f>J15-J14</f>
        <v>-3.3301749766678768E-6</v>
      </c>
      <c r="N17" s="11"/>
      <c r="O17" s="12" t="s">
        <v>29</v>
      </c>
      <c r="P17" s="12"/>
      <c r="Q17" s="31">
        <v>0.125</v>
      </c>
      <c r="R17" s="12"/>
      <c r="S17" s="12"/>
      <c r="T17" s="12"/>
      <c r="U17" s="13"/>
    </row>
    <row r="18" spans="2:21" x14ac:dyDescent="0.3">
      <c r="H18" s="91"/>
      <c r="I18" s="92"/>
      <c r="J18" s="92"/>
      <c r="K18" s="92"/>
      <c r="L18" s="92"/>
      <c r="M18" s="93"/>
      <c r="N18" s="94"/>
      <c r="O18" s="95"/>
      <c r="P18" s="95"/>
      <c r="Q18" s="95"/>
      <c r="R18" s="95"/>
      <c r="S18" s="95" t="s">
        <v>28</v>
      </c>
      <c r="T18" s="96">
        <f>Q15-(Q16+Q17)</f>
        <v>1.4715827219902167E-5</v>
      </c>
      <c r="U18" s="97"/>
    </row>
    <row r="21" spans="2:21" x14ac:dyDescent="0.3">
      <c r="H21" s="98"/>
    </row>
    <row r="22" spans="2:21" x14ac:dyDescent="0.3">
      <c r="O22" s="99"/>
    </row>
    <row r="23" spans="2:21" x14ac:dyDescent="0.3">
      <c r="B23" s="100" t="s">
        <v>22</v>
      </c>
      <c r="C23" s="100" t="s">
        <v>9</v>
      </c>
    </row>
    <row r="24" spans="2:21" x14ac:dyDescent="0.3">
      <c r="B24" s="101">
        <f>1/12</f>
        <v>8.3333333333333329E-2</v>
      </c>
      <c r="C24" s="102">
        <v>1.5121238400839232E-4</v>
      </c>
    </row>
    <row r="25" spans="2:21" x14ac:dyDescent="0.3">
      <c r="B25" s="101">
        <f>5/12</f>
        <v>0.41666666666666669</v>
      </c>
      <c r="C25" s="102">
        <v>4.2125271464366065E-3</v>
      </c>
    </row>
    <row r="26" spans="2:21" x14ac:dyDescent="0.3">
      <c r="B26" s="101">
        <f>6/12</f>
        <v>0.5</v>
      </c>
      <c r="C26" s="102">
        <v>5.8676967789799139E-3</v>
      </c>
    </row>
    <row r="27" spans="2:21" x14ac:dyDescent="0.3">
      <c r="B27" s="101">
        <f>9/12</f>
        <v>0.75</v>
      </c>
      <c r="C27" s="102">
        <v>1.3036279319655009E-2</v>
      </c>
    </row>
    <row r="28" spans="2:21" x14ac:dyDescent="0.3">
      <c r="B28" s="101">
        <f>11/12</f>
        <v>0.91666666666666663</v>
      </c>
      <c r="C28" s="102">
        <v>1.9493009527127736E-2</v>
      </c>
    </row>
    <row r="29" spans="2:21" x14ac:dyDescent="0.3">
      <c r="B29" s="100">
        <v>2.75</v>
      </c>
      <c r="C29" s="102">
        <v>2.4746243048156855E-2</v>
      </c>
    </row>
    <row r="30" spans="2:21" x14ac:dyDescent="0.3">
      <c r="B30" s="100">
        <f>3.25</f>
        <v>3.25</v>
      </c>
      <c r="C30" s="102">
        <v>2.560408833450371E-2</v>
      </c>
    </row>
  </sheetData>
  <mergeCells count="4">
    <mergeCell ref="E1:G1"/>
    <mergeCell ref="H1:M1"/>
    <mergeCell ref="N1:U1"/>
    <mergeCell ref="J6:L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F8889-CC17-4941-932E-49B379E059DA}">
  <dimension ref="A1:N53"/>
  <sheetViews>
    <sheetView topLeftCell="A53" zoomScaleNormal="120" workbookViewId="0">
      <selection activeCell="H20" sqref="H20"/>
    </sheetView>
  </sheetViews>
  <sheetFormatPr defaultRowHeight="14.4" x14ac:dyDescent="0.3"/>
  <cols>
    <col min="2" max="2" width="13.5546875" customWidth="1"/>
    <col min="3" max="3" width="12.6640625" customWidth="1"/>
    <col min="4" max="4" width="10.33203125" customWidth="1"/>
    <col min="5" max="5" width="17.6640625" customWidth="1"/>
    <col min="6" max="6" width="9.44140625" bestFit="1" customWidth="1"/>
    <col min="7" max="7" width="10.33203125" customWidth="1"/>
    <col min="9" max="9" width="12.6640625" customWidth="1"/>
    <col min="10" max="10" width="15.5546875" customWidth="1"/>
    <col min="11" max="14" width="12.6640625" customWidth="1"/>
  </cols>
  <sheetData>
    <row r="1" spans="1:14" ht="14.4" customHeight="1" x14ac:dyDescent="0.3">
      <c r="A1" s="103" t="s">
        <v>0</v>
      </c>
      <c r="B1" s="104">
        <v>45748</v>
      </c>
      <c r="C1" s="103"/>
      <c r="D1" s="103"/>
      <c r="E1" s="103" t="s">
        <v>1</v>
      </c>
      <c r="I1" s="279" t="s">
        <v>30</v>
      </c>
      <c r="J1" s="280"/>
      <c r="K1" s="280"/>
      <c r="L1" s="280"/>
      <c r="M1" s="280"/>
      <c r="N1" s="281"/>
    </row>
    <row r="2" spans="1:14" ht="14.4" customHeight="1" x14ac:dyDescent="0.3">
      <c r="B2" s="105"/>
      <c r="I2" s="148"/>
      <c r="J2" s="149"/>
      <c r="K2" s="149"/>
      <c r="L2" s="149"/>
      <c r="M2" s="149"/>
      <c r="N2" s="150"/>
    </row>
    <row r="3" spans="1:14" ht="14.4" customHeight="1" x14ac:dyDescent="0.3">
      <c r="A3" t="s">
        <v>4</v>
      </c>
      <c r="B3" s="105" t="s">
        <v>5</v>
      </c>
      <c r="C3" t="s">
        <v>6</v>
      </c>
      <c r="E3" t="s">
        <v>7</v>
      </c>
      <c r="F3" t="s">
        <v>8</v>
      </c>
      <c r="G3" t="s">
        <v>9</v>
      </c>
      <c r="I3" s="151" t="s">
        <v>10</v>
      </c>
      <c r="J3" s="152">
        <v>45931</v>
      </c>
      <c r="K3" s="152">
        <v>46113</v>
      </c>
      <c r="L3" s="152">
        <v>46296</v>
      </c>
      <c r="M3" s="152">
        <v>46478</v>
      </c>
      <c r="N3" s="150"/>
    </row>
    <row r="4" spans="1:14" ht="14.4" customHeight="1" x14ac:dyDescent="0.3">
      <c r="A4" s="100" t="s">
        <v>11</v>
      </c>
      <c r="B4" s="105">
        <v>45778</v>
      </c>
      <c r="C4">
        <v>99.998739999999998</v>
      </c>
      <c r="E4" s="101">
        <v>8.3333333333333329E-2</v>
      </c>
      <c r="F4" s="99">
        <v>0.99998739999999997</v>
      </c>
      <c r="G4" s="102">
        <v>1.5121238400839232E-4</v>
      </c>
      <c r="I4" s="151" t="s">
        <v>12</v>
      </c>
      <c r="J4" s="149">
        <v>0.5</v>
      </c>
      <c r="K4" s="149">
        <v>1</v>
      </c>
      <c r="L4" s="149">
        <v>1.5</v>
      </c>
      <c r="M4" s="149">
        <v>2</v>
      </c>
      <c r="N4" s="150"/>
    </row>
    <row r="5" spans="1:14" ht="14.4" customHeight="1" x14ac:dyDescent="0.3">
      <c r="A5" s="100" t="s">
        <v>11</v>
      </c>
      <c r="B5" s="105">
        <v>45901</v>
      </c>
      <c r="C5">
        <v>99.825000000000003</v>
      </c>
      <c r="E5" s="101">
        <v>0.41666666666666669</v>
      </c>
      <c r="F5" s="99">
        <v>0.99825000000000008</v>
      </c>
      <c r="G5" s="102">
        <v>4.2125271464366065E-3</v>
      </c>
      <c r="I5" s="151" t="s">
        <v>14</v>
      </c>
      <c r="J5" s="149">
        <v>1</v>
      </c>
      <c r="K5" s="149">
        <v>1</v>
      </c>
      <c r="L5" s="149">
        <v>1</v>
      </c>
      <c r="M5" s="149">
        <v>101</v>
      </c>
      <c r="N5" s="150"/>
    </row>
    <row r="6" spans="1:14" ht="14.4" customHeight="1" x14ac:dyDescent="0.3">
      <c r="A6" s="100" t="s">
        <v>11</v>
      </c>
      <c r="B6" s="105">
        <v>45931</v>
      </c>
      <c r="C6">
        <v>99.707899999999995</v>
      </c>
      <c r="E6" s="101">
        <v>0.5</v>
      </c>
      <c r="F6" s="99">
        <v>0.99707899999999994</v>
      </c>
      <c r="G6" s="102">
        <v>5.8676967789799139E-3</v>
      </c>
      <c r="I6" s="151" t="s">
        <v>15</v>
      </c>
      <c r="J6" s="149">
        <f>J5*(1+G6)^(-J4)</f>
        <v>0.99707899999999983</v>
      </c>
      <c r="K6" s="282"/>
      <c r="L6" s="282"/>
      <c r="M6" s="153"/>
      <c r="N6" s="154"/>
    </row>
    <row r="7" spans="1:14" ht="14.4" customHeight="1" x14ac:dyDescent="0.3">
      <c r="A7" s="100" t="s">
        <v>11</v>
      </c>
      <c r="B7" s="105">
        <v>46023</v>
      </c>
      <c r="C7">
        <v>99.033299999999997</v>
      </c>
      <c r="E7" s="101">
        <v>0.75</v>
      </c>
      <c r="F7" s="99">
        <v>0.99033300000000002</v>
      </c>
      <c r="G7" s="102">
        <v>1.3036279319655009E-2</v>
      </c>
      <c r="I7" s="151"/>
      <c r="J7" s="155"/>
      <c r="K7" s="155"/>
      <c r="L7" s="149"/>
      <c r="M7" s="149"/>
      <c r="N7" s="150"/>
    </row>
    <row r="8" spans="1:14" ht="14.4" customHeight="1" x14ac:dyDescent="0.3">
      <c r="A8" s="100" t="s">
        <v>11</v>
      </c>
      <c r="B8" s="105">
        <v>46082</v>
      </c>
      <c r="C8">
        <v>98.245900000000006</v>
      </c>
      <c r="E8" s="101">
        <v>0.91666666666666663</v>
      </c>
      <c r="F8" s="99">
        <v>0.98245900000000008</v>
      </c>
      <c r="G8" s="102">
        <v>1.9493009527127736E-2</v>
      </c>
      <c r="I8" s="156" t="s">
        <v>20</v>
      </c>
      <c r="J8" s="157">
        <f>E8</f>
        <v>0.91666666666666663</v>
      </c>
      <c r="K8" s="158">
        <f>G8</f>
        <v>1.9493009527127736E-2</v>
      </c>
      <c r="L8" s="159"/>
      <c r="M8" s="160"/>
      <c r="N8" s="150"/>
    </row>
    <row r="9" spans="1:14" ht="14.4" customHeight="1" x14ac:dyDescent="0.3">
      <c r="A9" s="179">
        <v>0.02</v>
      </c>
      <c r="B9" s="180">
        <v>46478</v>
      </c>
      <c r="C9" s="181">
        <f>K15</f>
        <v>99.495052985312853</v>
      </c>
      <c r="E9" s="101">
        <v>2</v>
      </c>
      <c r="F9" s="106"/>
      <c r="G9" s="182">
        <f>L11</f>
        <v>2.2793853811976364E-2</v>
      </c>
      <c r="I9" s="156" t="s">
        <v>21</v>
      </c>
      <c r="J9" s="161">
        <f>E10</f>
        <v>2.5</v>
      </c>
      <c r="K9" s="162">
        <f>G10</f>
        <v>2.4317320404983425E-2</v>
      </c>
      <c r="L9" s="163"/>
      <c r="M9" s="164"/>
      <c r="N9" s="150"/>
    </row>
    <row r="10" spans="1:14" ht="14.4" customHeight="1" x14ac:dyDescent="0.3">
      <c r="A10" s="107">
        <v>2.7E-2</v>
      </c>
      <c r="B10" s="20">
        <v>46661</v>
      </c>
      <c r="C10" s="88">
        <v>100.71</v>
      </c>
      <c r="E10" s="101">
        <v>2.5</v>
      </c>
      <c r="F10" s="106"/>
      <c r="G10" s="108">
        <v>2.4317320404983425E-2</v>
      </c>
      <c r="I10" s="165" t="s">
        <v>22</v>
      </c>
      <c r="J10" s="166">
        <v>1</v>
      </c>
      <c r="K10" s="166">
        <v>1.5</v>
      </c>
      <c r="L10" s="166">
        <v>2</v>
      </c>
      <c r="M10" s="166"/>
      <c r="N10" s="150"/>
    </row>
    <row r="11" spans="1:14" ht="14.4" customHeight="1" x14ac:dyDescent="0.3">
      <c r="A11" s="109">
        <v>5.0000000000000001E-3</v>
      </c>
      <c r="B11" s="22">
        <v>46935</v>
      </c>
      <c r="C11" s="12">
        <v>93.67</v>
      </c>
      <c r="E11" s="101">
        <v>3.25</v>
      </c>
      <c r="G11" s="110">
        <v>2.560408833450371E-2</v>
      </c>
      <c r="I11" s="167" t="s">
        <v>9</v>
      </c>
      <c r="J11" s="168">
        <f>(($J$9-J10)*$K$8+(J10-$J$8)*$K$9)/($J$9-$J$8)</f>
        <v>1.9746920625962245E-2</v>
      </c>
      <c r="K11" s="168">
        <f>(($J$9-K10)*$K$8+(K10-$J$8)*$K$9)/($J$9-$J$8)</f>
        <v>2.1270387218969303E-2</v>
      </c>
      <c r="L11" s="168">
        <f>(($J$9-L10)*$K$8+(L10-$J$8)*$K$9)/($J$9-$J$8)</f>
        <v>2.2793853811976364E-2</v>
      </c>
      <c r="M11" s="149"/>
      <c r="N11" s="150"/>
    </row>
    <row r="12" spans="1:14" ht="14.4" customHeight="1" x14ac:dyDescent="0.3">
      <c r="B12" s="100"/>
      <c r="C12" s="102"/>
      <c r="I12" s="167" t="s">
        <v>15</v>
      </c>
      <c r="J12" s="169">
        <f>K5*(1+J11)^(-J10)</f>
        <v>0.98063546922618727</v>
      </c>
      <c r="K12" s="169">
        <f>L5*(1+K11)^(-K10)</f>
        <v>0.9689221653857375</v>
      </c>
      <c r="L12" s="169">
        <f>M5*(1+L11)^(-L10)</f>
        <v>96.548416350700933</v>
      </c>
      <c r="M12" s="149"/>
      <c r="N12" s="150"/>
    </row>
    <row r="13" spans="1:14" ht="14.4" customHeight="1" x14ac:dyDescent="0.3">
      <c r="I13" s="148"/>
      <c r="J13" s="149"/>
      <c r="K13" s="149"/>
      <c r="L13" s="149"/>
      <c r="M13" s="149"/>
      <c r="N13" s="150"/>
    </row>
    <row r="14" spans="1:14" ht="14.4" customHeight="1" thickBot="1" x14ac:dyDescent="0.35">
      <c r="I14" s="148"/>
      <c r="J14" s="149" t="s">
        <v>24</v>
      </c>
      <c r="K14" s="170">
        <f>SUM(J6,J12:L12)</f>
        <v>99.495052985312853</v>
      </c>
      <c r="L14" s="149"/>
      <c r="M14" s="149"/>
      <c r="N14" s="150"/>
    </row>
    <row r="15" spans="1:14" ht="14.4" customHeight="1" thickBot="1" x14ac:dyDescent="0.35">
      <c r="B15" s="111" t="s">
        <v>31</v>
      </c>
      <c r="C15" s="112" t="s">
        <v>32</v>
      </c>
      <c r="D15" s="111" t="s">
        <v>33</v>
      </c>
      <c r="I15" s="148"/>
      <c r="J15" s="149" t="s">
        <v>25</v>
      </c>
      <c r="K15" s="171">
        <f>K14</f>
        <v>99.495052985312853</v>
      </c>
      <c r="L15" s="149"/>
      <c r="M15" s="149"/>
      <c r="N15" s="150"/>
    </row>
    <row r="16" spans="1:14" ht="14.4" customHeight="1" x14ac:dyDescent="0.3">
      <c r="B16" s="4" t="s">
        <v>34</v>
      </c>
      <c r="C16" s="290">
        <f>C9</f>
        <v>99.495052985312853</v>
      </c>
      <c r="D16" s="113" t="s">
        <v>35</v>
      </c>
      <c r="I16" s="148"/>
      <c r="J16" s="149"/>
      <c r="K16" s="149"/>
      <c r="L16" s="149"/>
      <c r="M16" s="149"/>
      <c r="N16" s="150"/>
    </row>
    <row r="17" spans="1:14" ht="14.4" customHeight="1" x14ac:dyDescent="0.3">
      <c r="B17" s="4" t="s">
        <v>36</v>
      </c>
      <c r="C17" s="291">
        <f>K35</f>
        <v>99.456729401436505</v>
      </c>
      <c r="D17" s="139">
        <f>C17-C16</f>
        <v>-3.8323583876348266E-2</v>
      </c>
      <c r="I17" s="148"/>
      <c r="J17" s="163"/>
      <c r="K17" s="149"/>
      <c r="L17" s="149"/>
      <c r="M17" s="149"/>
      <c r="N17" s="172"/>
    </row>
    <row r="18" spans="1:14" ht="14.4" customHeight="1" thickBot="1" x14ac:dyDescent="0.35">
      <c r="B18" s="71" t="s">
        <v>37</v>
      </c>
      <c r="C18" s="292">
        <f>K51</f>
        <v>99.533398963873054</v>
      </c>
      <c r="D18" s="140">
        <f>C18-C16</f>
        <v>3.8345978560201388E-2</v>
      </c>
      <c r="I18" s="173"/>
      <c r="J18" s="174"/>
      <c r="K18" s="174"/>
      <c r="L18" s="174"/>
      <c r="M18" s="174"/>
      <c r="N18" s="175"/>
    </row>
    <row r="23" spans="1:14" x14ac:dyDescent="0.3">
      <c r="A23" s="283" t="s">
        <v>38</v>
      </c>
      <c r="B23" s="283"/>
      <c r="C23" s="283"/>
      <c r="D23" s="283"/>
      <c r="I23" t="s">
        <v>10</v>
      </c>
      <c r="J23" s="152">
        <v>45931</v>
      </c>
      <c r="K23" s="152">
        <v>46113</v>
      </c>
      <c r="L23" s="152">
        <v>46296</v>
      </c>
      <c r="M23" s="152">
        <v>46478</v>
      </c>
    </row>
    <row r="24" spans="1:14" x14ac:dyDescent="0.3">
      <c r="A24" s="114" t="s">
        <v>39</v>
      </c>
      <c r="B24" s="114" t="s">
        <v>34</v>
      </c>
      <c r="C24" s="114" t="s">
        <v>40</v>
      </c>
      <c r="D24" s="100"/>
      <c r="E24" s="100"/>
      <c r="I24" t="s">
        <v>12</v>
      </c>
      <c r="J24">
        <v>0.5</v>
      </c>
      <c r="K24">
        <v>1</v>
      </c>
      <c r="L24">
        <v>1.5</v>
      </c>
      <c r="M24">
        <v>2</v>
      </c>
    </row>
    <row r="25" spans="1:14" x14ac:dyDescent="0.3">
      <c r="A25" s="101">
        <v>8.3333333333333329E-2</v>
      </c>
      <c r="B25" s="102">
        <f>G4</f>
        <v>1.5121238400839232E-4</v>
      </c>
      <c r="C25" s="102">
        <f>B25+0.02%</f>
        <v>3.512123840083923E-4</v>
      </c>
      <c r="D25" s="102"/>
      <c r="I25" t="s">
        <v>14</v>
      </c>
      <c r="J25">
        <v>1</v>
      </c>
      <c r="K25">
        <v>1</v>
      </c>
      <c r="L25">
        <v>1</v>
      </c>
      <c r="M25">
        <v>101</v>
      </c>
    </row>
    <row r="26" spans="1:14" x14ac:dyDescent="0.3">
      <c r="A26" s="101">
        <v>0.41666666666666669</v>
      </c>
      <c r="B26" s="102">
        <f t="shared" ref="B26:B29" si="0">G5</f>
        <v>4.2125271464366065E-3</v>
      </c>
      <c r="C26" s="102">
        <f>B26+0.02%</f>
        <v>4.4125271464366062E-3</v>
      </c>
      <c r="D26" s="102"/>
      <c r="I26" t="s">
        <v>15</v>
      </c>
      <c r="J26" s="106">
        <f>J25*(1+C27)^(-J24)</f>
        <v>0.99697988852257202</v>
      </c>
    </row>
    <row r="27" spans="1:14" x14ac:dyDescent="0.3">
      <c r="A27" s="101">
        <v>0.5</v>
      </c>
      <c r="B27" s="102">
        <f t="shared" si="0"/>
        <v>5.8676967789799139E-3</v>
      </c>
      <c r="C27" s="102">
        <f>B27+0.02%</f>
        <v>6.0676967789799136E-3</v>
      </c>
      <c r="D27" s="102"/>
    </row>
    <row r="28" spans="1:14" x14ac:dyDescent="0.3">
      <c r="A28" s="101">
        <v>0.75</v>
      </c>
      <c r="B28" s="102">
        <f t="shared" si="0"/>
        <v>1.3036279319655009E-2</v>
      </c>
      <c r="C28" s="102">
        <f>B28+0.02%</f>
        <v>1.3236279319655009E-2</v>
      </c>
      <c r="D28" s="102"/>
      <c r="I28" t="s">
        <v>20</v>
      </c>
      <c r="J28" s="115">
        <f>E8</f>
        <v>0.91666666666666663</v>
      </c>
      <c r="K28" s="102">
        <f>C29</f>
        <v>1.9693009527127735E-2</v>
      </c>
    </row>
    <row r="29" spans="1:14" x14ac:dyDescent="0.3">
      <c r="A29" s="101">
        <v>0.91666666666666663</v>
      </c>
      <c r="B29" s="102">
        <f t="shared" si="0"/>
        <v>1.9493009527127736E-2</v>
      </c>
      <c r="C29" s="102">
        <f>B29+0.02%</f>
        <v>1.9693009527127735E-2</v>
      </c>
      <c r="D29" s="102"/>
      <c r="I29" t="s">
        <v>21</v>
      </c>
      <c r="J29" s="116">
        <f>E10</f>
        <v>2.5</v>
      </c>
      <c r="K29" s="117">
        <f>C33</f>
        <v>2.4517320404983424E-2</v>
      </c>
    </row>
    <row r="30" spans="1:14" x14ac:dyDescent="0.3">
      <c r="A30" s="101">
        <v>1</v>
      </c>
      <c r="B30" s="98">
        <f>J11</f>
        <v>1.9746920625962245E-2</v>
      </c>
      <c r="C30" s="98">
        <f>J31</f>
        <v>1.9946920625962244E-2</v>
      </c>
      <c r="D30" s="102"/>
      <c r="E30" s="118"/>
      <c r="I30" s="119" t="s">
        <v>22</v>
      </c>
      <c r="J30" s="120">
        <v>1</v>
      </c>
      <c r="K30" s="119">
        <v>1.5</v>
      </c>
      <c r="L30" s="119">
        <v>2</v>
      </c>
    </row>
    <row r="31" spans="1:14" x14ac:dyDescent="0.3">
      <c r="A31" s="101">
        <v>1.5</v>
      </c>
      <c r="B31" s="98">
        <f>K11</f>
        <v>2.1270387218969303E-2</v>
      </c>
      <c r="C31" s="98">
        <f>K31</f>
        <v>2.1470387218969302E-2</v>
      </c>
      <c r="D31" s="102"/>
      <c r="I31" t="s">
        <v>9</v>
      </c>
      <c r="J31" s="168">
        <f>(($J$29-J30)*$K$28+(J30-$J$28)*$K$29)/($J$29-$J$28)</f>
        <v>1.9946920625962244E-2</v>
      </c>
      <c r="K31" s="168">
        <f t="shared" ref="K31:L31" si="1">(($J$29-K30)*$K$28+(K30-$J$28)*$K$29)/($J$29-$J$28)</f>
        <v>2.1470387218969302E-2</v>
      </c>
      <c r="L31" s="168">
        <f t="shared" si="1"/>
        <v>2.2993853811976366E-2</v>
      </c>
    </row>
    <row r="32" spans="1:14" x14ac:dyDescent="0.3">
      <c r="A32" s="101">
        <v>2</v>
      </c>
      <c r="B32" s="102">
        <f>G9</f>
        <v>2.2793853811976364E-2</v>
      </c>
      <c r="C32" s="102">
        <f>B32+0.02%</f>
        <v>2.2993853811976363E-2</v>
      </c>
      <c r="D32" s="102"/>
      <c r="I32" s="72" t="s">
        <v>15</v>
      </c>
      <c r="J32" s="169">
        <f>K25*(1+J31)^(-J30)</f>
        <v>0.98044317775505385</v>
      </c>
      <c r="K32" s="169">
        <f>L25*(1+K31)^(-K30)</f>
        <v>0.96863761242713609</v>
      </c>
      <c r="L32" s="169">
        <f>M25*(1+L31)^(-L30)</f>
        <v>96.510668722731737</v>
      </c>
    </row>
    <row r="33" spans="1:13" x14ac:dyDescent="0.3">
      <c r="A33" s="101">
        <v>2.5</v>
      </c>
      <c r="B33" s="102">
        <f>G10</f>
        <v>2.4317320404983425E-2</v>
      </c>
      <c r="C33" s="102">
        <f>B33+0.02%</f>
        <v>2.4517320404983424E-2</v>
      </c>
    </row>
    <row r="34" spans="1:13" ht="15" thickBot="1" x14ac:dyDescent="0.35">
      <c r="A34" s="101">
        <v>3.25</v>
      </c>
      <c r="B34" s="102">
        <f>G11</f>
        <v>2.560408833450371E-2</v>
      </c>
      <c r="C34" s="102">
        <f>B34+0.02%</f>
        <v>2.5804088334503709E-2</v>
      </c>
      <c r="D34" s="121"/>
      <c r="E34" s="121"/>
      <c r="J34" t="s">
        <v>24</v>
      </c>
      <c r="K34" s="122">
        <f>SUM(J26,J32:L32)</f>
        <v>99.456729401436505</v>
      </c>
    </row>
    <row r="35" spans="1:13" ht="15" thickBot="1" x14ac:dyDescent="0.35">
      <c r="C35" s="121"/>
      <c r="D35" s="121"/>
      <c r="E35" s="121"/>
      <c r="J35" t="s">
        <v>25</v>
      </c>
      <c r="K35" s="123">
        <f>K34</f>
        <v>99.456729401436505</v>
      </c>
    </row>
    <row r="36" spans="1:13" x14ac:dyDescent="0.3">
      <c r="A36" s="278" t="s">
        <v>41</v>
      </c>
      <c r="B36" s="278"/>
      <c r="C36" s="278"/>
      <c r="D36" s="278"/>
    </row>
    <row r="37" spans="1:13" x14ac:dyDescent="0.3">
      <c r="A37" s="124"/>
      <c r="B37" s="124"/>
      <c r="C37" s="124"/>
      <c r="D37" s="124"/>
    </row>
    <row r="39" spans="1:13" x14ac:dyDescent="0.3">
      <c r="A39" s="283" t="s">
        <v>42</v>
      </c>
      <c r="B39" s="283"/>
      <c r="C39" s="283"/>
      <c r="D39" s="283"/>
      <c r="I39" t="s">
        <v>10</v>
      </c>
      <c r="J39" s="152">
        <v>45931</v>
      </c>
      <c r="K39" s="152">
        <v>46113</v>
      </c>
      <c r="L39" s="152">
        <v>46296</v>
      </c>
      <c r="M39" s="152">
        <v>46478</v>
      </c>
    </row>
    <row r="40" spans="1:13" x14ac:dyDescent="0.3">
      <c r="A40" s="114" t="s">
        <v>39</v>
      </c>
      <c r="B40" s="114" t="s">
        <v>34</v>
      </c>
      <c r="C40" s="114" t="s">
        <v>43</v>
      </c>
      <c r="D40" s="100"/>
      <c r="E40" s="100"/>
      <c r="I40" t="s">
        <v>12</v>
      </c>
      <c r="J40">
        <v>0.5</v>
      </c>
      <c r="K40">
        <v>1</v>
      </c>
      <c r="L40">
        <v>1.5</v>
      </c>
      <c r="M40">
        <v>2</v>
      </c>
    </row>
    <row r="41" spans="1:13" x14ac:dyDescent="0.3">
      <c r="A41" s="101">
        <v>8.3333333333333329E-2</v>
      </c>
      <c r="B41" s="102">
        <f>G4</f>
        <v>1.5121238400839232E-4</v>
      </c>
      <c r="C41" s="102">
        <f>B41-0.02%</f>
        <v>-4.878761599160769E-5</v>
      </c>
      <c r="I41" t="s">
        <v>14</v>
      </c>
      <c r="J41">
        <v>1</v>
      </c>
      <c r="K41">
        <v>1</v>
      </c>
      <c r="L41">
        <v>1</v>
      </c>
      <c r="M41">
        <v>101</v>
      </c>
    </row>
    <row r="42" spans="1:13" x14ac:dyDescent="0.3">
      <c r="A42" s="101">
        <v>0.41666666666666669</v>
      </c>
      <c r="B42" s="102">
        <f t="shared" ref="B42:B45" si="2">G5</f>
        <v>4.2125271464366065E-3</v>
      </c>
      <c r="C42" s="102">
        <f t="shared" ref="C42:C44" si="3">B42-0.02%</f>
        <v>4.0125271464366069E-3</v>
      </c>
      <c r="I42" t="s">
        <v>15</v>
      </c>
      <c r="J42" s="106">
        <f>J41*(1+C43)^(-J40)</f>
        <v>0.99717814104183078</v>
      </c>
    </row>
    <row r="43" spans="1:13" x14ac:dyDescent="0.3">
      <c r="A43" s="101">
        <v>0.5</v>
      </c>
      <c r="B43" s="102">
        <f t="shared" si="2"/>
        <v>5.8676967789799139E-3</v>
      </c>
      <c r="C43" s="102">
        <f t="shared" si="3"/>
        <v>5.6676967789799143E-3</v>
      </c>
    </row>
    <row r="44" spans="1:13" x14ac:dyDescent="0.3">
      <c r="A44" s="101">
        <v>0.75</v>
      </c>
      <c r="B44" s="102">
        <f t="shared" si="2"/>
        <v>1.3036279319655009E-2</v>
      </c>
      <c r="C44" s="102">
        <f t="shared" si="3"/>
        <v>1.2836279319655008E-2</v>
      </c>
      <c r="I44" t="s">
        <v>20</v>
      </c>
      <c r="J44" s="115">
        <f>E8</f>
        <v>0.91666666666666663</v>
      </c>
      <c r="K44" s="102">
        <f>C45</f>
        <v>1.9293009527127737E-2</v>
      </c>
    </row>
    <row r="45" spans="1:13" x14ac:dyDescent="0.3">
      <c r="A45" s="101">
        <v>0.91666666666666663</v>
      </c>
      <c r="B45" s="102">
        <f t="shared" si="2"/>
        <v>1.9493009527127736E-2</v>
      </c>
      <c r="C45" s="102">
        <f>B45-0.02%</f>
        <v>1.9293009527127737E-2</v>
      </c>
      <c r="I45" t="s">
        <v>21</v>
      </c>
      <c r="J45" s="116">
        <f>E10</f>
        <v>2.5</v>
      </c>
      <c r="K45" s="117">
        <f>C49</f>
        <v>2.4117320404983426E-2</v>
      </c>
    </row>
    <row r="46" spans="1:13" x14ac:dyDescent="0.3">
      <c r="A46" s="101">
        <v>1</v>
      </c>
      <c r="B46" s="98">
        <f>J11</f>
        <v>1.9746920625962245E-2</v>
      </c>
      <c r="C46" s="98">
        <f>J47</f>
        <v>1.9546920625962246E-2</v>
      </c>
      <c r="E46" s="118"/>
      <c r="I46" s="119" t="s">
        <v>22</v>
      </c>
      <c r="J46" s="120">
        <v>1</v>
      </c>
      <c r="K46" s="119">
        <v>1.5</v>
      </c>
      <c r="L46" s="119">
        <v>2</v>
      </c>
    </row>
    <row r="47" spans="1:13" x14ac:dyDescent="0.3">
      <c r="A47" s="101">
        <v>1.5</v>
      </c>
      <c r="B47" s="98">
        <f>K11</f>
        <v>2.1270387218969303E-2</v>
      </c>
      <c r="C47" s="98">
        <f>K47</f>
        <v>2.1070387218969304E-2</v>
      </c>
      <c r="I47" t="s">
        <v>9</v>
      </c>
      <c r="J47" s="168">
        <f>(($J$29-J46)*$K$44+(J46-$J$28)*$K$45)/($J$29-$J$28)</f>
        <v>1.9546920625962246E-2</v>
      </c>
      <c r="K47" s="168">
        <f t="shared" ref="K47:L47" si="4">(($J$29-K46)*$K$44+(K46-$J$28)*$K$45)/($J$29-$J$28)</f>
        <v>2.1070387218969304E-2</v>
      </c>
      <c r="L47" s="168">
        <f t="shared" si="4"/>
        <v>2.2593853811976369E-2</v>
      </c>
    </row>
    <row r="48" spans="1:13" x14ac:dyDescent="0.3">
      <c r="A48" s="101">
        <v>2</v>
      </c>
      <c r="B48" s="102">
        <f>G9</f>
        <v>2.2793853811976364E-2</v>
      </c>
      <c r="C48" s="102">
        <f>B48-0.02%</f>
        <v>2.2593853811976365E-2</v>
      </c>
      <c r="I48" s="72" t="s">
        <v>15</v>
      </c>
      <c r="J48" s="169">
        <f>K41*(1+J47)^(-J46)</f>
        <v>0.98082783613925184</v>
      </c>
      <c r="K48" s="169">
        <f t="shared" ref="K48:L48" si="5">L41*(1+K47)^(-K46)</f>
        <v>0.96920685769168224</v>
      </c>
      <c r="L48" s="169">
        <f t="shared" si="5"/>
        <v>96.586186129000296</v>
      </c>
    </row>
    <row r="49" spans="1:11" x14ac:dyDescent="0.3">
      <c r="A49" s="101">
        <v>2.5</v>
      </c>
      <c r="B49" s="102">
        <f>G10</f>
        <v>2.4317320404983425E-2</v>
      </c>
      <c r="C49" s="102">
        <f>B49-0.02%</f>
        <v>2.4117320404983426E-2</v>
      </c>
    </row>
    <row r="50" spans="1:11" ht="15" thickBot="1" x14ac:dyDescent="0.35">
      <c r="A50" s="101">
        <v>3.25</v>
      </c>
      <c r="B50" s="102">
        <f>G11</f>
        <v>2.560408833450371E-2</v>
      </c>
      <c r="C50" s="102">
        <f>B50-0.02%</f>
        <v>2.5404088334503711E-2</v>
      </c>
      <c r="D50" s="121"/>
      <c r="E50" s="121"/>
      <c r="J50" t="s">
        <v>24</v>
      </c>
      <c r="K50" s="122">
        <f>SUM(J42,J48:L48)</f>
        <v>99.533398963873054</v>
      </c>
    </row>
    <row r="51" spans="1:11" ht="15" thickBot="1" x14ac:dyDescent="0.35">
      <c r="B51" s="121"/>
      <c r="C51" s="121"/>
      <c r="D51" s="121"/>
      <c r="E51" s="121"/>
      <c r="J51" t="s">
        <v>25</v>
      </c>
      <c r="K51" s="123">
        <f>K50</f>
        <v>99.533398963873054</v>
      </c>
    </row>
    <row r="52" spans="1:11" x14ac:dyDescent="0.3">
      <c r="A52" s="278" t="s">
        <v>44</v>
      </c>
      <c r="B52" s="278"/>
      <c r="C52" s="278"/>
      <c r="D52" s="278"/>
    </row>
    <row r="53" spans="1:11" x14ac:dyDescent="0.3">
      <c r="B53" s="121"/>
    </row>
  </sheetData>
  <mergeCells count="6">
    <mergeCell ref="A52:D52"/>
    <mergeCell ref="I1:N1"/>
    <mergeCell ref="K6:L6"/>
    <mergeCell ref="A23:D23"/>
    <mergeCell ref="A36:D36"/>
    <mergeCell ref="A39:D3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00642-0295-4999-8B80-3AD14D0FD847}">
  <dimension ref="A1:S64"/>
  <sheetViews>
    <sheetView topLeftCell="A36" zoomScaleNormal="100" workbookViewId="0">
      <selection activeCell="G17" sqref="G17"/>
    </sheetView>
  </sheetViews>
  <sheetFormatPr defaultRowHeight="14.4" x14ac:dyDescent="0.3"/>
  <cols>
    <col min="1" max="1" width="9.33203125" style="100" customWidth="1"/>
    <col min="2" max="2" width="14.6640625" customWidth="1"/>
    <col min="3" max="3" width="11.44140625" customWidth="1"/>
    <col min="4" max="4" width="10.21875" customWidth="1"/>
    <col min="5" max="5" width="17.6640625" customWidth="1"/>
    <col min="7" max="7" width="10.44140625" customWidth="1"/>
    <col min="9" max="9" width="14.88671875" customWidth="1"/>
    <col min="10" max="10" width="8.6640625" customWidth="1"/>
    <col min="11" max="18" width="9.6640625" customWidth="1"/>
    <col min="19" max="19" width="11.5546875" customWidth="1"/>
  </cols>
  <sheetData>
    <row r="1" spans="1:19" x14ac:dyDescent="0.3">
      <c r="A1" s="255" t="s">
        <v>0</v>
      </c>
      <c r="B1" s="104">
        <v>45383</v>
      </c>
      <c r="C1" s="103"/>
      <c r="D1" s="103"/>
      <c r="E1" s="103" t="s">
        <v>1</v>
      </c>
      <c r="I1" s="284" t="s">
        <v>54</v>
      </c>
      <c r="J1" s="285"/>
      <c r="K1" s="285"/>
      <c r="L1" s="285"/>
      <c r="M1" s="285"/>
      <c r="N1" s="285"/>
      <c r="O1" s="285"/>
      <c r="P1" s="285"/>
      <c r="Q1" s="285"/>
      <c r="R1" s="285"/>
      <c r="S1" s="286"/>
    </row>
    <row r="2" spans="1:19" x14ac:dyDescent="0.3">
      <c r="A2" s="256"/>
      <c r="B2" s="105"/>
      <c r="I2" s="125"/>
      <c r="S2" s="126"/>
    </row>
    <row r="3" spans="1:19" x14ac:dyDescent="0.3">
      <c r="A3" s="256" t="s">
        <v>4</v>
      </c>
      <c r="B3" s="105" t="s">
        <v>5</v>
      </c>
      <c r="C3" t="s">
        <v>6</v>
      </c>
      <c r="E3" t="s">
        <v>7</v>
      </c>
      <c r="F3" t="s">
        <v>8</v>
      </c>
      <c r="G3" t="s">
        <v>9</v>
      </c>
      <c r="I3" s="127" t="s">
        <v>10</v>
      </c>
      <c r="K3" s="183">
        <v>45809</v>
      </c>
      <c r="L3" s="183">
        <v>45992</v>
      </c>
      <c r="M3" s="183">
        <v>46174</v>
      </c>
      <c r="N3" s="183">
        <v>46357</v>
      </c>
      <c r="O3" s="183">
        <v>46539</v>
      </c>
      <c r="P3" s="183">
        <v>46722</v>
      </c>
      <c r="Q3" s="183">
        <v>46905</v>
      </c>
      <c r="R3" s="183">
        <v>47088</v>
      </c>
      <c r="S3" s="197">
        <v>47270</v>
      </c>
    </row>
    <row r="4" spans="1:19" x14ac:dyDescent="0.3">
      <c r="A4" s="100" t="s">
        <v>11</v>
      </c>
      <c r="B4" s="105">
        <v>45778</v>
      </c>
      <c r="C4">
        <v>99.998739999999998</v>
      </c>
      <c r="E4" s="101">
        <v>8.3333333333333329E-2</v>
      </c>
      <c r="F4">
        <v>0.99998739999999997</v>
      </c>
      <c r="G4" s="102">
        <v>1.5121238400839232E-4</v>
      </c>
      <c r="I4" s="127" t="s">
        <v>13</v>
      </c>
      <c r="K4" s="184">
        <f>2/12</f>
        <v>0.16666666666666666</v>
      </c>
      <c r="L4" s="184">
        <f t="shared" ref="L4:S4" si="0">K4+0.5</f>
        <v>0.66666666666666663</v>
      </c>
      <c r="M4" s="184">
        <f t="shared" si="0"/>
        <v>1.1666666666666665</v>
      </c>
      <c r="N4" s="184">
        <f t="shared" si="0"/>
        <v>1.6666666666666665</v>
      </c>
      <c r="O4" s="184">
        <f t="shared" si="0"/>
        <v>2.1666666666666665</v>
      </c>
      <c r="P4" s="184">
        <f t="shared" si="0"/>
        <v>2.6666666666666665</v>
      </c>
      <c r="Q4" s="184">
        <f t="shared" si="0"/>
        <v>3.1666666666666665</v>
      </c>
      <c r="R4" s="184">
        <f t="shared" si="0"/>
        <v>3.6666666666666665</v>
      </c>
      <c r="S4" s="198">
        <f t="shared" si="0"/>
        <v>4.1666666666666661</v>
      </c>
    </row>
    <row r="5" spans="1:19" x14ac:dyDescent="0.3">
      <c r="A5" s="100" t="s">
        <v>11</v>
      </c>
      <c r="B5" s="105">
        <v>45901</v>
      </c>
      <c r="C5">
        <v>99.825000000000003</v>
      </c>
      <c r="E5" s="101">
        <v>0.41666666666666669</v>
      </c>
      <c r="F5">
        <v>0.99825000000000008</v>
      </c>
      <c r="G5" s="102">
        <v>4.2125271464366065E-3</v>
      </c>
      <c r="I5" s="127" t="s">
        <v>14</v>
      </c>
      <c r="K5" s="185">
        <v>1</v>
      </c>
      <c r="L5" s="185">
        <v>1</v>
      </c>
      <c r="M5" s="185">
        <v>1</v>
      </c>
      <c r="N5" s="185">
        <v>1</v>
      </c>
      <c r="O5" s="185">
        <v>1</v>
      </c>
      <c r="P5" s="185">
        <v>1</v>
      </c>
      <c r="Q5" s="185">
        <v>1</v>
      </c>
      <c r="R5" s="185">
        <v>1</v>
      </c>
      <c r="S5" s="199">
        <v>101</v>
      </c>
    </row>
    <row r="6" spans="1:19" x14ac:dyDescent="0.3">
      <c r="A6" s="100" t="s">
        <v>11</v>
      </c>
      <c r="B6" s="105">
        <v>45931</v>
      </c>
      <c r="C6">
        <v>99.707899999999995</v>
      </c>
      <c r="E6" s="101">
        <v>0.5</v>
      </c>
      <c r="F6">
        <v>0.99707899999999994</v>
      </c>
      <c r="G6" s="102">
        <v>5.8676967789799139E-3</v>
      </c>
      <c r="I6" s="127" t="s">
        <v>9</v>
      </c>
      <c r="J6" s="190"/>
      <c r="K6" s="130">
        <f>((K4-$J$9)*$K$10+($J$10-K4)*$K$9)/($J$10-$J$9)</f>
        <v>1.1665410746154457E-3</v>
      </c>
      <c r="L6" s="191">
        <f>((L4-$J$11)*$K$12+($J$12-L4)*$K$11)/($J$12-$J$11)</f>
        <v>1.0646751806096644E-2</v>
      </c>
      <c r="M6" s="192">
        <f>((M4-$J$13)*$K$14+($J$14-M4)*$K$13)/($J$14-$J$13)</f>
        <v>2.0254742823631263E-2</v>
      </c>
      <c r="N6" s="192">
        <f>((N4-$J$13)*$K$14+($J$14-N4)*$K$13)/($J$14-$J$13)</f>
        <v>2.1778209416638321E-2</v>
      </c>
      <c r="O6" s="192">
        <f>((O4-$J$13)*$K$14+($J$14-O4)*$K$13)/($J$14-$J$13)</f>
        <v>2.3301676009645386E-2</v>
      </c>
      <c r="P6" s="193">
        <f>((P4-$J$14)*$K$15+($J$15-P4)*$K$14)/($J$15-$J$14)</f>
        <v>2.460326883376571E-2</v>
      </c>
      <c r="Q6" s="193">
        <f>((Q4-$J$14)*$K$15+($J$15-Q4)*$K$14)/($J$15-$J$14)</f>
        <v>2.5461114120112566E-2</v>
      </c>
      <c r="R6" s="193">
        <f>((R4-$J$14)*$K$15+($J$15-R4)*$K$14)/($J$15-$J$14)</f>
        <v>2.6318959406459425E-2</v>
      </c>
      <c r="S6" s="200">
        <f>((S4-$J$14)*$K$15+($J$15-S4)*$K$14)/($J$15-$J$14)</f>
        <v>2.7176804692806273E-2</v>
      </c>
    </row>
    <row r="7" spans="1:19" x14ac:dyDescent="0.3">
      <c r="A7" s="100" t="s">
        <v>11</v>
      </c>
      <c r="B7" s="105">
        <v>46023</v>
      </c>
      <c r="C7">
        <v>99.033299999999997</v>
      </c>
      <c r="E7" s="101">
        <v>0.75</v>
      </c>
      <c r="F7">
        <v>0.99033300000000002</v>
      </c>
      <c r="G7" s="102">
        <v>1.3036279319655009E-2</v>
      </c>
      <c r="I7" s="127" t="s">
        <v>19</v>
      </c>
      <c r="J7" s="106"/>
      <c r="K7" s="106">
        <f t="shared" ref="K7:S7" si="1">K5*(1+K6)^(-K4)</f>
        <v>0.99980570867796015</v>
      </c>
      <c r="L7" s="106">
        <f t="shared" si="1"/>
        <v>0.99296454931799438</v>
      </c>
      <c r="M7" s="106">
        <f t="shared" si="1"/>
        <v>0.97687712616645772</v>
      </c>
      <c r="N7" s="106">
        <f t="shared" si="1"/>
        <v>0.9647296040096609</v>
      </c>
      <c r="O7" s="106">
        <f t="shared" si="1"/>
        <v>0.95131719841913365</v>
      </c>
      <c r="P7" s="106">
        <f t="shared" si="1"/>
        <v>0.93724119212401558</v>
      </c>
      <c r="Q7" s="106">
        <f t="shared" si="1"/>
        <v>0.92346947538627633</v>
      </c>
      <c r="R7" s="106">
        <f t="shared" si="1"/>
        <v>0.90914127832037706</v>
      </c>
      <c r="S7" s="128">
        <f t="shared" si="1"/>
        <v>90.323278179708794</v>
      </c>
    </row>
    <row r="8" spans="1:19" x14ac:dyDescent="0.3">
      <c r="A8" s="100" t="s">
        <v>11</v>
      </c>
      <c r="B8" s="105">
        <v>46082</v>
      </c>
      <c r="C8">
        <v>98.245900000000006</v>
      </c>
      <c r="E8" s="101">
        <v>0.91666666666666663</v>
      </c>
      <c r="F8" s="106">
        <v>0.98245900000000008</v>
      </c>
      <c r="G8" s="102">
        <v>1.9493009527127736E-2</v>
      </c>
      <c r="I8" s="125"/>
      <c r="S8" s="126"/>
    </row>
    <row r="9" spans="1:19" x14ac:dyDescent="0.3">
      <c r="A9" s="216">
        <v>0.02</v>
      </c>
      <c r="B9" s="176">
        <v>46478</v>
      </c>
      <c r="C9" s="177">
        <v>99.495052985312853</v>
      </c>
      <c r="D9" s="131"/>
      <c r="E9" s="132">
        <v>2</v>
      </c>
      <c r="F9" s="133"/>
      <c r="G9" s="178">
        <v>2.2793853811976364E-2</v>
      </c>
      <c r="I9" s="201" t="s">
        <v>46</v>
      </c>
      <c r="J9" s="188">
        <f>E4</f>
        <v>8.3333333333333329E-2</v>
      </c>
      <c r="K9" s="189">
        <f>G4</f>
        <v>1.5121238400839232E-4</v>
      </c>
      <c r="S9" s="126"/>
    </row>
    <row r="10" spans="1:19" x14ac:dyDescent="0.3">
      <c r="A10" s="217">
        <v>2.7E-2</v>
      </c>
      <c r="B10" s="20">
        <v>46661</v>
      </c>
      <c r="C10" s="9">
        <v>100.71</v>
      </c>
      <c r="E10" s="101">
        <v>2.5</v>
      </c>
      <c r="F10" s="106"/>
      <c r="G10" s="108">
        <v>2.4317320404983425E-2</v>
      </c>
      <c r="I10" s="201" t="s">
        <v>47</v>
      </c>
      <c r="J10" s="188">
        <f>E5</f>
        <v>0.41666666666666669</v>
      </c>
      <c r="K10" s="189">
        <f>G5</f>
        <v>4.2125271464366065E-3</v>
      </c>
      <c r="S10" s="126"/>
    </row>
    <row r="11" spans="1:19" ht="15" thickBot="1" x14ac:dyDescent="0.35">
      <c r="A11" s="218">
        <v>5.0000000000000001E-3</v>
      </c>
      <c r="B11" s="22">
        <v>46935</v>
      </c>
      <c r="C11" s="12">
        <v>93.67</v>
      </c>
      <c r="E11" s="101">
        <v>3.25</v>
      </c>
      <c r="G11" s="110">
        <v>2.560408833450371E-2</v>
      </c>
      <c r="I11" s="202" t="s">
        <v>55</v>
      </c>
      <c r="J11" s="188">
        <f>E6</f>
        <v>0.5</v>
      </c>
      <c r="K11" s="189">
        <f>G6</f>
        <v>5.8676967789799139E-3</v>
      </c>
      <c r="L11" s="186"/>
      <c r="M11" s="186"/>
      <c r="N11" s="186"/>
      <c r="O11" s="103" t="s">
        <v>26</v>
      </c>
      <c r="Q11" s="106">
        <f>SUM(K7:S7)</f>
        <v>97.978824312130669</v>
      </c>
      <c r="S11" s="126"/>
    </row>
    <row r="12" spans="1:19" ht="15" thickBot="1" x14ac:dyDescent="0.35">
      <c r="A12" s="293">
        <v>0.02</v>
      </c>
      <c r="B12" s="294">
        <v>47270</v>
      </c>
      <c r="C12" s="295">
        <f>Q12</f>
        <v>97.312157645463998</v>
      </c>
      <c r="E12" s="219">
        <f>50/12</f>
        <v>4.166666666666667</v>
      </c>
      <c r="G12" s="296">
        <f>S6</f>
        <v>2.7176804692806273E-2</v>
      </c>
      <c r="I12" s="202" t="s">
        <v>56</v>
      </c>
      <c r="J12" s="188">
        <f>E7</f>
        <v>0.75</v>
      </c>
      <c r="K12" s="189">
        <f>G7</f>
        <v>1.3036279319655009E-2</v>
      </c>
      <c r="L12" s="134"/>
      <c r="M12" s="134"/>
      <c r="N12" s="134"/>
      <c r="O12" s="103" t="s">
        <v>25</v>
      </c>
      <c r="Q12" s="258">
        <f>Q11-Q13</f>
        <v>97.312157645463998</v>
      </c>
      <c r="S12" s="126"/>
    </row>
    <row r="13" spans="1:19" x14ac:dyDescent="0.3">
      <c r="I13" s="203" t="s">
        <v>20</v>
      </c>
      <c r="J13" s="188">
        <f>E8</f>
        <v>0.91666666666666663</v>
      </c>
      <c r="K13" s="189">
        <f>G8</f>
        <v>1.9493009527127736E-2</v>
      </c>
      <c r="L13" s="194"/>
      <c r="O13" s="103" t="s">
        <v>45</v>
      </c>
      <c r="Q13" s="106">
        <f>2*4/12</f>
        <v>0.66666666666666663</v>
      </c>
      <c r="S13" s="126"/>
    </row>
    <row r="14" spans="1:19" x14ac:dyDescent="0.3">
      <c r="I14" s="204" t="s">
        <v>57</v>
      </c>
      <c r="J14" s="195">
        <f>E10</f>
        <v>2.5</v>
      </c>
      <c r="K14" s="196">
        <f>G10</f>
        <v>2.4317320404983425E-2</v>
      </c>
      <c r="S14" s="128"/>
    </row>
    <row r="15" spans="1:19" ht="15" thickBot="1" x14ac:dyDescent="0.35">
      <c r="I15" s="205" t="s">
        <v>23</v>
      </c>
      <c r="J15" s="206">
        <f>E11</f>
        <v>3.25</v>
      </c>
      <c r="K15" s="207">
        <f>G11</f>
        <v>2.560408833450371E-2</v>
      </c>
      <c r="L15" s="208"/>
      <c r="M15" s="208"/>
      <c r="N15" s="208"/>
      <c r="O15" s="208"/>
      <c r="P15" s="208"/>
      <c r="Q15" s="208"/>
      <c r="R15" s="208"/>
      <c r="S15" s="209"/>
    </row>
    <row r="16" spans="1:19" x14ac:dyDescent="0.3">
      <c r="B16" s="111" t="s">
        <v>31</v>
      </c>
      <c r="C16" s="135" t="s">
        <v>32</v>
      </c>
      <c r="D16" s="111" t="s">
        <v>33</v>
      </c>
      <c r="S16" s="136"/>
    </row>
    <row r="17" spans="1:19" x14ac:dyDescent="0.3">
      <c r="B17" s="4" t="s">
        <v>34</v>
      </c>
      <c r="C17" s="137">
        <f>C12</f>
        <v>97.312157645463998</v>
      </c>
      <c r="D17" s="138" t="s">
        <v>35</v>
      </c>
      <c r="S17" s="106"/>
    </row>
    <row r="18" spans="1:19" x14ac:dyDescent="0.3">
      <c r="B18" s="4" t="s">
        <v>36</v>
      </c>
      <c r="C18" s="139">
        <f>Q34</f>
        <v>97.236104449822264</v>
      </c>
      <c r="D18" s="139">
        <f>C18-C17</f>
        <v>-7.6053195641733851E-2</v>
      </c>
    </row>
    <row r="19" spans="1:19" x14ac:dyDescent="0.3">
      <c r="B19" s="71" t="s">
        <v>37</v>
      </c>
      <c r="C19" s="140">
        <f>Q56</f>
        <v>97.388286521123121</v>
      </c>
      <c r="D19" s="140">
        <f>C19-C17</f>
        <v>7.6128875659122741E-2</v>
      </c>
    </row>
    <row r="22" spans="1:19" ht="15" thickBot="1" x14ac:dyDescent="0.35"/>
    <row r="23" spans="1:19" x14ac:dyDescent="0.3">
      <c r="I23" s="284" t="s">
        <v>54</v>
      </c>
      <c r="J23" s="285"/>
      <c r="K23" s="285"/>
      <c r="L23" s="285"/>
      <c r="M23" s="285"/>
      <c r="N23" s="285"/>
      <c r="O23" s="285"/>
      <c r="P23" s="285"/>
      <c r="Q23" s="285"/>
      <c r="R23" s="285"/>
      <c r="S23" s="286"/>
    </row>
    <row r="24" spans="1:19" x14ac:dyDescent="0.3">
      <c r="A24" s="283" t="s">
        <v>38</v>
      </c>
      <c r="B24" s="283"/>
      <c r="C24" s="283"/>
      <c r="D24" s="283"/>
      <c r="E24" s="283"/>
      <c r="I24" s="125"/>
      <c r="S24" s="126"/>
    </row>
    <row r="25" spans="1:19" x14ac:dyDescent="0.3">
      <c r="A25" s="114" t="s">
        <v>39</v>
      </c>
      <c r="B25" s="114" t="s">
        <v>34</v>
      </c>
      <c r="C25" s="114" t="s">
        <v>40</v>
      </c>
      <c r="D25" s="100"/>
      <c r="E25" s="100"/>
      <c r="I25" s="127" t="s">
        <v>10</v>
      </c>
      <c r="K25" s="183">
        <v>45809</v>
      </c>
      <c r="L25" s="183">
        <v>45992</v>
      </c>
      <c r="M25" s="183">
        <v>46174</v>
      </c>
      <c r="N25" s="183">
        <v>46357</v>
      </c>
      <c r="O25" s="183">
        <v>46539</v>
      </c>
      <c r="P25" s="183">
        <v>46722</v>
      </c>
      <c r="Q25" s="183">
        <v>46905</v>
      </c>
      <c r="R25" s="183">
        <v>47088</v>
      </c>
      <c r="S25" s="197">
        <v>47270</v>
      </c>
    </row>
    <row r="26" spans="1:19" x14ac:dyDescent="0.3">
      <c r="A26" s="101">
        <f>E4</f>
        <v>8.3333333333333329E-2</v>
      </c>
      <c r="B26" s="102">
        <f>G4</f>
        <v>1.5121238400839232E-4</v>
      </c>
      <c r="C26" s="102">
        <f>B26+0.02%</f>
        <v>3.512123840083923E-4</v>
      </c>
      <c r="I26" s="127" t="s">
        <v>13</v>
      </c>
      <c r="K26" s="184">
        <f>2/12</f>
        <v>0.16666666666666666</v>
      </c>
      <c r="L26" s="184">
        <f t="shared" ref="L26:S26" si="2">K26+0.5</f>
        <v>0.66666666666666663</v>
      </c>
      <c r="M26" s="184">
        <f t="shared" si="2"/>
        <v>1.1666666666666665</v>
      </c>
      <c r="N26" s="184">
        <f t="shared" si="2"/>
        <v>1.6666666666666665</v>
      </c>
      <c r="O26" s="184">
        <f t="shared" si="2"/>
        <v>2.1666666666666665</v>
      </c>
      <c r="P26" s="184">
        <f t="shared" si="2"/>
        <v>2.6666666666666665</v>
      </c>
      <c r="Q26" s="184">
        <f t="shared" si="2"/>
        <v>3.1666666666666665</v>
      </c>
      <c r="R26" s="184">
        <f t="shared" si="2"/>
        <v>3.6666666666666665</v>
      </c>
      <c r="S26" s="198">
        <f t="shared" si="2"/>
        <v>4.1666666666666661</v>
      </c>
    </row>
    <row r="27" spans="1:19" x14ac:dyDescent="0.3">
      <c r="A27" s="101">
        <f>K4</f>
        <v>0.16666666666666666</v>
      </c>
      <c r="B27" s="102">
        <f>K6</f>
        <v>1.1665410746154457E-3</v>
      </c>
      <c r="C27" s="98">
        <f>K28</f>
        <v>1.3665410746154455E-3</v>
      </c>
      <c r="D27" s="98">
        <f>C27-B27</f>
        <v>1.9999999999999987E-4</v>
      </c>
      <c r="I27" s="127" t="s">
        <v>14</v>
      </c>
      <c r="K27" s="185">
        <v>1</v>
      </c>
      <c r="L27" s="185">
        <v>1</v>
      </c>
      <c r="M27" s="185">
        <v>1</v>
      </c>
      <c r="N27" s="185">
        <v>1</v>
      </c>
      <c r="O27" s="185">
        <v>1</v>
      </c>
      <c r="P27" s="185">
        <v>1</v>
      </c>
      <c r="Q27" s="185">
        <v>1</v>
      </c>
      <c r="R27" s="185">
        <v>1</v>
      </c>
      <c r="S27" s="199">
        <v>101</v>
      </c>
    </row>
    <row r="28" spans="1:19" x14ac:dyDescent="0.3">
      <c r="A28" s="101">
        <f>E5</f>
        <v>0.41666666666666669</v>
      </c>
      <c r="B28" s="102">
        <f>G5</f>
        <v>4.2125271464366065E-3</v>
      </c>
      <c r="C28" s="102">
        <f>B28+0.02%</f>
        <v>4.4125271464366062E-3</v>
      </c>
      <c r="I28" s="127" t="s">
        <v>9</v>
      </c>
      <c r="J28" s="190"/>
      <c r="K28" s="130">
        <f>((K26-$J$31)*$K$32+($J$32-K26)*$K$31)/($J$32-$J$31)</f>
        <v>1.3665410746154455E-3</v>
      </c>
      <c r="L28" s="211">
        <f>((L26-$J$33)*$K$34+($J$34-L26)*$K$33)/($J$34-$J$33)</f>
        <v>1.0846751806096644E-2</v>
      </c>
      <c r="M28" s="143">
        <f>((M26-$J$35)*$K$36+($J$36-M26)*$K$35)/($J$36-$J$35)</f>
        <v>2.0454742823631265E-2</v>
      </c>
      <c r="N28" s="143">
        <f>((N26-$J$35)*$K$36+($J$36-N26)*$K$35)/($J$36-$J$35)</f>
        <v>2.1978209416638323E-2</v>
      </c>
      <c r="O28" s="143">
        <f>((O26-$J$35)*$K$36+($J$36-O26)*$K$35)/($J$36-$J$35)</f>
        <v>2.3501676009645384E-2</v>
      </c>
      <c r="P28" s="212">
        <f>((P26-$J$36)*$K$37+($J$37-P26)*$K$36)/($J$37-$J$36)</f>
        <v>2.4803268833765713E-2</v>
      </c>
      <c r="Q28" s="212">
        <f>((Q26-$J$36)*$K$37+($J$37-Q26)*$K$36)/($J$37-$J$36)</f>
        <v>2.5661114120112568E-2</v>
      </c>
      <c r="R28" s="212">
        <f t="shared" ref="R28:S28" si="3">((R26-$J$36)*$K$37+($J$37-R26)*$K$36)/($J$37-$J$36)</f>
        <v>2.651895940645942E-2</v>
      </c>
      <c r="S28" s="213">
        <f t="shared" si="3"/>
        <v>2.7376804692806275E-2</v>
      </c>
    </row>
    <row r="29" spans="1:19" x14ac:dyDescent="0.3">
      <c r="A29" s="101">
        <f>E6</f>
        <v>0.5</v>
      </c>
      <c r="B29" s="102">
        <f>G6</f>
        <v>5.8676967789799139E-3</v>
      </c>
      <c r="C29" s="102">
        <f t="shared" ref="C29" si="4">B29+0.02%</f>
        <v>6.0676967789799136E-3</v>
      </c>
      <c r="I29" s="127" t="s">
        <v>19</v>
      </c>
      <c r="J29" s="106"/>
      <c r="K29" s="106">
        <f t="shared" ref="K29:S29" si="5">K27*(1+K28)^(-K26)</f>
        <v>0.99977242453137105</v>
      </c>
      <c r="L29" s="106">
        <f t="shared" si="5"/>
        <v>0.9928335703746376</v>
      </c>
      <c r="M29" s="106">
        <f t="shared" si="5"/>
        <v>0.97665376077500998</v>
      </c>
      <c r="N29" s="106">
        <f t="shared" si="5"/>
        <v>0.96441496368380986</v>
      </c>
      <c r="O29" s="106">
        <f t="shared" si="5"/>
        <v>0.95091447268570806</v>
      </c>
      <c r="P29" s="106">
        <f t="shared" si="5"/>
        <v>0.93675350761530407</v>
      </c>
      <c r="Q29" s="106">
        <f t="shared" si="5"/>
        <v>0.92289936460378053</v>
      </c>
      <c r="R29" s="106">
        <f t="shared" si="5"/>
        <v>0.90849196695398182</v>
      </c>
      <c r="S29" s="128">
        <f t="shared" si="5"/>
        <v>90.250037085265333</v>
      </c>
    </row>
    <row r="30" spans="1:19" x14ac:dyDescent="0.3">
      <c r="A30" s="101">
        <f>L26</f>
        <v>0.66666666666666663</v>
      </c>
      <c r="B30" s="98">
        <f>L6</f>
        <v>1.0646751806096644E-2</v>
      </c>
      <c r="C30" s="98">
        <f>L28</f>
        <v>1.0846751806096644E-2</v>
      </c>
      <c r="D30" s="98">
        <f>C30-B30</f>
        <v>2.0000000000000052E-4</v>
      </c>
      <c r="I30" s="125"/>
      <c r="S30" s="126"/>
    </row>
    <row r="31" spans="1:19" x14ac:dyDescent="0.3">
      <c r="A31" s="101">
        <f>E7</f>
        <v>0.75</v>
      </c>
      <c r="B31" s="102">
        <f>G7</f>
        <v>1.3036279319655009E-2</v>
      </c>
      <c r="C31" s="102">
        <f>B31+0.02%</f>
        <v>1.3236279319655009E-2</v>
      </c>
      <c r="E31" s="129"/>
      <c r="I31" s="201" t="s">
        <v>46</v>
      </c>
      <c r="J31" s="188">
        <f>A26</f>
        <v>8.3333333333333329E-2</v>
      </c>
      <c r="K31" s="189">
        <f>C26</f>
        <v>3.512123840083923E-4</v>
      </c>
      <c r="S31" s="126"/>
    </row>
    <row r="32" spans="1:19" x14ac:dyDescent="0.3">
      <c r="A32" s="101">
        <f>E8</f>
        <v>0.91666666666666663</v>
      </c>
      <c r="B32" s="102">
        <f>G8</f>
        <v>1.9493009527127736E-2</v>
      </c>
      <c r="C32" s="102">
        <f>B32+0.02%</f>
        <v>1.9693009527127735E-2</v>
      </c>
      <c r="E32" s="118"/>
      <c r="I32" s="201" t="s">
        <v>47</v>
      </c>
      <c r="J32" s="188">
        <f>A28</f>
        <v>0.41666666666666669</v>
      </c>
      <c r="K32" s="189">
        <f>C28</f>
        <v>4.4125271464366062E-3</v>
      </c>
      <c r="S32" s="126"/>
    </row>
    <row r="33" spans="1:19" ht="15" thickBot="1" x14ac:dyDescent="0.35">
      <c r="A33" s="101">
        <f>M26</f>
        <v>1.1666666666666665</v>
      </c>
      <c r="B33" s="98">
        <f>M6</f>
        <v>2.0254742823631263E-2</v>
      </c>
      <c r="C33" s="98">
        <f>M28</f>
        <v>2.0454742823631265E-2</v>
      </c>
      <c r="D33" s="98">
        <f>C33-B33</f>
        <v>2.0000000000000226E-4</v>
      </c>
      <c r="I33" s="202" t="s">
        <v>55</v>
      </c>
      <c r="J33" s="188">
        <f>A29</f>
        <v>0.5</v>
      </c>
      <c r="K33" s="189">
        <f>C29</f>
        <v>6.0676967789799136E-3</v>
      </c>
      <c r="L33" s="186"/>
      <c r="M33" s="186"/>
      <c r="N33" s="186"/>
      <c r="O33" s="103" t="s">
        <v>26</v>
      </c>
      <c r="Q33" s="106">
        <f>SUM(K29:S29)</f>
        <v>97.902771116488935</v>
      </c>
      <c r="S33" s="126"/>
    </row>
    <row r="34" spans="1:19" ht="15" thickBot="1" x14ac:dyDescent="0.35">
      <c r="A34" s="101">
        <f>N26</f>
        <v>1.6666666666666665</v>
      </c>
      <c r="B34" s="98">
        <f>N6</f>
        <v>2.1778209416638321E-2</v>
      </c>
      <c r="C34" s="98">
        <f>N28</f>
        <v>2.1978209416638323E-2</v>
      </c>
      <c r="D34" s="98">
        <f>C34-B34</f>
        <v>2.0000000000000226E-4</v>
      </c>
      <c r="I34" s="202" t="s">
        <v>56</v>
      </c>
      <c r="J34" s="188">
        <f>A31</f>
        <v>0.75</v>
      </c>
      <c r="K34" s="189">
        <f>C31</f>
        <v>1.3236279319655009E-2</v>
      </c>
      <c r="L34" s="134"/>
      <c r="M34" s="134"/>
      <c r="N34" s="134"/>
      <c r="O34" s="103" t="s">
        <v>25</v>
      </c>
      <c r="Q34" s="258">
        <f>Q33-Q35</f>
        <v>97.236104449822264</v>
      </c>
      <c r="S34" s="126"/>
    </row>
    <row r="35" spans="1:19" x14ac:dyDescent="0.3">
      <c r="A35" s="101">
        <f>E9</f>
        <v>2</v>
      </c>
      <c r="B35" s="102">
        <f>G9</f>
        <v>2.2793853811976364E-2</v>
      </c>
      <c r="C35" s="102">
        <f>B35+0.02%</f>
        <v>2.2993853811976363E-2</v>
      </c>
      <c r="I35" s="203" t="s">
        <v>20</v>
      </c>
      <c r="J35" s="188">
        <f>A32</f>
        <v>0.91666666666666663</v>
      </c>
      <c r="K35" s="189">
        <f>C32</f>
        <v>1.9693009527127735E-2</v>
      </c>
      <c r="L35" s="194"/>
      <c r="O35" s="103" t="s">
        <v>45</v>
      </c>
      <c r="Q35" s="106">
        <f>2*4/12</f>
        <v>0.66666666666666663</v>
      </c>
      <c r="S35" s="126"/>
    </row>
    <row r="36" spans="1:19" x14ac:dyDescent="0.3">
      <c r="A36" s="101">
        <f>O26</f>
        <v>2.1666666666666665</v>
      </c>
      <c r="B36" s="98">
        <f>O6</f>
        <v>2.3301676009645386E-2</v>
      </c>
      <c r="C36" s="98">
        <f>O28</f>
        <v>2.3501676009645384E-2</v>
      </c>
      <c r="D36" s="98">
        <f>C36-B36</f>
        <v>1.9999999999999879E-4</v>
      </c>
      <c r="I36" s="204" t="s">
        <v>57</v>
      </c>
      <c r="J36" s="188">
        <f>A37</f>
        <v>2.5</v>
      </c>
      <c r="K36" s="189">
        <f>C37</f>
        <v>2.4517320404983424E-2</v>
      </c>
      <c r="S36" s="128"/>
    </row>
    <row r="37" spans="1:19" ht="15" thickBot="1" x14ac:dyDescent="0.35">
      <c r="A37" s="101">
        <f>E10</f>
        <v>2.5</v>
      </c>
      <c r="B37" s="102">
        <f>G10</f>
        <v>2.4317320404983425E-2</v>
      </c>
      <c r="C37" s="102">
        <f>B37+0.02%</f>
        <v>2.4517320404983424E-2</v>
      </c>
      <c r="I37" s="205" t="s">
        <v>23</v>
      </c>
      <c r="J37" s="214">
        <f>A40</f>
        <v>3.25</v>
      </c>
      <c r="K37" s="215">
        <f>C40</f>
        <v>2.5804088334503709E-2</v>
      </c>
      <c r="L37" s="208"/>
      <c r="M37" s="208"/>
      <c r="N37" s="208"/>
      <c r="O37" s="208"/>
      <c r="P37" s="208"/>
      <c r="Q37" s="208"/>
      <c r="R37" s="208"/>
      <c r="S37" s="209"/>
    </row>
    <row r="38" spans="1:19" x14ac:dyDescent="0.3">
      <c r="A38" s="101">
        <f>P26</f>
        <v>2.6666666666666665</v>
      </c>
      <c r="B38" s="98">
        <f>P6</f>
        <v>2.460326883376571E-2</v>
      </c>
      <c r="C38" s="98">
        <f>P28</f>
        <v>2.4803268833765713E-2</v>
      </c>
      <c r="D38" s="98">
        <f>C38-B38</f>
        <v>2.0000000000000226E-4</v>
      </c>
      <c r="I38" s="210"/>
      <c r="J38" s="184"/>
      <c r="K38" s="187"/>
    </row>
    <row r="39" spans="1:19" x14ac:dyDescent="0.3">
      <c r="A39" s="101">
        <f>Q26</f>
        <v>3.1666666666666665</v>
      </c>
      <c r="B39" s="98">
        <f>Q6</f>
        <v>2.5461114120112566E-2</v>
      </c>
      <c r="C39" s="98">
        <f>Q28</f>
        <v>2.5661114120112568E-2</v>
      </c>
      <c r="D39" s="98">
        <f>C39-B39</f>
        <v>2.0000000000000226E-4</v>
      </c>
      <c r="I39" s="210"/>
      <c r="J39" s="184"/>
      <c r="K39" s="187"/>
    </row>
    <row r="40" spans="1:19" x14ac:dyDescent="0.3">
      <c r="A40" s="101">
        <f>E11</f>
        <v>3.25</v>
      </c>
      <c r="B40" s="102">
        <f>G11</f>
        <v>2.560408833450371E-2</v>
      </c>
      <c r="C40" s="102">
        <f>B40+0.02%</f>
        <v>2.5804088334503709E-2</v>
      </c>
      <c r="I40" s="210"/>
      <c r="J40" s="184"/>
      <c r="K40" s="187"/>
    </row>
    <row r="41" spans="1:19" x14ac:dyDescent="0.3">
      <c r="A41" s="101">
        <f>R26</f>
        <v>3.6666666666666665</v>
      </c>
      <c r="B41" s="102">
        <f>R6</f>
        <v>2.6318959406459425E-2</v>
      </c>
      <c r="C41" s="102">
        <f>R28</f>
        <v>2.651895940645942E-2</v>
      </c>
      <c r="D41" s="98">
        <f>C41-B41</f>
        <v>1.9999999999999532E-4</v>
      </c>
      <c r="I41" s="210"/>
      <c r="J41" s="184"/>
      <c r="K41" s="187"/>
    </row>
    <row r="42" spans="1:19" x14ac:dyDescent="0.3">
      <c r="A42" s="101">
        <f>S26</f>
        <v>4.1666666666666661</v>
      </c>
      <c r="B42" s="102">
        <f>S6</f>
        <v>2.7176804692806273E-2</v>
      </c>
      <c r="C42" s="102">
        <f>S28</f>
        <v>2.7376804692806275E-2</v>
      </c>
      <c r="D42" s="98">
        <f>C42-B42</f>
        <v>2.0000000000000226E-4</v>
      </c>
      <c r="I42" s="210"/>
      <c r="J42" s="184"/>
      <c r="K42" s="187"/>
    </row>
    <row r="43" spans="1:19" x14ac:dyDescent="0.3">
      <c r="A43" s="101"/>
      <c r="B43" s="102"/>
      <c r="C43" s="102"/>
      <c r="I43" s="210"/>
      <c r="J43" s="184"/>
      <c r="K43" s="187"/>
    </row>
    <row r="44" spans="1:19" ht="15" thickBot="1" x14ac:dyDescent="0.35">
      <c r="A44" s="101"/>
      <c r="I44" s="210"/>
      <c r="J44" s="184"/>
      <c r="K44" s="187"/>
    </row>
    <row r="45" spans="1:19" x14ac:dyDescent="0.3">
      <c r="I45" s="284" t="s">
        <v>54</v>
      </c>
      <c r="J45" s="285"/>
      <c r="K45" s="285"/>
      <c r="L45" s="285"/>
      <c r="M45" s="285"/>
      <c r="N45" s="285"/>
      <c r="O45" s="285"/>
      <c r="P45" s="285"/>
      <c r="Q45" s="285"/>
      <c r="R45" s="285"/>
      <c r="S45" s="286"/>
    </row>
    <row r="46" spans="1:19" x14ac:dyDescent="0.3">
      <c r="A46" s="283" t="s">
        <v>38</v>
      </c>
      <c r="B46" s="283"/>
      <c r="C46" s="283"/>
      <c r="D46" s="283"/>
      <c r="E46" s="283"/>
      <c r="I46" s="125"/>
      <c r="S46" s="126"/>
    </row>
    <row r="47" spans="1:19" x14ac:dyDescent="0.3">
      <c r="A47" s="114" t="s">
        <v>39</v>
      </c>
      <c r="B47" s="114" t="s">
        <v>34</v>
      </c>
      <c r="C47" s="114" t="s">
        <v>43</v>
      </c>
      <c r="D47" s="100"/>
      <c r="E47" s="100"/>
      <c r="I47" s="127" t="s">
        <v>10</v>
      </c>
      <c r="K47" s="183">
        <v>45809</v>
      </c>
      <c r="L47" s="183">
        <v>45992</v>
      </c>
      <c r="M47" s="183">
        <v>46174</v>
      </c>
      <c r="N47" s="183">
        <v>46357</v>
      </c>
      <c r="O47" s="183">
        <v>46539</v>
      </c>
      <c r="P47" s="183">
        <v>46722</v>
      </c>
      <c r="Q47" s="183">
        <v>46905</v>
      </c>
      <c r="R47" s="183">
        <v>47088</v>
      </c>
      <c r="S47" s="197">
        <v>47270</v>
      </c>
    </row>
    <row r="48" spans="1:19" x14ac:dyDescent="0.3">
      <c r="A48" s="101">
        <v>8.3333333333333329E-2</v>
      </c>
      <c r="B48" s="102">
        <v>1.5121238400839232E-4</v>
      </c>
      <c r="C48" s="102">
        <f>B48-0.02%</f>
        <v>-4.878761599160769E-5</v>
      </c>
      <c r="I48" s="127" t="s">
        <v>13</v>
      </c>
      <c r="K48" s="184">
        <f>2/12</f>
        <v>0.16666666666666666</v>
      </c>
      <c r="L48" s="184">
        <f t="shared" ref="L48:S48" si="6">K48+0.5</f>
        <v>0.66666666666666663</v>
      </c>
      <c r="M48" s="184">
        <f t="shared" si="6"/>
        <v>1.1666666666666665</v>
      </c>
      <c r="N48" s="184">
        <f t="shared" si="6"/>
        <v>1.6666666666666665</v>
      </c>
      <c r="O48" s="184">
        <f t="shared" si="6"/>
        <v>2.1666666666666665</v>
      </c>
      <c r="P48" s="184">
        <f t="shared" si="6"/>
        <v>2.6666666666666665</v>
      </c>
      <c r="Q48" s="184">
        <f t="shared" si="6"/>
        <v>3.1666666666666665</v>
      </c>
      <c r="R48" s="184">
        <f t="shared" si="6"/>
        <v>3.6666666666666665</v>
      </c>
      <c r="S48" s="198">
        <f t="shared" si="6"/>
        <v>4.1666666666666661</v>
      </c>
    </row>
    <row r="49" spans="1:19" x14ac:dyDescent="0.3">
      <c r="A49" s="101">
        <v>0.16666666666666666</v>
      </c>
      <c r="B49" s="102">
        <v>1.1665410746154457E-3</v>
      </c>
      <c r="C49" s="102">
        <f>K50</f>
        <v>9.6654107461544578E-4</v>
      </c>
      <c r="D49" s="98">
        <f>C49-B49</f>
        <v>-1.9999999999999987E-4</v>
      </c>
      <c r="I49" s="127" t="s">
        <v>14</v>
      </c>
      <c r="K49" s="185">
        <v>1</v>
      </c>
      <c r="L49" s="185">
        <v>1</v>
      </c>
      <c r="M49" s="185">
        <v>1</v>
      </c>
      <c r="N49" s="185">
        <v>1</v>
      </c>
      <c r="O49" s="185">
        <v>1</v>
      </c>
      <c r="P49" s="185">
        <v>1</v>
      </c>
      <c r="Q49" s="185">
        <v>1</v>
      </c>
      <c r="R49" s="185">
        <v>1</v>
      </c>
      <c r="S49" s="199">
        <v>101</v>
      </c>
    </row>
    <row r="50" spans="1:19" x14ac:dyDescent="0.3">
      <c r="A50" s="101">
        <v>0.41666666666666669</v>
      </c>
      <c r="B50" s="102">
        <v>4.2125271464366065E-3</v>
      </c>
      <c r="C50" s="102">
        <f t="shared" ref="C50:C62" si="7">B50-0.02%</f>
        <v>4.0125271464366069E-3</v>
      </c>
      <c r="I50" s="127" t="s">
        <v>9</v>
      </c>
      <c r="J50" s="190"/>
      <c r="K50" s="130">
        <f>((K48-$J$53)*$K$54+($J$54-K48)*$K$53)/($J$54-$J$53)</f>
        <v>9.6654107461544578E-4</v>
      </c>
      <c r="L50" s="211">
        <f>((L48-$J$55)*$K$56+($J$56-L48)*$K$55)/($J$56-$J$55)</f>
        <v>1.0446751806096641E-2</v>
      </c>
      <c r="M50" s="143">
        <f>((M48-$J$57)*$K$58+($J$58-M48)*$K$57)/($J$58-$J$57)</f>
        <v>2.0054742823631264E-2</v>
      </c>
      <c r="N50" s="143">
        <f>((N48-$J$57)*$K$58+($J$58-N48)*$K$57)/($J$58-$J$57)</f>
        <v>2.1578209416638326E-2</v>
      </c>
      <c r="O50" s="143">
        <f>((O48-$J$57)*$K$58+($J$58-O48)*$K$57)/($J$58-$J$57)</f>
        <v>2.3101676009645387E-2</v>
      </c>
      <c r="P50" s="212">
        <f>((P48-$J$58)*$K$59+($J$59-P48)*$K$58)/($J$59-$J$58)</f>
        <v>2.4403268833765712E-2</v>
      </c>
      <c r="Q50" s="212">
        <f t="shared" ref="Q50:S50" si="8">((Q48-$J$58)*$K$59+($J$59-Q48)*$K$58)/($J$59-$J$58)</f>
        <v>2.526111412011257E-2</v>
      </c>
      <c r="R50" s="212">
        <f t="shared" si="8"/>
        <v>2.6118959406459422E-2</v>
      </c>
      <c r="S50" s="213">
        <f t="shared" si="8"/>
        <v>2.6976804692806278E-2</v>
      </c>
    </row>
    <row r="51" spans="1:19" x14ac:dyDescent="0.3">
      <c r="A51" s="101">
        <v>0.5</v>
      </c>
      <c r="B51" s="102">
        <v>5.8676967789799139E-3</v>
      </c>
      <c r="C51" s="102">
        <f t="shared" si="7"/>
        <v>5.6676967789799143E-3</v>
      </c>
      <c r="I51" s="127" t="s">
        <v>19</v>
      </c>
      <c r="J51" s="106"/>
      <c r="K51" s="106">
        <f t="shared" ref="K51:S51" si="9">K49*(1+K50)^(-K48)</f>
        <v>0.99983900058270503</v>
      </c>
      <c r="L51" s="106">
        <f t="shared" si="9"/>
        <v>0.99309557146818783</v>
      </c>
      <c r="M51" s="106">
        <f t="shared" si="9"/>
        <v>0.97710058644815678</v>
      </c>
      <c r="N51" s="106">
        <f t="shared" si="9"/>
        <v>0.96504440860988916</v>
      </c>
      <c r="O51" s="106">
        <f t="shared" si="9"/>
        <v>0.95172017348136151</v>
      </c>
      <c r="P51" s="106">
        <f t="shared" si="9"/>
        <v>0.93772922580526796</v>
      </c>
      <c r="Q51" s="106">
        <f t="shared" si="9"/>
        <v>0.92404004965335862</v>
      </c>
      <c r="R51" s="106">
        <f t="shared" si="9"/>
        <v>0.90979118043840101</v>
      </c>
      <c r="S51" s="128">
        <f t="shared" si="9"/>
        <v>90.396592991302469</v>
      </c>
    </row>
    <row r="52" spans="1:19" x14ac:dyDescent="0.3">
      <c r="A52" s="101">
        <v>0.66666666666666663</v>
      </c>
      <c r="B52" s="98">
        <v>1.0646751806096644E-2</v>
      </c>
      <c r="C52" s="102">
        <f>L50</f>
        <v>1.0446751806096641E-2</v>
      </c>
      <c r="D52" s="98">
        <f>C52-B52</f>
        <v>-2.0000000000000226E-4</v>
      </c>
      <c r="I52" s="125"/>
      <c r="S52" s="126"/>
    </row>
    <row r="53" spans="1:19" x14ac:dyDescent="0.3">
      <c r="A53" s="101">
        <v>0.75</v>
      </c>
      <c r="B53" s="102">
        <v>1.3036279319655009E-2</v>
      </c>
      <c r="C53" s="102">
        <f t="shared" si="7"/>
        <v>1.2836279319655008E-2</v>
      </c>
      <c r="E53" s="129"/>
      <c r="I53" s="201" t="s">
        <v>46</v>
      </c>
      <c r="J53" s="188">
        <f>A48</f>
        <v>8.3333333333333329E-2</v>
      </c>
      <c r="K53" s="189">
        <f>C48</f>
        <v>-4.878761599160769E-5</v>
      </c>
      <c r="S53" s="126"/>
    </row>
    <row r="54" spans="1:19" x14ac:dyDescent="0.3">
      <c r="A54" s="101">
        <v>0.91666666666666663</v>
      </c>
      <c r="B54" s="102">
        <v>1.9493009527127736E-2</v>
      </c>
      <c r="C54" s="102">
        <f t="shared" si="7"/>
        <v>1.9293009527127737E-2</v>
      </c>
      <c r="E54" s="118"/>
      <c r="I54" s="201" t="s">
        <v>47</v>
      </c>
      <c r="J54" s="188">
        <f>A50</f>
        <v>0.41666666666666669</v>
      </c>
      <c r="K54" s="189">
        <f>C50</f>
        <v>4.0125271464366069E-3</v>
      </c>
      <c r="S54" s="126"/>
    </row>
    <row r="55" spans="1:19" ht="15" thickBot="1" x14ac:dyDescent="0.35">
      <c r="A55" s="101">
        <v>1.1666666666666665</v>
      </c>
      <c r="B55" s="98">
        <v>2.0254742823631263E-2</v>
      </c>
      <c r="C55" s="102">
        <f>M50</f>
        <v>2.0054742823631264E-2</v>
      </c>
      <c r="D55" s="98">
        <f>C55-B55</f>
        <v>-1.9999999999999879E-4</v>
      </c>
      <c r="I55" s="202" t="s">
        <v>55</v>
      </c>
      <c r="J55" s="188">
        <f>A51</f>
        <v>0.5</v>
      </c>
      <c r="K55" s="189">
        <f>C51</f>
        <v>5.6676967789799143E-3</v>
      </c>
      <c r="L55" s="186"/>
      <c r="M55" s="186"/>
      <c r="N55" s="186"/>
      <c r="O55" s="103" t="s">
        <v>26</v>
      </c>
      <c r="Q55" s="106">
        <f>SUM(K51:S51)</f>
        <v>98.054953187789792</v>
      </c>
      <c r="S55" s="126"/>
    </row>
    <row r="56" spans="1:19" ht="15" thickBot="1" x14ac:dyDescent="0.35">
      <c r="A56" s="101">
        <v>1.6666666666666665</v>
      </c>
      <c r="B56" s="98">
        <v>2.1778209416638321E-2</v>
      </c>
      <c r="C56" s="102">
        <f>N50</f>
        <v>2.1578209416638326E-2</v>
      </c>
      <c r="D56" s="98">
        <f>C56-B56</f>
        <v>-1.9999999999999532E-4</v>
      </c>
      <c r="I56" s="202" t="s">
        <v>56</v>
      </c>
      <c r="J56" s="188">
        <f>A53</f>
        <v>0.75</v>
      </c>
      <c r="K56" s="189">
        <f>C53</f>
        <v>1.2836279319655008E-2</v>
      </c>
      <c r="L56" s="134"/>
      <c r="M56" s="134"/>
      <c r="N56" s="134"/>
      <c r="O56" s="103" t="s">
        <v>25</v>
      </c>
      <c r="Q56" s="258">
        <f>Q55-Q57</f>
        <v>97.388286521123121</v>
      </c>
      <c r="S56" s="126"/>
    </row>
    <row r="57" spans="1:19" x14ac:dyDescent="0.3">
      <c r="A57" s="101">
        <v>2</v>
      </c>
      <c r="B57" s="102">
        <v>2.2793853811976364E-2</v>
      </c>
      <c r="C57" s="102">
        <f t="shared" si="7"/>
        <v>2.2593853811976365E-2</v>
      </c>
      <c r="I57" s="203" t="s">
        <v>20</v>
      </c>
      <c r="J57" s="188">
        <f>A54</f>
        <v>0.91666666666666663</v>
      </c>
      <c r="K57" s="189">
        <f>C54</f>
        <v>1.9293009527127737E-2</v>
      </c>
      <c r="L57" s="194"/>
      <c r="O57" s="103" t="s">
        <v>45</v>
      </c>
      <c r="Q57" s="106">
        <f>2*4/12</f>
        <v>0.66666666666666663</v>
      </c>
      <c r="S57" s="126"/>
    </row>
    <row r="58" spans="1:19" x14ac:dyDescent="0.3">
      <c r="A58" s="101">
        <v>2.1666666666666665</v>
      </c>
      <c r="B58" s="98">
        <v>2.3301676009645386E-2</v>
      </c>
      <c r="C58" s="102">
        <f>O50</f>
        <v>2.3101676009645387E-2</v>
      </c>
      <c r="D58" s="98">
        <f>C58-B58</f>
        <v>-1.9999999999999879E-4</v>
      </c>
      <c r="I58" s="204" t="s">
        <v>57</v>
      </c>
      <c r="J58" s="188">
        <f>A59</f>
        <v>2.5</v>
      </c>
      <c r="K58" s="189">
        <f>C59</f>
        <v>2.4117320404983426E-2</v>
      </c>
      <c r="S58" s="128"/>
    </row>
    <row r="59" spans="1:19" ht="15" thickBot="1" x14ac:dyDescent="0.35">
      <c r="A59" s="101">
        <v>2.5</v>
      </c>
      <c r="B59" s="102">
        <v>2.4317320404983425E-2</v>
      </c>
      <c r="C59" s="102">
        <f t="shared" si="7"/>
        <v>2.4117320404983426E-2</v>
      </c>
      <c r="I59" s="205" t="s">
        <v>23</v>
      </c>
      <c r="J59" s="214">
        <f>A62</f>
        <v>3.25</v>
      </c>
      <c r="K59" s="215">
        <f>C62</f>
        <v>2.5404088334503711E-2</v>
      </c>
      <c r="L59" s="208"/>
      <c r="M59" s="208"/>
      <c r="N59" s="208"/>
      <c r="O59" s="208"/>
      <c r="P59" s="208"/>
      <c r="Q59" s="208"/>
      <c r="R59" s="208"/>
      <c r="S59" s="209"/>
    </row>
    <row r="60" spans="1:19" x14ac:dyDescent="0.3">
      <c r="A60" s="101">
        <v>2.6666666666666665</v>
      </c>
      <c r="B60" s="98">
        <v>2.460326883376571E-2</v>
      </c>
      <c r="C60" s="102">
        <f>P50</f>
        <v>2.4403268833765712E-2</v>
      </c>
      <c r="D60" s="98">
        <f>C60-B60</f>
        <v>-1.9999999999999879E-4</v>
      </c>
      <c r="I60" s="210"/>
      <c r="J60" s="115"/>
      <c r="K60" s="98"/>
    </row>
    <row r="61" spans="1:19" x14ac:dyDescent="0.3">
      <c r="A61" s="101">
        <v>3.1666666666666665</v>
      </c>
      <c r="B61" s="98">
        <v>2.5461114120112566E-2</v>
      </c>
      <c r="C61" s="102">
        <f>Q50</f>
        <v>2.526111412011257E-2</v>
      </c>
      <c r="D61" s="98">
        <f>C61-B61</f>
        <v>-1.9999999999999532E-4</v>
      </c>
      <c r="L61" s="106"/>
    </row>
    <row r="62" spans="1:19" x14ac:dyDescent="0.3">
      <c r="A62" s="101">
        <v>3.25</v>
      </c>
      <c r="B62" s="102">
        <v>2.560408833450371E-2</v>
      </c>
      <c r="C62" s="102">
        <f t="shared" si="7"/>
        <v>2.5404088334503711E-2</v>
      </c>
      <c r="L62" s="106"/>
    </row>
    <row r="63" spans="1:19" x14ac:dyDescent="0.3">
      <c r="A63" s="101">
        <v>3.6666666666666665</v>
      </c>
      <c r="B63" s="102">
        <v>2.6318959406459425E-2</v>
      </c>
      <c r="C63" s="102">
        <f>R50</f>
        <v>2.6118959406459422E-2</v>
      </c>
      <c r="D63" s="98">
        <f>C63-B63</f>
        <v>-2.0000000000000226E-4</v>
      </c>
      <c r="O63" s="106"/>
    </row>
    <row r="64" spans="1:19" x14ac:dyDescent="0.3">
      <c r="A64" s="101">
        <v>4.1666666666666661</v>
      </c>
      <c r="B64" s="102">
        <v>2.7176804692806273E-2</v>
      </c>
      <c r="C64" s="102">
        <f>S50</f>
        <v>2.6976804692806278E-2</v>
      </c>
      <c r="D64" s="98">
        <f>C64-B64</f>
        <v>-1.9999999999999532E-4</v>
      </c>
    </row>
  </sheetData>
  <mergeCells count="5">
    <mergeCell ref="A24:E24"/>
    <mergeCell ref="A46:E46"/>
    <mergeCell ref="I1:S1"/>
    <mergeCell ref="I23:S23"/>
    <mergeCell ref="I45:S45"/>
  </mergeCells>
  <pageMargins left="0.7" right="0.7" top="0.75" bottom="0.75" header="0.3" footer="0.3"/>
  <ignoredErrors>
    <ignoredError sqref="L28" formula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C0C8E-1DDC-49BC-A47E-F1F4AC6DE4D6}">
  <dimension ref="A1:N45"/>
  <sheetViews>
    <sheetView tabSelected="1" topLeftCell="A16" zoomScale="120" zoomScaleNormal="120" workbookViewId="0">
      <selection activeCell="F50" sqref="F50"/>
    </sheetView>
  </sheetViews>
  <sheetFormatPr defaultRowHeight="14.4" x14ac:dyDescent="0.3"/>
  <cols>
    <col min="1" max="5" width="10.44140625" customWidth="1"/>
    <col min="6" max="6" width="11.33203125" customWidth="1"/>
    <col min="7" max="7" width="12.21875" customWidth="1"/>
    <col min="8" max="8" width="15.33203125" customWidth="1"/>
    <col min="11" max="11" width="9.6640625" customWidth="1"/>
    <col min="13" max="13" width="10.109375" customWidth="1"/>
    <col min="14" max="14" width="8.88671875" customWidth="1"/>
  </cols>
  <sheetData>
    <row r="1" spans="1:14" x14ac:dyDescent="0.3">
      <c r="A1" s="289" t="s">
        <v>49</v>
      </c>
      <c r="B1" s="289"/>
      <c r="C1" s="289"/>
      <c r="D1" s="289"/>
      <c r="E1" s="289"/>
      <c r="F1" s="289"/>
    </row>
    <row r="2" spans="1:14" x14ac:dyDescent="0.3">
      <c r="A2" s="103" t="s">
        <v>50</v>
      </c>
      <c r="B2" s="103" t="s">
        <v>51</v>
      </c>
      <c r="C2" s="103" t="s">
        <v>52</v>
      </c>
      <c r="D2" s="103" t="s">
        <v>39</v>
      </c>
      <c r="E2" s="103" t="s">
        <v>34</v>
      </c>
      <c r="F2" s="103" t="s">
        <v>53</v>
      </c>
    </row>
    <row r="3" spans="1:14" x14ac:dyDescent="0.3">
      <c r="A3" s="144">
        <v>0.02</v>
      </c>
      <c r="B3" s="152">
        <v>46478</v>
      </c>
      <c r="C3" s="147">
        <f>'punto 1-2-3'!C9</f>
        <v>99.495052985312853</v>
      </c>
      <c r="D3" s="101">
        <v>2</v>
      </c>
      <c r="E3" s="146">
        <f>'punto 1-2-3'!G9</f>
        <v>2.2793853811976364E-2</v>
      </c>
      <c r="F3" s="100">
        <f>2/5</f>
        <v>0.4</v>
      </c>
    </row>
    <row r="4" spans="1:14" x14ac:dyDescent="0.3">
      <c r="A4" s="144">
        <v>0.02</v>
      </c>
      <c r="B4" s="263">
        <v>47270</v>
      </c>
      <c r="C4" s="142">
        <f>'punto 4'!C17</f>
        <v>97.312157645463998</v>
      </c>
      <c r="D4" s="145">
        <v>4.166666666666667</v>
      </c>
      <c r="E4" s="146">
        <f>'punto 4'!G12</f>
        <v>2.7176804692806273E-2</v>
      </c>
      <c r="F4" s="100">
        <f>3/5</f>
        <v>0.6</v>
      </c>
    </row>
    <row r="7" spans="1:14" x14ac:dyDescent="0.3">
      <c r="A7" s="222" t="s">
        <v>39</v>
      </c>
      <c r="B7" s="223" t="s">
        <v>58</v>
      </c>
      <c r="C7" s="223" t="s">
        <v>59</v>
      </c>
      <c r="D7" s="223" t="s">
        <v>60</v>
      </c>
      <c r="E7" s="223" t="s">
        <v>34</v>
      </c>
      <c r="F7" s="223" t="s">
        <v>61</v>
      </c>
      <c r="G7" s="223" t="s">
        <v>68</v>
      </c>
      <c r="H7" s="223" t="s">
        <v>62</v>
      </c>
      <c r="I7" s="223"/>
      <c r="J7" s="223" t="s">
        <v>63</v>
      </c>
      <c r="K7" s="223" t="s">
        <v>64</v>
      </c>
      <c r="L7" s="223" t="s">
        <v>65</v>
      </c>
      <c r="M7" s="223" t="s">
        <v>66</v>
      </c>
      <c r="N7" s="231" t="s">
        <v>67</v>
      </c>
    </row>
    <row r="8" spans="1:14" x14ac:dyDescent="0.3">
      <c r="A8" s="260">
        <f>2/12</f>
        <v>0.16666666666666666</v>
      </c>
      <c r="B8" s="225">
        <f t="shared" ref="B8:B20" si="0">A8^2</f>
        <v>2.7777777777777776E-2</v>
      </c>
      <c r="C8" s="225">
        <f t="shared" ref="C8:C20" si="1">A8+1</f>
        <v>1.1666666666666667</v>
      </c>
      <c r="D8" s="225">
        <f t="shared" ref="D8:D20" si="2">A8+2</f>
        <v>2.1666666666666665</v>
      </c>
      <c r="E8" s="232">
        <f>'punto 4'!B27</f>
        <v>1.1665410746154457E-3</v>
      </c>
      <c r="F8" s="250">
        <f t="shared" ref="F8:F20" si="3">1+E8</f>
        <v>1.0011665410746153</v>
      </c>
      <c r="G8" s="226">
        <f t="shared" ref="G8:G20" si="4">F8^(-A8)</f>
        <v>0.99980570867796015</v>
      </c>
      <c r="H8" s="226">
        <f t="shared" ref="H8:H20" si="5">F8^(-D8)</f>
        <v>0.99747715514807289</v>
      </c>
      <c r="I8" s="119"/>
      <c r="J8" s="119">
        <v>0</v>
      </c>
      <c r="K8" s="119">
        <f t="shared" ref="K8:K20" si="6">J8*G8/$D$24</f>
        <v>0</v>
      </c>
      <c r="L8" s="119">
        <v>1</v>
      </c>
      <c r="M8" s="226">
        <f t="shared" ref="M8:M20" si="7">L8*G8/$D$25</f>
        <v>1.0274211700459239E-2</v>
      </c>
      <c r="N8" s="3">
        <f t="shared" ref="N8:N20" si="8">J8*$E$24+L8*$E$25</f>
        <v>0.6</v>
      </c>
    </row>
    <row r="9" spans="1:14" x14ac:dyDescent="0.3">
      <c r="A9" s="259">
        <f>0.5</f>
        <v>0.5</v>
      </c>
      <c r="B9" s="115">
        <f t="shared" si="0"/>
        <v>0.25</v>
      </c>
      <c r="C9" s="115">
        <f t="shared" si="1"/>
        <v>1.5</v>
      </c>
      <c r="D9" s="115">
        <f t="shared" si="2"/>
        <v>2.5</v>
      </c>
      <c r="E9" s="136">
        <f>'punto 1-2-3'!B27</f>
        <v>5.8676967789799139E-3</v>
      </c>
      <c r="F9" s="234">
        <f t="shared" si="3"/>
        <v>1.0058676967789799</v>
      </c>
      <c r="G9" s="106">
        <f t="shared" si="4"/>
        <v>0.99707899999999983</v>
      </c>
      <c r="H9" s="106">
        <f t="shared" si="5"/>
        <v>0.98548007354702305</v>
      </c>
      <c r="J9">
        <v>1</v>
      </c>
      <c r="K9" s="106">
        <f t="shared" si="6"/>
        <v>1.0021392723386814E-2</v>
      </c>
      <c r="L9">
        <v>0</v>
      </c>
      <c r="M9">
        <f t="shared" si="7"/>
        <v>0</v>
      </c>
      <c r="N9" s="5">
        <f t="shared" si="8"/>
        <v>0.4</v>
      </c>
    </row>
    <row r="10" spans="1:14" x14ac:dyDescent="0.3">
      <c r="A10" s="261">
        <f>8/12</f>
        <v>0.66666666666666663</v>
      </c>
      <c r="B10" s="115">
        <f t="shared" si="0"/>
        <v>0.44444444444444442</v>
      </c>
      <c r="C10" s="115">
        <f t="shared" si="1"/>
        <v>1.6666666666666665</v>
      </c>
      <c r="D10" s="115">
        <f t="shared" si="2"/>
        <v>2.6666666666666665</v>
      </c>
      <c r="E10" s="136">
        <f>'punto 4'!B30</f>
        <v>1.0646751806096644E-2</v>
      </c>
      <c r="F10" s="234">
        <f t="shared" si="3"/>
        <v>1.0106467518060966</v>
      </c>
      <c r="G10" s="106">
        <f t="shared" si="4"/>
        <v>0.99296454931799438</v>
      </c>
      <c r="H10" s="106">
        <f t="shared" si="5"/>
        <v>0.97215379216903408</v>
      </c>
      <c r="J10">
        <v>0</v>
      </c>
      <c r="K10">
        <f t="shared" si="6"/>
        <v>0</v>
      </c>
      <c r="L10">
        <v>1</v>
      </c>
      <c r="M10" s="106">
        <f t="shared" si="7"/>
        <v>1.020391052200947E-2</v>
      </c>
      <c r="N10" s="5">
        <f t="shared" si="8"/>
        <v>0.6</v>
      </c>
    </row>
    <row r="11" spans="1:14" x14ac:dyDescent="0.3">
      <c r="A11" s="259">
        <f>1</f>
        <v>1</v>
      </c>
      <c r="B11" s="115">
        <f t="shared" si="0"/>
        <v>1</v>
      </c>
      <c r="C11" s="115">
        <f t="shared" si="1"/>
        <v>2</v>
      </c>
      <c r="D11" s="115">
        <f t="shared" si="2"/>
        <v>3</v>
      </c>
      <c r="E11" s="136">
        <f>'punto 1-2-3'!B30</f>
        <v>1.9746920625962245E-2</v>
      </c>
      <c r="F11" s="234">
        <f t="shared" si="3"/>
        <v>1.0197469206259622</v>
      </c>
      <c r="G11" s="106">
        <f t="shared" si="4"/>
        <v>0.98063546922618727</v>
      </c>
      <c r="H11" s="106">
        <f t="shared" si="5"/>
        <v>0.94302410142525084</v>
      </c>
      <c r="J11">
        <v>1</v>
      </c>
      <c r="K11" s="106">
        <f t="shared" si="6"/>
        <v>9.856122890561661E-3</v>
      </c>
      <c r="L11">
        <v>0</v>
      </c>
      <c r="M11">
        <f t="shared" si="7"/>
        <v>0</v>
      </c>
      <c r="N11" s="5">
        <f t="shared" si="8"/>
        <v>0.4</v>
      </c>
    </row>
    <row r="12" spans="1:14" x14ac:dyDescent="0.3">
      <c r="A12" s="261">
        <f>14/12</f>
        <v>1.1666666666666667</v>
      </c>
      <c r="B12" s="115">
        <f t="shared" si="0"/>
        <v>1.3611111111111114</v>
      </c>
      <c r="C12" s="115">
        <f t="shared" si="1"/>
        <v>2.166666666666667</v>
      </c>
      <c r="D12" s="115">
        <f t="shared" si="2"/>
        <v>3.166666666666667</v>
      </c>
      <c r="E12" s="136">
        <f>'punto 4'!B33</f>
        <v>2.0254742823631263E-2</v>
      </c>
      <c r="F12" s="234">
        <f t="shared" si="3"/>
        <v>1.0202547428236313</v>
      </c>
      <c r="G12" s="106">
        <f t="shared" si="4"/>
        <v>0.97687712616645772</v>
      </c>
      <c r="H12" s="106">
        <f t="shared" si="5"/>
        <v>0.93847497399557256</v>
      </c>
      <c r="J12">
        <v>0</v>
      </c>
      <c r="K12">
        <f t="shared" si="6"/>
        <v>0</v>
      </c>
      <c r="L12">
        <v>1</v>
      </c>
      <c r="M12" s="106">
        <f t="shared" si="7"/>
        <v>1.0038592811039092E-2</v>
      </c>
      <c r="N12" s="5">
        <f t="shared" si="8"/>
        <v>0.6</v>
      </c>
    </row>
    <row r="13" spans="1:14" x14ac:dyDescent="0.3">
      <c r="A13" s="259">
        <f>1.5</f>
        <v>1.5</v>
      </c>
      <c r="B13" s="115">
        <f t="shared" si="0"/>
        <v>2.25</v>
      </c>
      <c r="C13" s="115">
        <f t="shared" si="1"/>
        <v>2.5</v>
      </c>
      <c r="D13" s="115">
        <f t="shared" si="2"/>
        <v>3.5</v>
      </c>
      <c r="E13" s="136">
        <f>'punto 1-2-3'!B31</f>
        <v>2.1270387218969303E-2</v>
      </c>
      <c r="F13" s="234">
        <f t="shared" si="3"/>
        <v>1.0212703872189692</v>
      </c>
      <c r="G13" s="106">
        <f t="shared" si="4"/>
        <v>0.9689221653857375</v>
      </c>
      <c r="H13" s="106">
        <f t="shared" si="5"/>
        <v>0.92898224249780237</v>
      </c>
      <c r="J13">
        <v>1</v>
      </c>
      <c r="K13" s="106">
        <f t="shared" si="6"/>
        <v>9.7383953906609484E-3</v>
      </c>
      <c r="L13">
        <v>0</v>
      </c>
      <c r="M13">
        <f t="shared" si="7"/>
        <v>0</v>
      </c>
      <c r="N13" s="5">
        <f t="shared" si="8"/>
        <v>0.4</v>
      </c>
    </row>
    <row r="14" spans="1:14" x14ac:dyDescent="0.3">
      <c r="A14" s="261">
        <f>20/12</f>
        <v>1.6666666666666667</v>
      </c>
      <c r="B14" s="115">
        <f t="shared" si="0"/>
        <v>2.7777777777777781</v>
      </c>
      <c r="C14" s="115">
        <f t="shared" si="1"/>
        <v>2.666666666666667</v>
      </c>
      <c r="D14" s="115">
        <f t="shared" si="2"/>
        <v>3.666666666666667</v>
      </c>
      <c r="E14" s="136">
        <f>'punto 4'!B34</f>
        <v>2.1778209416638321E-2</v>
      </c>
      <c r="F14" s="234">
        <f t="shared" si="3"/>
        <v>1.0217782094166383</v>
      </c>
      <c r="G14" s="106">
        <f t="shared" si="4"/>
        <v>0.9647296040096609</v>
      </c>
      <c r="H14" s="106">
        <f t="shared" si="5"/>
        <v>0.92404332120954691</v>
      </c>
      <c r="J14">
        <v>0</v>
      </c>
      <c r="K14">
        <f t="shared" si="6"/>
        <v>0</v>
      </c>
      <c r="L14">
        <v>1</v>
      </c>
      <c r="M14" s="106">
        <f t="shared" si="7"/>
        <v>9.9137623432875317E-3</v>
      </c>
      <c r="N14" s="5">
        <f t="shared" si="8"/>
        <v>0.6</v>
      </c>
    </row>
    <row r="15" spans="1:14" x14ac:dyDescent="0.3">
      <c r="A15" s="259">
        <f>2</f>
        <v>2</v>
      </c>
      <c r="B15" s="115">
        <f t="shared" si="0"/>
        <v>4</v>
      </c>
      <c r="C15" s="115">
        <f t="shared" si="1"/>
        <v>3</v>
      </c>
      <c r="D15" s="115">
        <f t="shared" si="2"/>
        <v>4</v>
      </c>
      <c r="E15" s="136">
        <f>'punto 1-2-3'!B32</f>
        <v>2.2793853811976364E-2</v>
      </c>
      <c r="F15" s="234">
        <f t="shared" si="3"/>
        <v>1.0227938538119763</v>
      </c>
      <c r="G15" s="106">
        <f t="shared" si="4"/>
        <v>0.95592491436337557</v>
      </c>
      <c r="H15" s="106">
        <f t="shared" si="5"/>
        <v>0.91379244190062681</v>
      </c>
      <c r="J15">
        <v>101</v>
      </c>
      <c r="K15" s="106">
        <f t="shared" si="6"/>
        <v>0.97038408899539064</v>
      </c>
      <c r="L15">
        <v>0</v>
      </c>
      <c r="M15">
        <f t="shared" si="7"/>
        <v>0</v>
      </c>
      <c r="N15" s="5">
        <f t="shared" si="8"/>
        <v>40.400000000000006</v>
      </c>
    </row>
    <row r="16" spans="1:14" x14ac:dyDescent="0.3">
      <c r="A16" s="261">
        <f>26/12</f>
        <v>2.1666666666666665</v>
      </c>
      <c r="B16" s="115">
        <f t="shared" si="0"/>
        <v>4.6944444444444438</v>
      </c>
      <c r="C16" s="115">
        <f t="shared" si="1"/>
        <v>3.1666666666666665</v>
      </c>
      <c r="D16" s="115">
        <f t="shared" si="2"/>
        <v>4.1666666666666661</v>
      </c>
      <c r="E16" s="136">
        <f>'punto 4'!B36</f>
        <v>2.3301676009645386E-2</v>
      </c>
      <c r="F16" s="234">
        <f t="shared" si="3"/>
        <v>1.0233016760096454</v>
      </c>
      <c r="G16" s="106">
        <f t="shared" si="4"/>
        <v>0.95131719841913365</v>
      </c>
      <c r="H16" s="106">
        <f t="shared" si="5"/>
        <v>0.90848545244980272</v>
      </c>
      <c r="J16">
        <v>0</v>
      </c>
      <c r="K16">
        <f t="shared" si="6"/>
        <v>0</v>
      </c>
      <c r="L16">
        <v>1</v>
      </c>
      <c r="M16" s="106">
        <f t="shared" si="7"/>
        <v>9.7759336699228695E-3</v>
      </c>
      <c r="N16" s="5">
        <f t="shared" si="8"/>
        <v>0.6</v>
      </c>
    </row>
    <row r="17" spans="1:14" x14ac:dyDescent="0.3">
      <c r="A17" s="261">
        <f>A16+0.5</f>
        <v>2.6666666666666665</v>
      </c>
      <c r="B17" s="115">
        <f t="shared" si="0"/>
        <v>7.1111111111111107</v>
      </c>
      <c r="C17" s="115">
        <f t="shared" si="1"/>
        <v>3.6666666666666665</v>
      </c>
      <c r="D17" s="115">
        <f t="shared" si="2"/>
        <v>4.6666666666666661</v>
      </c>
      <c r="E17" s="136">
        <f>'punto 4'!B38</f>
        <v>2.460326883376571E-2</v>
      </c>
      <c r="F17" s="234">
        <f t="shared" si="3"/>
        <v>1.0246032688337656</v>
      </c>
      <c r="G17" s="106">
        <f t="shared" si="4"/>
        <v>0.93724119212401558</v>
      </c>
      <c r="H17" s="106">
        <f t="shared" si="5"/>
        <v>0.89277062792837225</v>
      </c>
      <c r="J17">
        <v>0</v>
      </c>
      <c r="K17">
        <f t="shared" si="6"/>
        <v>0</v>
      </c>
      <c r="L17">
        <v>1</v>
      </c>
      <c r="M17" s="106">
        <f t="shared" si="7"/>
        <v>9.631285697504037E-3</v>
      </c>
      <c r="N17" s="5">
        <f t="shared" si="8"/>
        <v>0.6</v>
      </c>
    </row>
    <row r="18" spans="1:14" x14ac:dyDescent="0.3">
      <c r="A18" s="261">
        <f t="shared" ref="A18:A20" si="9">A17+0.5</f>
        <v>3.1666666666666665</v>
      </c>
      <c r="B18" s="115">
        <f t="shared" si="0"/>
        <v>10.027777777777777</v>
      </c>
      <c r="C18" s="115">
        <f t="shared" si="1"/>
        <v>4.1666666666666661</v>
      </c>
      <c r="D18" s="115">
        <f t="shared" si="2"/>
        <v>5.1666666666666661</v>
      </c>
      <c r="E18" s="136">
        <f>'punto 4'!B39</f>
        <v>2.5461114120112566E-2</v>
      </c>
      <c r="F18" s="234">
        <f t="shared" si="3"/>
        <v>1.0254611141201126</v>
      </c>
      <c r="G18" s="106">
        <f t="shared" si="4"/>
        <v>0.92346947538627633</v>
      </c>
      <c r="H18" s="106">
        <f t="shared" si="5"/>
        <v>0.87818123311397134</v>
      </c>
      <c r="J18">
        <v>0</v>
      </c>
      <c r="K18">
        <f t="shared" si="6"/>
        <v>0</v>
      </c>
      <c r="L18">
        <v>1</v>
      </c>
      <c r="M18" s="106">
        <f t="shared" si="7"/>
        <v>9.4897646679538185E-3</v>
      </c>
      <c r="N18" s="5">
        <f t="shared" si="8"/>
        <v>0.6</v>
      </c>
    </row>
    <row r="19" spans="1:14" x14ac:dyDescent="0.3">
      <c r="A19" s="261">
        <f t="shared" si="9"/>
        <v>3.6666666666666665</v>
      </c>
      <c r="B19" s="115">
        <f t="shared" si="0"/>
        <v>13.444444444444443</v>
      </c>
      <c r="C19" s="115">
        <f t="shared" si="1"/>
        <v>4.6666666666666661</v>
      </c>
      <c r="D19" s="115">
        <f t="shared" si="2"/>
        <v>5.6666666666666661</v>
      </c>
      <c r="E19" s="136">
        <f>'punto 4'!B41</f>
        <v>2.6318959406459425E-2</v>
      </c>
      <c r="F19" s="234">
        <f t="shared" si="3"/>
        <v>1.0263189594064595</v>
      </c>
      <c r="G19" s="106">
        <f t="shared" si="4"/>
        <v>0.90914127832037706</v>
      </c>
      <c r="H19" s="106">
        <f t="shared" si="5"/>
        <v>0.86311104297586638</v>
      </c>
      <c r="J19">
        <v>0</v>
      </c>
      <c r="K19">
        <f t="shared" si="6"/>
        <v>0</v>
      </c>
      <c r="L19">
        <v>1</v>
      </c>
      <c r="M19" s="106">
        <f t="shared" si="7"/>
        <v>9.3425251306485119E-3</v>
      </c>
      <c r="N19" s="5">
        <f t="shared" si="8"/>
        <v>0.6</v>
      </c>
    </row>
    <row r="20" spans="1:14" x14ac:dyDescent="0.3">
      <c r="A20" s="262">
        <f t="shared" si="9"/>
        <v>4.1666666666666661</v>
      </c>
      <c r="B20" s="227">
        <f t="shared" si="0"/>
        <v>17.361111111111107</v>
      </c>
      <c r="C20" s="227">
        <f t="shared" si="1"/>
        <v>5.1666666666666661</v>
      </c>
      <c r="D20" s="227">
        <f t="shared" si="2"/>
        <v>6.1666666666666661</v>
      </c>
      <c r="E20" s="235">
        <f>'punto 4'!B42</f>
        <v>2.7176804692806273E-2</v>
      </c>
      <c r="F20" s="236">
        <f t="shared" si="3"/>
        <v>1.0271768046928063</v>
      </c>
      <c r="G20" s="228">
        <f t="shared" si="4"/>
        <v>0.89428988296741385</v>
      </c>
      <c r="H20" s="228">
        <f t="shared" si="5"/>
        <v>0.84759407097758455</v>
      </c>
      <c r="I20" s="72"/>
      <c r="J20" s="72">
        <v>0</v>
      </c>
      <c r="K20" s="72">
        <f t="shared" si="6"/>
        <v>0</v>
      </c>
      <c r="L20" s="72">
        <v>101</v>
      </c>
      <c r="M20" s="228">
        <f t="shared" si="7"/>
        <v>0.92818081897620963</v>
      </c>
      <c r="N20" s="73">
        <f t="shared" si="8"/>
        <v>60.599999999999994</v>
      </c>
    </row>
    <row r="21" spans="1:14" x14ac:dyDescent="0.3">
      <c r="A21" s="115"/>
      <c r="B21" s="115"/>
      <c r="C21" s="115"/>
      <c r="D21" s="115"/>
      <c r="E21" s="102"/>
      <c r="F21" s="221"/>
      <c r="G21" s="106"/>
      <c r="H21" s="106"/>
    </row>
    <row r="22" spans="1:14" x14ac:dyDescent="0.3">
      <c r="A22" s="115"/>
      <c r="B22" s="115"/>
      <c r="C22" s="115"/>
      <c r="D22" s="115"/>
      <c r="E22" s="102"/>
      <c r="F22" s="221"/>
      <c r="G22" s="106"/>
      <c r="H22" s="106"/>
    </row>
    <row r="23" spans="1:14" x14ac:dyDescent="0.3">
      <c r="A23" s="115"/>
      <c r="B23" s="115"/>
      <c r="C23" s="222" t="s">
        <v>70</v>
      </c>
      <c r="D23" s="223" t="s">
        <v>71</v>
      </c>
      <c r="E23" s="223" t="s">
        <v>72</v>
      </c>
      <c r="F23" s="223" t="s">
        <v>73</v>
      </c>
      <c r="G23" s="224" t="s">
        <v>74</v>
      </c>
      <c r="J23" s="287" t="s">
        <v>75</v>
      </c>
      <c r="K23" s="287"/>
      <c r="L23" s="287"/>
      <c r="M23" s="288">
        <f>(D24*E24*F24+D25*E25*F25)/(D24*E24+D25*E25)</f>
        <v>3.1863895368742448</v>
      </c>
      <c r="N23" s="288"/>
    </row>
    <row r="24" spans="1:14" x14ac:dyDescent="0.3">
      <c r="C24" s="112">
        <v>1</v>
      </c>
      <c r="D24" s="266">
        <f>C3</f>
        <v>99.495052985312853</v>
      </c>
      <c r="E24" s="119">
        <f>2/5</f>
        <v>0.4</v>
      </c>
      <c r="F24" s="226" cm="1">
        <f t="array" ref="F24">SUM(A8:A20*K8:K20)</f>
        <v>1.9702425903290277</v>
      </c>
      <c r="G24" s="264" cm="1">
        <f t="array" ref="G24">SUM(A8:A20*C8:C20*J8:J20*H8:H20)/SUM(J8:J20*G8:G20)</f>
        <v>5.627084409330414</v>
      </c>
      <c r="J24" s="287" t="s">
        <v>76</v>
      </c>
      <c r="K24" s="287"/>
      <c r="L24" s="287"/>
      <c r="M24" s="288">
        <f>(D24*E24*G24+D25*E25*G25)/(D24*E24+D25*E25)</f>
        <v>13.764001252007565</v>
      </c>
      <c r="N24" s="288"/>
    </row>
    <row r="25" spans="1:14" x14ac:dyDescent="0.3">
      <c r="C25" s="71">
        <v>2</v>
      </c>
      <c r="D25" s="244">
        <f>C4</f>
        <v>97.312157645463998</v>
      </c>
      <c r="E25" s="72">
        <f>3/5</f>
        <v>0.6</v>
      </c>
      <c r="F25" s="228" cm="1">
        <f t="array" ref="F25">SUM(A8:A20*M8:M20)</f>
        <v>4.0153411486230564</v>
      </c>
      <c r="G25" s="265" cm="1">
        <f t="array" ref="G25">SUM(A8:A20*C8:C20*H8:H20*L8:L20)/SUM(L8:L20*G8:G20)</f>
        <v>19.310296747436411</v>
      </c>
    </row>
    <row r="33" spans="1:13" ht="15.6" x14ac:dyDescent="0.3">
      <c r="A33" s="289" t="s">
        <v>77</v>
      </c>
      <c r="B33" s="289"/>
      <c r="K33" s="240"/>
    </row>
    <row r="35" spans="1:13" x14ac:dyDescent="0.3">
      <c r="A35" s="220" t="s">
        <v>79</v>
      </c>
      <c r="B35" s="238">
        <v>4000</v>
      </c>
      <c r="E35" s="222" t="s">
        <v>70</v>
      </c>
      <c r="F35" s="223" t="s">
        <v>71</v>
      </c>
      <c r="G35" s="231" t="s">
        <v>73</v>
      </c>
      <c r="I35" s="245">
        <f>F36</f>
        <v>99.495052985312853</v>
      </c>
      <c r="J35" s="246" t="s">
        <v>82</v>
      </c>
      <c r="K35" s="247">
        <f>F37</f>
        <v>97.312157645463998</v>
      </c>
      <c r="L35" s="246" t="s">
        <v>83</v>
      </c>
      <c r="M35" s="248">
        <f>B38</f>
        <v>3712.4939967052092</v>
      </c>
    </row>
    <row r="36" spans="1:13" x14ac:dyDescent="0.3">
      <c r="A36" s="241" t="s">
        <v>80</v>
      </c>
      <c r="B36" s="239">
        <v>3</v>
      </c>
      <c r="E36" s="112">
        <v>1</v>
      </c>
      <c r="F36" s="229">
        <f>D24</f>
        <v>99.495052985312853</v>
      </c>
      <c r="G36" s="141">
        <f>F24</f>
        <v>1.9702425903290277</v>
      </c>
      <c r="I36" s="245">
        <f>F36*G36</f>
        <v>196.02939091870667</v>
      </c>
      <c r="J36" s="246" t="s">
        <v>82</v>
      </c>
      <c r="K36" s="247">
        <f>F37*G37</f>
        <v>390.74151085512534</v>
      </c>
      <c r="L36" s="246" t="s">
        <v>83</v>
      </c>
      <c r="M36" s="257">
        <f>B36*M35</f>
        <v>11137.481990115628</v>
      </c>
    </row>
    <row r="37" spans="1:13" x14ac:dyDescent="0.3">
      <c r="A37" s="241" t="s">
        <v>78</v>
      </c>
      <c r="B37" s="251">
        <f>((A41-B36)*B40+(B36-A40)*B41)/(A41-A40)</f>
        <v>2.5175165691330281E-2</v>
      </c>
      <c r="C37" s="253" t="s">
        <v>48</v>
      </c>
      <c r="E37" s="71">
        <v>2</v>
      </c>
      <c r="F37" s="230">
        <f>D25</f>
        <v>97.312157645463998</v>
      </c>
      <c r="G37" s="237">
        <f>F25</f>
        <v>4.0153411486230564</v>
      </c>
    </row>
    <row r="38" spans="1:13" x14ac:dyDescent="0.3">
      <c r="A38" s="243" t="s">
        <v>81</v>
      </c>
      <c r="B38" s="252">
        <f>B35*(1+B37)^(-B36)</f>
        <v>3712.4939967052092</v>
      </c>
      <c r="I38" s="100" t="s">
        <v>84</v>
      </c>
      <c r="J38" s="233">
        <f>I35</f>
        <v>99.495052985312853</v>
      </c>
      <c r="K38" s="242">
        <f>K35</f>
        <v>97.312157645463998</v>
      </c>
      <c r="L38" s="100" t="s">
        <v>69</v>
      </c>
      <c r="M38" s="115">
        <f>MDETERM(J38:K39)</f>
        <v>19800.804333866425</v>
      </c>
    </row>
    <row r="39" spans="1:13" x14ac:dyDescent="0.3">
      <c r="I39" s="100"/>
      <c r="J39" s="233">
        <f>I36</f>
        <v>196.02939091870667</v>
      </c>
      <c r="K39" s="242">
        <f>K36</f>
        <v>390.74151085512534</v>
      </c>
      <c r="L39" s="100"/>
      <c r="M39" s="115"/>
    </row>
    <row r="40" spans="1:13" x14ac:dyDescent="0.3">
      <c r="A40">
        <v>2.5</v>
      </c>
      <c r="B40" s="254">
        <f>lezione!G9</f>
        <v>2.4317320404983425E-2</v>
      </c>
      <c r="F40" s="249" t="s">
        <v>87</v>
      </c>
      <c r="G40" s="267">
        <f>M41/M38</f>
        <v>18.525162106174996</v>
      </c>
      <c r="I40" s="100"/>
      <c r="J40" s="115"/>
      <c r="K40" s="115"/>
      <c r="L40" s="100"/>
      <c r="M40" s="115"/>
    </row>
    <row r="41" spans="1:13" x14ac:dyDescent="0.3">
      <c r="A41">
        <v>3.25</v>
      </c>
      <c r="B41" s="254">
        <f>lezione!G10</f>
        <v>2.560408833450371E-2</v>
      </c>
      <c r="G41" s="268">
        <f>M44/M38</f>
        <v>19.209645090804869</v>
      </c>
      <c r="I41" s="100" t="s">
        <v>85</v>
      </c>
      <c r="J41" s="233">
        <f>M35</f>
        <v>3712.4939967052092</v>
      </c>
      <c r="K41" s="242">
        <f>K35</f>
        <v>97.312157645463998</v>
      </c>
      <c r="L41" s="100" t="s">
        <v>69</v>
      </c>
      <c r="M41" s="115">
        <f>MDETERM(J41:K42)</f>
        <v>366813.11011752789</v>
      </c>
    </row>
    <row r="42" spans="1:13" x14ac:dyDescent="0.3">
      <c r="I42" s="100"/>
      <c r="J42" s="233">
        <f>M36</f>
        <v>11137.481990115628</v>
      </c>
      <c r="K42" s="242">
        <f>K36</f>
        <v>390.74151085512534</v>
      </c>
      <c r="L42" s="100"/>
      <c r="M42" s="115"/>
    </row>
    <row r="43" spans="1:13" x14ac:dyDescent="0.3">
      <c r="E43" t="s">
        <v>88</v>
      </c>
      <c r="G43">
        <f>G40*F36+G41*F37-B38</f>
        <v>0</v>
      </c>
      <c r="I43" s="100"/>
      <c r="J43" s="115"/>
      <c r="K43" s="115"/>
      <c r="L43" s="100"/>
      <c r="M43" s="115"/>
    </row>
    <row r="44" spans="1:13" x14ac:dyDescent="0.3">
      <c r="E44" t="s">
        <v>89</v>
      </c>
      <c r="G44">
        <f>G40*F36*F24+G41*F37*F25-B36*B38</f>
        <v>0</v>
      </c>
      <c r="I44" s="100" t="s">
        <v>86</v>
      </c>
      <c r="J44" s="233">
        <f>I35</f>
        <v>99.495052985312853</v>
      </c>
      <c r="K44" s="242">
        <f>M35</f>
        <v>3712.4939967052092</v>
      </c>
      <c r="L44" s="100" t="s">
        <v>69</v>
      </c>
      <c r="M44" s="115">
        <f>MDETERM(J44:K45)</f>
        <v>380366.42376604496</v>
      </c>
    </row>
    <row r="45" spans="1:13" x14ac:dyDescent="0.3">
      <c r="J45" s="233">
        <f>I36</f>
        <v>196.02939091870667</v>
      </c>
      <c r="K45" s="242">
        <f>M36</f>
        <v>11137.481990115628</v>
      </c>
    </row>
  </sheetData>
  <mergeCells count="6">
    <mergeCell ref="A1:F1"/>
    <mergeCell ref="J23:L23"/>
    <mergeCell ref="M23:N23"/>
    <mergeCell ref="J24:L24"/>
    <mergeCell ref="M24:N24"/>
    <mergeCell ref="A33:B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lezione</vt:lpstr>
      <vt:lpstr>punto 1-2-3</vt:lpstr>
      <vt:lpstr>punto 4</vt:lpstr>
      <vt:lpstr>punto 5-6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Gabriele Pagliarini</dc:creator>
  <cp:keywords/>
  <dc:description/>
  <cp:lastModifiedBy>Gabriele Pagliarini</cp:lastModifiedBy>
  <cp:revision/>
  <dcterms:created xsi:type="dcterms:W3CDTF">2025-04-24T10:31:36Z</dcterms:created>
  <dcterms:modified xsi:type="dcterms:W3CDTF">2025-04-30T13:10:20Z</dcterms:modified>
  <cp:category/>
  <cp:contentStatus/>
</cp:coreProperties>
</file>