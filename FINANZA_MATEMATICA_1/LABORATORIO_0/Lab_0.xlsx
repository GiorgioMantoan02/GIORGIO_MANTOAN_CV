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orgio\Desktop\FINANZA_MATEMATICA_1\LABORATORIO_0\"/>
    </mc:Choice>
  </mc:AlternateContent>
  <xr:revisionPtr revIDLastSave="0" documentId="8_{7286993F-F364-43AC-83EB-C0B2DD5EE3F7}" xr6:coauthVersionLast="47" xr6:coauthVersionMax="47" xr10:uidLastSave="{00000000-0000-0000-0000-000000000000}"/>
  <bookViews>
    <workbookView xWindow="-108" yWindow="-108" windowWidth="23256" windowHeight="13176" activeTab="5" xr2:uid="{E4B02A8D-1A96-4C79-B526-29FEACD10256}"/>
  </bookViews>
  <sheets>
    <sheet name="Stock aggiornato" sheetId="6" r:id="rId1"/>
    <sheet name="Stock data" sheetId="1" r:id="rId2"/>
    <sheet name="Venerdì" sheetId="2" r:id="rId3"/>
    <sheet name="Portafogli" sheetId="3" r:id="rId4"/>
    <sheet name="Consegna" sheetId="7" r:id="rId5"/>
    <sheet name="Ricalcolo" sheetId="8" r:id="rId6"/>
  </sheets>
  <definedNames>
    <definedName name="DJIA">Venerdì!$W$12:$W$115</definedName>
    <definedName name="DJIA_9">Venerdì!$W$3:$W$11</definedName>
    <definedName name="e">Venerdì!$W$129:$W$133</definedName>
    <definedName name="HSI">Venerdì!$X$12:$X$115</definedName>
    <definedName name="HSI_9">Venerdì!$X$3:$X$11</definedName>
    <definedName name="IXIC">Venerdì!$AA$12:$AA$115</definedName>
    <definedName name="IXIC_9">Venerdì!$AA$3:$AA$11</definedName>
    <definedName name="N225E">Venerdì!$Y$12:$Y$115</definedName>
    <definedName name="N225E_9">Venerdì!$Y$3:$Y$11</definedName>
    <definedName name="STOXX">Venerdì!$Z$12:$Z$115</definedName>
    <definedName name="STOXX_9">Venerdì!$Z$3:$Z$11</definedName>
    <definedName name="V">Venerdì!$W$123:$AA$127</definedName>
    <definedName name="V_9" localSheetId="5">Ricalcolo!#REF!</definedName>
    <definedName name="V_9">Consegna!$K$43:$O$47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31" i="2" l="1"/>
  <c r="AH126" i="2"/>
  <c r="AH127" i="2"/>
  <c r="AH128" i="2"/>
  <c r="AH129" i="2"/>
  <c r="AH131" i="2" s="1"/>
  <c r="AH130" i="2"/>
  <c r="AJ131" i="2"/>
  <c r="AJ127" i="2"/>
  <c r="AJ128" i="2"/>
  <c r="AJ129" i="2"/>
  <c r="AJ130" i="2"/>
  <c r="AJ126" i="2"/>
  <c r="AF127" i="2"/>
  <c r="AF128" i="2"/>
  <c r="AF129" i="2"/>
  <c r="AF130" i="2"/>
  <c r="AF126" i="2"/>
  <c r="AK127" i="2"/>
  <c r="AK128" i="2"/>
  <c r="AK129" i="2"/>
  <c r="AK130" i="2"/>
  <c r="AK126" i="2"/>
  <c r="AD130" i="2"/>
  <c r="AD129" i="2"/>
  <c r="AD128" i="2"/>
  <c r="AD127" i="2"/>
  <c r="AD126" i="2"/>
  <c r="AD118" i="2"/>
  <c r="AK119" i="2"/>
  <c r="AK120" i="2"/>
  <c r="AK121" i="2"/>
  <c r="AK122" i="2"/>
  <c r="AK118" i="2"/>
  <c r="AI123" i="2"/>
  <c r="AJ119" i="2"/>
  <c r="AJ120" i="2"/>
  <c r="AJ121" i="2"/>
  <c r="AJ122" i="2"/>
  <c r="AJ118" i="2"/>
  <c r="AG123" i="2"/>
  <c r="AH119" i="2"/>
  <c r="AH123" i="2" s="1"/>
  <c r="AH120" i="2"/>
  <c r="AH121" i="2"/>
  <c r="AH122" i="2"/>
  <c r="AH118" i="2"/>
  <c r="AF119" i="2"/>
  <c r="AF123" i="2" s="1"/>
  <c r="AF120" i="2"/>
  <c r="AF121" i="2"/>
  <c r="AF122" i="2"/>
  <c r="AF118" i="2"/>
  <c r="AD119" i="2"/>
  <c r="AD120" i="2"/>
  <c r="AD121" i="2"/>
  <c r="AD122" i="2"/>
  <c r="AF131" i="2" l="1"/>
  <c r="AK123" i="2"/>
  <c r="AJ123" i="2"/>
  <c r="T57" i="7"/>
  <c r="O33" i="8"/>
  <c r="AA120" i="2"/>
  <c r="Z120" i="2"/>
  <c r="Y120" i="2"/>
  <c r="X120" i="2"/>
  <c r="W120" i="2"/>
  <c r="W119" i="2"/>
  <c r="R50" i="7" s="1"/>
  <c r="O5" i="8"/>
  <c r="O6" i="8"/>
  <c r="O7" i="8"/>
  <c r="O8" i="8"/>
  <c r="O9" i="8"/>
  <c r="O10" i="8"/>
  <c r="O11" i="8"/>
  <c r="O12" i="8"/>
  <c r="N5" i="8"/>
  <c r="N6" i="8"/>
  <c r="N7" i="8"/>
  <c r="N8" i="8"/>
  <c r="N9" i="8"/>
  <c r="N10" i="8"/>
  <c r="N11" i="8"/>
  <c r="N12" i="8"/>
  <c r="M5" i="8"/>
  <c r="M6" i="8"/>
  <c r="M7" i="8"/>
  <c r="M8" i="8"/>
  <c r="M14" i="8" s="1"/>
  <c r="M9" i="8"/>
  <c r="M10" i="8"/>
  <c r="M11" i="8"/>
  <c r="M12" i="8"/>
  <c r="L5" i="8"/>
  <c r="L6" i="8"/>
  <c r="L7" i="8"/>
  <c r="L8" i="8"/>
  <c r="L9" i="8"/>
  <c r="L10" i="8"/>
  <c r="L11" i="8"/>
  <c r="L12" i="8"/>
  <c r="L4" i="8"/>
  <c r="M4" i="8"/>
  <c r="N4" i="8"/>
  <c r="O4" i="8"/>
  <c r="K5" i="8"/>
  <c r="K6" i="8"/>
  <c r="K7" i="8"/>
  <c r="K8" i="8"/>
  <c r="K9" i="8"/>
  <c r="K10" i="8"/>
  <c r="K11" i="8"/>
  <c r="K12" i="8"/>
  <c r="K4" i="8"/>
  <c r="D31" i="8"/>
  <c r="D31" i="7"/>
  <c r="K38" i="7"/>
  <c r="L38" i="7"/>
  <c r="M38" i="7"/>
  <c r="N38" i="7"/>
  <c r="O38" i="7"/>
  <c r="K39" i="7"/>
  <c r="K43" i="7" s="1"/>
  <c r="L39" i="7"/>
  <c r="M39" i="7"/>
  <c r="M45" i="7" s="1"/>
  <c r="N39" i="7"/>
  <c r="N46" i="7" s="1"/>
  <c r="O39" i="7"/>
  <c r="O47" i="7" s="1"/>
  <c r="N43" i="7"/>
  <c r="O43" i="7"/>
  <c r="N44" i="7"/>
  <c r="O44" i="7"/>
  <c r="N45" i="7"/>
  <c r="M46" i="7" s="1"/>
  <c r="O45" i="7"/>
  <c r="M47" i="7" s="1"/>
  <c r="O46" i="7"/>
  <c r="N47" i="7" s="1"/>
  <c r="M43" i="7"/>
  <c r="M44" i="7"/>
  <c r="O12" i="7"/>
  <c r="N12" i="7"/>
  <c r="M12" i="7"/>
  <c r="L12" i="7"/>
  <c r="K12" i="7"/>
  <c r="O11" i="7"/>
  <c r="N11" i="7"/>
  <c r="M11" i="7"/>
  <c r="L11" i="7"/>
  <c r="K11" i="7"/>
  <c r="O10" i="7"/>
  <c r="N10" i="7"/>
  <c r="M10" i="7"/>
  <c r="L10" i="7"/>
  <c r="K10" i="7"/>
  <c r="O9" i="7"/>
  <c r="N9" i="7"/>
  <c r="M9" i="7"/>
  <c r="L9" i="7"/>
  <c r="K9" i="7"/>
  <c r="O8" i="7"/>
  <c r="N8" i="7"/>
  <c r="M8" i="7"/>
  <c r="L8" i="7"/>
  <c r="K8" i="7"/>
  <c r="O7" i="7"/>
  <c r="N7" i="7"/>
  <c r="M7" i="7"/>
  <c r="L7" i="7"/>
  <c r="K7" i="7"/>
  <c r="O6" i="7"/>
  <c r="N6" i="7"/>
  <c r="M6" i="7"/>
  <c r="L6" i="7"/>
  <c r="K6" i="7"/>
  <c r="O5" i="7"/>
  <c r="N5" i="7"/>
  <c r="M5" i="7"/>
  <c r="L5" i="7"/>
  <c r="K5" i="7"/>
  <c r="O4" i="7"/>
  <c r="N4" i="7"/>
  <c r="M4" i="7"/>
  <c r="L4" i="7"/>
  <c r="K4" i="7"/>
  <c r="T56" i="7"/>
  <c r="T55" i="7"/>
  <c r="T54" i="7"/>
  <c r="X3" i="2"/>
  <c r="Y3" i="2"/>
  <c r="Z3" i="2"/>
  <c r="AA3" i="2"/>
  <c r="X4" i="2"/>
  <c r="Y4" i="2"/>
  <c r="Z4" i="2"/>
  <c r="AA4" i="2"/>
  <c r="X5" i="2"/>
  <c r="Y5" i="2"/>
  <c r="Z5" i="2"/>
  <c r="AA5" i="2"/>
  <c r="X6" i="2"/>
  <c r="Y6" i="2"/>
  <c r="Z6" i="2"/>
  <c r="AA6" i="2"/>
  <c r="X7" i="2"/>
  <c r="Y7" i="2"/>
  <c r="Z7" i="2"/>
  <c r="AA7" i="2"/>
  <c r="X8" i="2"/>
  <c r="Y8" i="2"/>
  <c r="Z8" i="2"/>
  <c r="AA8" i="2"/>
  <c r="X9" i="2"/>
  <c r="Y9" i="2"/>
  <c r="Z9" i="2"/>
  <c r="AA9" i="2"/>
  <c r="X10" i="2"/>
  <c r="Y10" i="2"/>
  <c r="Z10" i="2"/>
  <c r="AA10" i="2"/>
  <c r="X11" i="2"/>
  <c r="Y11" i="2"/>
  <c r="Z11" i="2"/>
  <c r="AA11" i="2"/>
  <c r="W3" i="2"/>
  <c r="K46" i="7" s="1"/>
  <c r="W4" i="2"/>
  <c r="W5" i="2"/>
  <c r="W6" i="2"/>
  <c r="L43" i="7" s="1"/>
  <c r="K44" i="7" s="1"/>
  <c r="W7" i="2"/>
  <c r="W8" i="2"/>
  <c r="W9" i="2"/>
  <c r="W10" i="2"/>
  <c r="W11" i="2"/>
  <c r="Q3" i="2"/>
  <c r="Q4" i="2"/>
  <c r="Q5" i="2"/>
  <c r="Q6" i="2"/>
  <c r="Q7" i="2"/>
  <c r="Q8" i="2"/>
  <c r="Q9" i="2"/>
  <c r="Q10" i="2"/>
  <c r="Q11" i="2"/>
  <c r="M3" i="2"/>
  <c r="M4" i="2"/>
  <c r="M5" i="2"/>
  <c r="M6" i="2"/>
  <c r="M7" i="2"/>
  <c r="M8" i="2"/>
  <c r="M9" i="2"/>
  <c r="M10" i="2"/>
  <c r="M11" i="2"/>
  <c r="I3" i="2"/>
  <c r="I4" i="2"/>
  <c r="I5" i="2"/>
  <c r="I6" i="2"/>
  <c r="I7" i="2"/>
  <c r="I8" i="2"/>
  <c r="I9" i="2"/>
  <c r="I10" i="2"/>
  <c r="I11" i="2"/>
  <c r="E3" i="2"/>
  <c r="E4" i="2"/>
  <c r="E5" i="2"/>
  <c r="E6" i="2"/>
  <c r="E7" i="2"/>
  <c r="E8" i="2"/>
  <c r="E9" i="2"/>
  <c r="E10" i="2"/>
  <c r="E11" i="2"/>
  <c r="A3" i="2"/>
  <c r="A4" i="2"/>
  <c r="A5" i="2"/>
  <c r="A6" i="2"/>
  <c r="A7" i="2"/>
  <c r="A8" i="2"/>
  <c r="A9" i="2"/>
  <c r="A10" i="2"/>
  <c r="A11" i="2"/>
  <c r="W17" i="2"/>
  <c r="U7" i="6"/>
  <c r="U8" i="6"/>
  <c r="U9" i="6"/>
  <c r="U10" i="6"/>
  <c r="U11" i="6"/>
  <c r="U12" i="6"/>
  <c r="U13" i="6"/>
  <c r="U14" i="6"/>
  <c r="U15" i="6"/>
  <c r="T7" i="6"/>
  <c r="T8" i="6"/>
  <c r="T9" i="6"/>
  <c r="T10" i="6"/>
  <c r="T11" i="6"/>
  <c r="T12" i="6"/>
  <c r="T13" i="6"/>
  <c r="T14" i="6"/>
  <c r="T15" i="6"/>
  <c r="S7" i="6"/>
  <c r="S8" i="6"/>
  <c r="S9" i="6"/>
  <c r="S10" i="6"/>
  <c r="S11" i="6"/>
  <c r="S12" i="6"/>
  <c r="S13" i="6"/>
  <c r="S14" i="6"/>
  <c r="S15" i="6"/>
  <c r="R7" i="6"/>
  <c r="R8" i="6"/>
  <c r="R9" i="6"/>
  <c r="R10" i="6"/>
  <c r="R11" i="6"/>
  <c r="R12" i="6"/>
  <c r="R13" i="6"/>
  <c r="R14" i="6"/>
  <c r="R15" i="6"/>
  <c r="Q7" i="6"/>
  <c r="Q8" i="6"/>
  <c r="Q9" i="6"/>
  <c r="Q10" i="6"/>
  <c r="Q11" i="6"/>
  <c r="Q12" i="6"/>
  <c r="Q13" i="6"/>
  <c r="Q14" i="6"/>
  <c r="Q15" i="6"/>
  <c r="U16" i="6"/>
  <c r="W14" i="2"/>
  <c r="U119" i="6"/>
  <c r="T119" i="6"/>
  <c r="S119" i="6"/>
  <c r="R119" i="6"/>
  <c r="Q119" i="6"/>
  <c r="U118" i="6"/>
  <c r="T118" i="6"/>
  <c r="S118" i="6"/>
  <c r="R118" i="6"/>
  <c r="Q118" i="6"/>
  <c r="U117" i="6"/>
  <c r="T117" i="6"/>
  <c r="S117" i="6"/>
  <c r="R117" i="6"/>
  <c r="Q117" i="6"/>
  <c r="U116" i="6"/>
  <c r="T116" i="6"/>
  <c r="S116" i="6"/>
  <c r="R116" i="6"/>
  <c r="Q116" i="6"/>
  <c r="U115" i="6"/>
  <c r="T115" i="6"/>
  <c r="S115" i="6"/>
  <c r="R115" i="6"/>
  <c r="Q115" i="6"/>
  <c r="U114" i="6"/>
  <c r="T114" i="6"/>
  <c r="S114" i="6"/>
  <c r="R114" i="6"/>
  <c r="Q114" i="6"/>
  <c r="U113" i="6"/>
  <c r="T113" i="6"/>
  <c r="S113" i="6"/>
  <c r="R113" i="6"/>
  <c r="Q113" i="6"/>
  <c r="U112" i="6"/>
  <c r="T112" i="6"/>
  <c r="S112" i="6"/>
  <c r="R112" i="6"/>
  <c r="Q112" i="6"/>
  <c r="U111" i="6"/>
  <c r="T111" i="6"/>
  <c r="S111" i="6"/>
  <c r="R111" i="6"/>
  <c r="Q111" i="6"/>
  <c r="U110" i="6"/>
  <c r="T110" i="6"/>
  <c r="S110" i="6"/>
  <c r="R110" i="6"/>
  <c r="Q110" i="6"/>
  <c r="U109" i="6"/>
  <c r="T109" i="6"/>
  <c r="S109" i="6"/>
  <c r="R109" i="6"/>
  <c r="Q109" i="6"/>
  <c r="U108" i="6"/>
  <c r="T108" i="6"/>
  <c r="S108" i="6"/>
  <c r="R108" i="6"/>
  <c r="Q108" i="6"/>
  <c r="U107" i="6"/>
  <c r="T107" i="6"/>
  <c r="S107" i="6"/>
  <c r="R107" i="6"/>
  <c r="Q107" i="6"/>
  <c r="U106" i="6"/>
  <c r="T106" i="6"/>
  <c r="S106" i="6"/>
  <c r="R106" i="6"/>
  <c r="Q106" i="6"/>
  <c r="U105" i="6"/>
  <c r="T105" i="6"/>
  <c r="S105" i="6"/>
  <c r="R105" i="6"/>
  <c r="Q105" i="6"/>
  <c r="U104" i="6"/>
  <c r="T104" i="6"/>
  <c r="S104" i="6"/>
  <c r="R104" i="6"/>
  <c r="Q104" i="6"/>
  <c r="U103" i="6"/>
  <c r="T103" i="6"/>
  <c r="S103" i="6"/>
  <c r="R103" i="6"/>
  <c r="Q103" i="6"/>
  <c r="U102" i="6"/>
  <c r="T102" i="6"/>
  <c r="S102" i="6"/>
  <c r="R102" i="6"/>
  <c r="Q102" i="6"/>
  <c r="U101" i="6"/>
  <c r="T101" i="6"/>
  <c r="S101" i="6"/>
  <c r="R101" i="6"/>
  <c r="Q101" i="6"/>
  <c r="U100" i="6"/>
  <c r="T100" i="6"/>
  <c r="S100" i="6"/>
  <c r="R100" i="6"/>
  <c r="Q100" i="6"/>
  <c r="U99" i="6"/>
  <c r="T99" i="6"/>
  <c r="S99" i="6"/>
  <c r="R99" i="6"/>
  <c r="Q99" i="6"/>
  <c r="U98" i="6"/>
  <c r="T98" i="6"/>
  <c r="S98" i="6"/>
  <c r="R98" i="6"/>
  <c r="Q98" i="6"/>
  <c r="U97" i="6"/>
  <c r="T97" i="6"/>
  <c r="S97" i="6"/>
  <c r="R97" i="6"/>
  <c r="Q97" i="6"/>
  <c r="U96" i="6"/>
  <c r="T96" i="6"/>
  <c r="S96" i="6"/>
  <c r="R96" i="6"/>
  <c r="Q96" i="6"/>
  <c r="U95" i="6"/>
  <c r="T95" i="6"/>
  <c r="S95" i="6"/>
  <c r="R95" i="6"/>
  <c r="Q95" i="6"/>
  <c r="U94" i="6"/>
  <c r="T94" i="6"/>
  <c r="S94" i="6"/>
  <c r="R94" i="6"/>
  <c r="Q94" i="6"/>
  <c r="U93" i="6"/>
  <c r="T93" i="6"/>
  <c r="S93" i="6"/>
  <c r="R93" i="6"/>
  <c r="Q93" i="6"/>
  <c r="U92" i="6"/>
  <c r="T92" i="6"/>
  <c r="S92" i="6"/>
  <c r="R92" i="6"/>
  <c r="Q92" i="6"/>
  <c r="U91" i="6"/>
  <c r="T91" i="6"/>
  <c r="S91" i="6"/>
  <c r="R91" i="6"/>
  <c r="Q91" i="6"/>
  <c r="U90" i="6"/>
  <c r="T90" i="6"/>
  <c r="S90" i="6"/>
  <c r="R90" i="6"/>
  <c r="Q90" i="6"/>
  <c r="U89" i="6"/>
  <c r="T89" i="6"/>
  <c r="S89" i="6"/>
  <c r="R89" i="6"/>
  <c r="Q89" i="6"/>
  <c r="U88" i="6"/>
  <c r="T88" i="6"/>
  <c r="S88" i="6"/>
  <c r="R88" i="6"/>
  <c r="Q88" i="6"/>
  <c r="U87" i="6"/>
  <c r="T87" i="6"/>
  <c r="S87" i="6"/>
  <c r="R87" i="6"/>
  <c r="Q87" i="6"/>
  <c r="U86" i="6"/>
  <c r="T86" i="6"/>
  <c r="S86" i="6"/>
  <c r="R86" i="6"/>
  <c r="Q86" i="6"/>
  <c r="U85" i="6"/>
  <c r="T85" i="6"/>
  <c r="S85" i="6"/>
  <c r="R85" i="6"/>
  <c r="Q85" i="6"/>
  <c r="U84" i="6"/>
  <c r="T84" i="6"/>
  <c r="S84" i="6"/>
  <c r="R84" i="6"/>
  <c r="Q84" i="6"/>
  <c r="U83" i="6"/>
  <c r="T83" i="6"/>
  <c r="S83" i="6"/>
  <c r="R83" i="6"/>
  <c r="Q83" i="6"/>
  <c r="U82" i="6"/>
  <c r="T82" i="6"/>
  <c r="S82" i="6"/>
  <c r="R82" i="6"/>
  <c r="Q82" i="6"/>
  <c r="U81" i="6"/>
  <c r="T81" i="6"/>
  <c r="S81" i="6"/>
  <c r="R81" i="6"/>
  <c r="Q81" i="6"/>
  <c r="U80" i="6"/>
  <c r="T80" i="6"/>
  <c r="S80" i="6"/>
  <c r="R80" i="6"/>
  <c r="Q80" i="6"/>
  <c r="U79" i="6"/>
  <c r="T79" i="6"/>
  <c r="S79" i="6"/>
  <c r="R79" i="6"/>
  <c r="Q79" i="6"/>
  <c r="U78" i="6"/>
  <c r="T78" i="6"/>
  <c r="S78" i="6"/>
  <c r="R78" i="6"/>
  <c r="Q78" i="6"/>
  <c r="U77" i="6"/>
  <c r="T77" i="6"/>
  <c r="S77" i="6"/>
  <c r="R77" i="6"/>
  <c r="Q77" i="6"/>
  <c r="U76" i="6"/>
  <c r="T76" i="6"/>
  <c r="S76" i="6"/>
  <c r="R76" i="6"/>
  <c r="Q76" i="6"/>
  <c r="U75" i="6"/>
  <c r="T75" i="6"/>
  <c r="S75" i="6"/>
  <c r="R75" i="6"/>
  <c r="Q75" i="6"/>
  <c r="U74" i="6"/>
  <c r="T74" i="6"/>
  <c r="S74" i="6"/>
  <c r="R74" i="6"/>
  <c r="Q74" i="6"/>
  <c r="U73" i="6"/>
  <c r="T73" i="6"/>
  <c r="S73" i="6"/>
  <c r="R73" i="6"/>
  <c r="Q73" i="6"/>
  <c r="U72" i="6"/>
  <c r="T72" i="6"/>
  <c r="S72" i="6"/>
  <c r="R72" i="6"/>
  <c r="Q72" i="6"/>
  <c r="U71" i="6"/>
  <c r="T71" i="6"/>
  <c r="S71" i="6"/>
  <c r="R71" i="6"/>
  <c r="Q71" i="6"/>
  <c r="U70" i="6"/>
  <c r="T70" i="6"/>
  <c r="S70" i="6"/>
  <c r="R70" i="6"/>
  <c r="Q70" i="6"/>
  <c r="U69" i="6"/>
  <c r="T69" i="6"/>
  <c r="S69" i="6"/>
  <c r="R69" i="6"/>
  <c r="Q69" i="6"/>
  <c r="U68" i="6"/>
  <c r="T68" i="6"/>
  <c r="S68" i="6"/>
  <c r="R68" i="6"/>
  <c r="Q68" i="6"/>
  <c r="U67" i="6"/>
  <c r="T67" i="6"/>
  <c r="S67" i="6"/>
  <c r="R67" i="6"/>
  <c r="Q67" i="6"/>
  <c r="U66" i="6"/>
  <c r="T66" i="6"/>
  <c r="S66" i="6"/>
  <c r="R66" i="6"/>
  <c r="Q66" i="6"/>
  <c r="U65" i="6"/>
  <c r="T65" i="6"/>
  <c r="S65" i="6"/>
  <c r="R65" i="6"/>
  <c r="Q65" i="6"/>
  <c r="U64" i="6"/>
  <c r="T64" i="6"/>
  <c r="S64" i="6"/>
  <c r="R64" i="6"/>
  <c r="Q64" i="6"/>
  <c r="U63" i="6"/>
  <c r="T63" i="6"/>
  <c r="S63" i="6"/>
  <c r="R63" i="6"/>
  <c r="Q63" i="6"/>
  <c r="U62" i="6"/>
  <c r="T62" i="6"/>
  <c r="S62" i="6"/>
  <c r="R62" i="6"/>
  <c r="Q62" i="6"/>
  <c r="U61" i="6"/>
  <c r="T61" i="6"/>
  <c r="S61" i="6"/>
  <c r="R61" i="6"/>
  <c r="Q61" i="6"/>
  <c r="U60" i="6"/>
  <c r="T60" i="6"/>
  <c r="S60" i="6"/>
  <c r="R60" i="6"/>
  <c r="Q60" i="6"/>
  <c r="U59" i="6"/>
  <c r="T59" i="6"/>
  <c r="S59" i="6"/>
  <c r="R59" i="6"/>
  <c r="Q59" i="6"/>
  <c r="U58" i="6"/>
  <c r="T58" i="6"/>
  <c r="S58" i="6"/>
  <c r="R58" i="6"/>
  <c r="Q58" i="6"/>
  <c r="U57" i="6"/>
  <c r="T57" i="6"/>
  <c r="S57" i="6"/>
  <c r="R57" i="6"/>
  <c r="Q57" i="6"/>
  <c r="U56" i="6"/>
  <c r="T56" i="6"/>
  <c r="S56" i="6"/>
  <c r="R56" i="6"/>
  <c r="Q56" i="6"/>
  <c r="U55" i="6"/>
  <c r="T55" i="6"/>
  <c r="S55" i="6"/>
  <c r="R55" i="6"/>
  <c r="Q55" i="6"/>
  <c r="U54" i="6"/>
  <c r="T54" i="6"/>
  <c r="S54" i="6"/>
  <c r="R54" i="6"/>
  <c r="Q54" i="6"/>
  <c r="U53" i="6"/>
  <c r="T53" i="6"/>
  <c r="S53" i="6"/>
  <c r="R53" i="6"/>
  <c r="Q53" i="6"/>
  <c r="U52" i="6"/>
  <c r="T52" i="6"/>
  <c r="S52" i="6"/>
  <c r="R52" i="6"/>
  <c r="Q52" i="6"/>
  <c r="U51" i="6"/>
  <c r="T51" i="6"/>
  <c r="S51" i="6"/>
  <c r="R51" i="6"/>
  <c r="Q51" i="6"/>
  <c r="U50" i="6"/>
  <c r="T50" i="6"/>
  <c r="S50" i="6"/>
  <c r="R50" i="6"/>
  <c r="Q50" i="6"/>
  <c r="U49" i="6"/>
  <c r="T49" i="6"/>
  <c r="S49" i="6"/>
  <c r="R49" i="6"/>
  <c r="Q49" i="6"/>
  <c r="U48" i="6"/>
  <c r="T48" i="6"/>
  <c r="S48" i="6"/>
  <c r="R48" i="6"/>
  <c r="Q48" i="6"/>
  <c r="U47" i="6"/>
  <c r="T47" i="6"/>
  <c r="S47" i="6"/>
  <c r="R47" i="6"/>
  <c r="Q47" i="6"/>
  <c r="U46" i="6"/>
  <c r="T46" i="6"/>
  <c r="S46" i="6"/>
  <c r="R46" i="6"/>
  <c r="Q46" i="6"/>
  <c r="U45" i="6"/>
  <c r="T45" i="6"/>
  <c r="S45" i="6"/>
  <c r="R45" i="6"/>
  <c r="Q45" i="6"/>
  <c r="U44" i="6"/>
  <c r="T44" i="6"/>
  <c r="S44" i="6"/>
  <c r="R44" i="6"/>
  <c r="Q44" i="6"/>
  <c r="U43" i="6"/>
  <c r="T43" i="6"/>
  <c r="S43" i="6"/>
  <c r="R43" i="6"/>
  <c r="Q43" i="6"/>
  <c r="U42" i="6"/>
  <c r="T42" i="6"/>
  <c r="S42" i="6"/>
  <c r="R42" i="6"/>
  <c r="Q42" i="6"/>
  <c r="U41" i="6"/>
  <c r="T41" i="6"/>
  <c r="S41" i="6"/>
  <c r="R41" i="6"/>
  <c r="Q41" i="6"/>
  <c r="U40" i="6"/>
  <c r="T40" i="6"/>
  <c r="S40" i="6"/>
  <c r="R40" i="6"/>
  <c r="Q40" i="6"/>
  <c r="U39" i="6"/>
  <c r="T39" i="6"/>
  <c r="S39" i="6"/>
  <c r="R39" i="6"/>
  <c r="Q39" i="6"/>
  <c r="U38" i="6"/>
  <c r="T38" i="6"/>
  <c r="S38" i="6"/>
  <c r="R38" i="6"/>
  <c r="Q38" i="6"/>
  <c r="U37" i="6"/>
  <c r="T37" i="6"/>
  <c r="S37" i="6"/>
  <c r="R37" i="6"/>
  <c r="Q37" i="6"/>
  <c r="U36" i="6"/>
  <c r="T36" i="6"/>
  <c r="S36" i="6"/>
  <c r="R36" i="6"/>
  <c r="Q36" i="6"/>
  <c r="U35" i="6"/>
  <c r="T35" i="6"/>
  <c r="S35" i="6"/>
  <c r="R35" i="6"/>
  <c r="Q35" i="6"/>
  <c r="U34" i="6"/>
  <c r="T34" i="6"/>
  <c r="S34" i="6"/>
  <c r="R34" i="6"/>
  <c r="Q34" i="6"/>
  <c r="U33" i="6"/>
  <c r="T33" i="6"/>
  <c r="S33" i="6"/>
  <c r="R33" i="6"/>
  <c r="Q33" i="6"/>
  <c r="U32" i="6"/>
  <c r="T32" i="6"/>
  <c r="S32" i="6"/>
  <c r="R32" i="6"/>
  <c r="Q32" i="6"/>
  <c r="U31" i="6"/>
  <c r="T31" i="6"/>
  <c r="S31" i="6"/>
  <c r="R31" i="6"/>
  <c r="Q31" i="6"/>
  <c r="U30" i="6"/>
  <c r="T30" i="6"/>
  <c r="S30" i="6"/>
  <c r="R30" i="6"/>
  <c r="Q30" i="6"/>
  <c r="U29" i="6"/>
  <c r="T29" i="6"/>
  <c r="S29" i="6"/>
  <c r="R29" i="6"/>
  <c r="Q29" i="6"/>
  <c r="U28" i="6"/>
  <c r="T28" i="6"/>
  <c r="R28" i="6"/>
  <c r="Q28" i="6"/>
  <c r="U27" i="6"/>
  <c r="T27" i="6"/>
  <c r="S27" i="6"/>
  <c r="R27" i="6"/>
  <c r="Q27" i="6"/>
  <c r="U26" i="6"/>
  <c r="T26" i="6"/>
  <c r="S26" i="6"/>
  <c r="R26" i="6"/>
  <c r="Q26" i="6"/>
  <c r="U25" i="6"/>
  <c r="T25" i="6"/>
  <c r="S25" i="6"/>
  <c r="R25" i="6"/>
  <c r="Q25" i="6"/>
  <c r="U24" i="6"/>
  <c r="T24" i="6"/>
  <c r="S24" i="6"/>
  <c r="R24" i="6"/>
  <c r="Q24" i="6"/>
  <c r="U23" i="6"/>
  <c r="T23" i="6"/>
  <c r="S23" i="6"/>
  <c r="R23" i="6"/>
  <c r="Q23" i="6"/>
  <c r="U22" i="6"/>
  <c r="T22" i="6"/>
  <c r="S22" i="6"/>
  <c r="R22" i="6"/>
  <c r="Q22" i="6"/>
  <c r="U21" i="6"/>
  <c r="T21" i="6"/>
  <c r="S21" i="6"/>
  <c r="R21" i="6"/>
  <c r="Q21" i="6"/>
  <c r="U20" i="6"/>
  <c r="T20" i="6"/>
  <c r="S20" i="6"/>
  <c r="R20" i="6"/>
  <c r="Q20" i="6"/>
  <c r="U19" i="6"/>
  <c r="T19" i="6"/>
  <c r="S19" i="6"/>
  <c r="R19" i="6"/>
  <c r="Q19" i="6"/>
  <c r="U18" i="6"/>
  <c r="T18" i="6"/>
  <c r="S18" i="6"/>
  <c r="R18" i="6"/>
  <c r="Q18" i="6"/>
  <c r="U17" i="6"/>
  <c r="T17" i="6"/>
  <c r="S17" i="6"/>
  <c r="R17" i="6"/>
  <c r="Q17" i="6"/>
  <c r="T16" i="6"/>
  <c r="S16" i="6"/>
  <c r="R16" i="6"/>
  <c r="Q16" i="6"/>
  <c r="L3" i="3"/>
  <c r="B31" i="3"/>
  <c r="L4" i="3"/>
  <c r="L5" i="3"/>
  <c r="L6" i="3"/>
  <c r="L7" i="3"/>
  <c r="L8" i="3" s="1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2" i="2"/>
  <c r="W13" i="2"/>
  <c r="W15" i="2"/>
  <c r="W16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2" i="2"/>
  <c r="W118" i="2" s="1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Q12" i="2"/>
  <c r="M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2" i="2"/>
  <c r="Q6" i="1"/>
  <c r="Q17" i="1"/>
  <c r="U76" i="1"/>
  <c r="U51" i="1"/>
  <c r="T83" i="1"/>
  <c r="T79" i="1"/>
  <c r="T74" i="1"/>
  <c r="T73" i="1"/>
  <c r="T43" i="1"/>
  <c r="S105" i="1"/>
  <c r="S98" i="1"/>
  <c r="S78" i="1"/>
  <c r="S77" i="1"/>
  <c r="S19" i="1"/>
  <c r="S17" i="1"/>
  <c r="R20" i="1"/>
  <c r="R14" i="1"/>
  <c r="R6" i="1"/>
  <c r="Q65" i="1"/>
  <c r="Q57" i="1"/>
  <c r="Q51" i="1"/>
  <c r="Q50" i="1"/>
  <c r="Q49" i="1"/>
  <c r="Q48" i="1"/>
  <c r="Q47" i="1"/>
  <c r="Q46" i="1"/>
  <c r="U109" i="1"/>
  <c r="Q45" i="1"/>
  <c r="U108" i="1"/>
  <c r="Q44" i="1"/>
  <c r="Q43" i="1"/>
  <c r="U107" i="1"/>
  <c r="Q42" i="1"/>
  <c r="Q41" i="1"/>
  <c r="Q40" i="1"/>
  <c r="U106" i="1"/>
  <c r="Q39" i="1"/>
  <c r="Q38" i="1"/>
  <c r="U105" i="1"/>
  <c r="Q37" i="1"/>
  <c r="U104" i="1"/>
  <c r="Q36" i="1"/>
  <c r="U103" i="1"/>
  <c r="U102" i="1"/>
  <c r="Q35" i="1"/>
  <c r="U101" i="1"/>
  <c r="Q34" i="1"/>
  <c r="U100" i="1"/>
  <c r="U99" i="1"/>
  <c r="Q33" i="1"/>
  <c r="U98" i="1"/>
  <c r="Q32" i="1"/>
  <c r="U97" i="1"/>
  <c r="Q31" i="1"/>
  <c r="U96" i="1"/>
  <c r="Q30" i="1"/>
  <c r="U95" i="1"/>
  <c r="Q29" i="1"/>
  <c r="U94" i="1"/>
  <c r="Q28" i="1"/>
  <c r="Q27" i="1"/>
  <c r="Q26" i="1"/>
  <c r="Q25" i="1"/>
  <c r="U91" i="1"/>
  <c r="U92" i="1"/>
  <c r="Q24" i="1"/>
  <c r="U93" i="1"/>
  <c r="Q23" i="1"/>
  <c r="Q22" i="1"/>
  <c r="Q21" i="1"/>
  <c r="Q20" i="1"/>
  <c r="Q19" i="1"/>
  <c r="Q18" i="1"/>
  <c r="U90" i="1"/>
  <c r="Q16" i="1"/>
  <c r="U89" i="1"/>
  <c r="U88" i="1"/>
  <c r="U87" i="1"/>
  <c r="U86" i="1"/>
  <c r="U85" i="1"/>
  <c r="U84" i="1"/>
  <c r="U83" i="1"/>
  <c r="U82" i="1"/>
  <c r="Q15" i="1"/>
  <c r="Q14" i="1"/>
  <c r="U81" i="1"/>
  <c r="Q13" i="1"/>
  <c r="Q12" i="1"/>
  <c r="U80" i="1"/>
  <c r="Q11" i="1"/>
  <c r="Q10" i="1"/>
  <c r="U74" i="1"/>
  <c r="Q9" i="1"/>
  <c r="U79" i="1"/>
  <c r="Q8" i="1"/>
  <c r="U78" i="1"/>
  <c r="Q7" i="1"/>
  <c r="U77" i="1"/>
  <c r="U75" i="1"/>
  <c r="U73" i="1"/>
  <c r="U72" i="1"/>
  <c r="U71" i="1"/>
  <c r="U70" i="1"/>
  <c r="U68" i="1"/>
  <c r="U69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0" i="1"/>
  <c r="U49" i="1"/>
  <c r="U48" i="1"/>
  <c r="U47" i="1"/>
  <c r="U46" i="1"/>
  <c r="U45" i="1"/>
  <c r="U44" i="1"/>
  <c r="U43" i="1"/>
  <c r="U42" i="1"/>
  <c r="U40" i="1"/>
  <c r="U41" i="1"/>
  <c r="U39" i="1"/>
  <c r="U38" i="1"/>
  <c r="U37" i="1"/>
  <c r="U36" i="1"/>
  <c r="U35" i="1"/>
  <c r="U34" i="1"/>
  <c r="U33" i="1"/>
  <c r="U14" i="1"/>
  <c r="U32" i="1"/>
  <c r="U31" i="1"/>
  <c r="U30" i="1"/>
  <c r="U29" i="1"/>
  <c r="U28" i="1"/>
  <c r="S6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3" i="1"/>
  <c r="U12" i="1"/>
  <c r="U11" i="1"/>
  <c r="U10" i="1"/>
  <c r="U9" i="1"/>
  <c r="U8" i="1"/>
  <c r="U7" i="1"/>
  <c r="U6" i="1"/>
  <c r="T106" i="1"/>
  <c r="T109" i="1"/>
  <c r="T108" i="1"/>
  <c r="T107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77" i="1"/>
  <c r="T89" i="1"/>
  <c r="T88" i="1"/>
  <c r="T87" i="1"/>
  <c r="T86" i="1"/>
  <c r="T85" i="1"/>
  <c r="T84" i="1"/>
  <c r="T82" i="1"/>
  <c r="T81" i="1"/>
  <c r="T80" i="1"/>
  <c r="T78" i="1"/>
  <c r="T76" i="1"/>
  <c r="T75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4" i="1"/>
  <c r="T13" i="1"/>
  <c r="T16" i="1"/>
  <c r="T17" i="1"/>
  <c r="T15" i="1"/>
  <c r="T12" i="1"/>
  <c r="T11" i="1"/>
  <c r="T10" i="1"/>
  <c r="T9" i="1"/>
  <c r="T8" i="1"/>
  <c r="T7" i="1"/>
  <c r="T6" i="1"/>
  <c r="S108" i="1"/>
  <c r="S109" i="1"/>
  <c r="S107" i="1"/>
  <c r="S106" i="1"/>
  <c r="S104" i="1"/>
  <c r="S103" i="1"/>
  <c r="S100" i="1"/>
  <c r="S102" i="1"/>
  <c r="S101" i="1"/>
  <c r="S99" i="1"/>
  <c r="S97" i="1"/>
  <c r="S96" i="1"/>
  <c r="S95" i="1"/>
  <c r="S94" i="1"/>
  <c r="S93" i="1"/>
  <c r="S92" i="1"/>
  <c r="S91" i="1"/>
  <c r="S90" i="1"/>
  <c r="S71" i="1"/>
  <c r="S74" i="1"/>
  <c r="S79" i="1"/>
  <c r="S89" i="1"/>
  <c r="S88" i="1"/>
  <c r="S87" i="1"/>
  <c r="S86" i="1"/>
  <c r="S85" i="1"/>
  <c r="S84" i="1"/>
  <c r="S83" i="1"/>
  <c r="S82" i="1"/>
  <c r="S81" i="1"/>
  <c r="S80" i="1"/>
  <c r="S76" i="1"/>
  <c r="S75" i="1"/>
  <c r="S73" i="1"/>
  <c r="S72" i="1"/>
  <c r="S70" i="1"/>
  <c r="S63" i="1"/>
  <c r="S67" i="1"/>
  <c r="S69" i="1"/>
  <c r="S68" i="1"/>
  <c r="S66" i="1"/>
  <c r="S65" i="1"/>
  <c r="S64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3" i="1"/>
  <c r="S34" i="1"/>
  <c r="S36" i="1"/>
  <c r="S35" i="1"/>
  <c r="S32" i="1"/>
  <c r="S30" i="1"/>
  <c r="S31" i="1"/>
  <c r="S29" i="1"/>
  <c r="S28" i="1"/>
  <c r="S27" i="1"/>
  <c r="S26" i="1"/>
  <c r="S25" i="1"/>
  <c r="S24" i="1"/>
  <c r="S23" i="1"/>
  <c r="S22" i="1"/>
  <c r="S21" i="1"/>
  <c r="S20" i="1"/>
  <c r="S16" i="1"/>
  <c r="S15" i="1"/>
  <c r="S14" i="1"/>
  <c r="S13" i="1"/>
  <c r="S12" i="1"/>
  <c r="S11" i="1"/>
  <c r="S10" i="1"/>
  <c r="S9" i="1"/>
  <c r="S8" i="1"/>
  <c r="S7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0" i="1"/>
  <c r="R41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18" i="1"/>
  <c r="R19" i="1"/>
  <c r="R17" i="1"/>
  <c r="R12" i="1"/>
  <c r="R16" i="1"/>
  <c r="R15" i="1"/>
  <c r="R13" i="1"/>
  <c r="R11" i="1"/>
  <c r="R10" i="1"/>
  <c r="R9" i="1"/>
  <c r="R8" i="1"/>
  <c r="R7" i="1"/>
  <c r="Q92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4" i="1"/>
  <c r="Q63" i="1"/>
  <c r="Q62" i="1"/>
  <c r="Q61" i="1"/>
  <c r="Q60" i="1"/>
  <c r="Q59" i="1"/>
  <c r="Q58" i="1"/>
  <c r="Q56" i="1"/>
  <c r="Q55" i="1"/>
  <c r="Q54" i="1"/>
  <c r="Q53" i="1"/>
  <c r="Q52" i="1"/>
  <c r="K23" i="7" l="1" a="1"/>
  <c r="K23" i="7" s="1"/>
  <c r="L16" i="7"/>
  <c r="N16" i="7"/>
  <c r="O16" i="7"/>
  <c r="M14" i="7"/>
  <c r="K14" i="7"/>
  <c r="M16" i="7"/>
  <c r="N14" i="7"/>
  <c r="O16" i="8"/>
  <c r="N16" i="8"/>
  <c r="L16" i="8"/>
  <c r="K23" i="8" a="1"/>
  <c r="K31" i="8" s="1"/>
  <c r="M16" i="8"/>
  <c r="N14" i="8"/>
  <c r="K47" i="7"/>
  <c r="L14" i="7"/>
  <c r="K14" i="8"/>
  <c r="O14" i="8"/>
  <c r="O14" i="7"/>
  <c r="K16" i="7"/>
  <c r="L14" i="8"/>
  <c r="K16" i="8"/>
  <c r="L45" i="7"/>
  <c r="U51" i="7"/>
  <c r="V51" i="7"/>
  <c r="L47" i="7"/>
  <c r="T51" i="7"/>
  <c r="E20" i="3"/>
  <c r="R51" i="7"/>
  <c r="K45" i="7"/>
  <c r="D20" i="3"/>
  <c r="B20" i="3"/>
  <c r="C20" i="3"/>
  <c r="L46" i="7"/>
  <c r="F20" i="3"/>
  <c r="N3" i="3" a="1"/>
  <c r="N3" i="3" s="1"/>
  <c r="X118" i="2"/>
  <c r="Y118" i="2"/>
  <c r="Z118" i="2"/>
  <c r="AA118" i="2"/>
  <c r="X123" i="2"/>
  <c r="X119" i="2"/>
  <c r="Y119" i="2"/>
  <c r="Z119" i="2"/>
  <c r="AA119" i="2"/>
  <c r="M33" i="7" l="1"/>
  <c r="L32" i="7"/>
  <c r="N32" i="7"/>
  <c r="L31" i="7"/>
  <c r="N33" i="7"/>
  <c r="M31" i="7"/>
  <c r="L33" i="7"/>
  <c r="M32" i="7"/>
  <c r="N31" i="7"/>
  <c r="K33" i="7"/>
  <c r="O33" i="7" s="1"/>
  <c r="K32" i="7"/>
  <c r="O32" i="7" s="1"/>
  <c r="K31" i="7"/>
  <c r="K23" i="8"/>
  <c r="L30" i="8" s="1"/>
  <c r="M33" i="8"/>
  <c r="L31" i="8"/>
  <c r="L32" i="8"/>
  <c r="L33" i="8"/>
  <c r="N33" i="8"/>
  <c r="N31" i="8"/>
  <c r="O31" i="8" s="1"/>
  <c r="N32" i="8"/>
  <c r="M31" i="8"/>
  <c r="M32" i="8"/>
  <c r="K32" i="8"/>
  <c r="K33" i="8"/>
  <c r="V50" i="7"/>
  <c r="U50" i="7"/>
  <c r="S50" i="7"/>
  <c r="T50" i="7"/>
  <c r="N30" i="7"/>
  <c r="M30" i="7"/>
  <c r="K30" i="7"/>
  <c r="L30" i="7"/>
  <c r="K49" i="7" a="1"/>
  <c r="K49" i="7" s="1"/>
  <c r="S51" i="7"/>
  <c r="L44" i="7"/>
  <c r="Y125" i="2"/>
  <c r="W123" i="2"/>
  <c r="AA127" i="2"/>
  <c r="X124" i="2"/>
  <c r="Z126" i="2"/>
  <c r="W129" i="2" a="1"/>
  <c r="W129" i="2" s="1"/>
  <c r="B33" i="3" s="1" a="1"/>
  <c r="B33" i="3" s="1"/>
  <c r="B26" i="3" a="1"/>
  <c r="B26" i="3" s="1"/>
  <c r="O31" i="7" l="1"/>
  <c r="O30" i="7"/>
  <c r="O32" i="8"/>
  <c r="M30" i="8"/>
  <c r="N30" i="8"/>
  <c r="K30" i="8"/>
  <c r="I26" i="3"/>
  <c r="L20" i="3" s="1" a="1"/>
  <c r="L20" i="3" s="1"/>
  <c r="O30" i="8" l="1"/>
  <c r="N20" i="3" a="1"/>
  <c r="N20" i="3" s="1"/>
  <c r="L25" i="3"/>
  <c r="AA126" i="2"/>
  <c r="Z127" i="2" s="1"/>
  <c r="AA125" i="2"/>
  <c r="Y127" i="2" s="1"/>
  <c r="Z125" i="2"/>
  <c r="Y126" i="2" s="1"/>
  <c r="Y124" i="2"/>
  <c r="Z124" i="2"/>
  <c r="X126" i="2" s="1"/>
  <c r="AA124" i="2"/>
  <c r="X127" i="2" s="1"/>
  <c r="AA123" i="2"/>
  <c r="W127" i="2" s="1"/>
  <c r="Z123" i="2"/>
  <c r="W126" i="2" s="1"/>
  <c r="Y123" i="2"/>
  <c r="X125" i="2"/>
  <c r="W124" i="2"/>
  <c r="W125" i="2" l="1"/>
  <c r="B11" i="3" s="1" a="1"/>
  <c r="B11" i="3" s="1"/>
  <c r="B3" i="3" l="1" a="1"/>
  <c r="B3" i="3" s="1"/>
  <c r="B22" i="3" s="1"/>
  <c r="I17" i="3" a="1"/>
  <c r="I17" i="3" s="1"/>
  <c r="L11" i="3" s="1" a="1"/>
  <c r="L11" i="3" s="1"/>
  <c r="E30" i="3" a="1"/>
  <c r="E30" i="3" s="1"/>
  <c r="E37" i="3" a="1"/>
  <c r="E37" i="3" s="1"/>
  <c r="F22" i="3"/>
  <c r="C22" i="3"/>
  <c r="E22" i="3" l="1"/>
  <c r="D22" i="3"/>
  <c r="N11" i="3" a="1"/>
  <c r="N11" i="3" s="1"/>
  <c r="L16" i="3"/>
  <c r="L29" i="3" a="1"/>
  <c r="L29" i="3" s="1"/>
  <c r="L34" i="3" l="1"/>
  <c r="N29" i="3" a="1"/>
  <c r="N2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<sst xmlns="http://schemas.openxmlformats.org/spreadsheetml/2006/main" count="234" uniqueCount="72">
  <si>
    <t>LEGENDA</t>
  </si>
  <si>
    <t>LUNEDI</t>
  </si>
  <si>
    <t>VENERDI</t>
  </si>
  <si>
    <t>LUNEDI E VENERDI</t>
  </si>
  <si>
    <t>RENDIMENTI SETTIMANALI</t>
  </si>
  <si>
    <t>DJIA</t>
  </si>
  <si>
    <t>HSI</t>
  </si>
  <si>
    <t>N225E</t>
  </si>
  <si>
    <t>STOXX</t>
  </si>
  <si>
    <t>IXIC</t>
  </si>
  <si>
    <t>Date</t>
  </si>
  <si>
    <t>settimana</t>
  </si>
  <si>
    <t>MEDIA</t>
  </si>
  <si>
    <t>VARIANZA</t>
  </si>
  <si>
    <t>V</t>
  </si>
  <si>
    <t>e</t>
  </si>
  <si>
    <t>investimento</t>
  </si>
  <si>
    <t>w_EW</t>
  </si>
  <si>
    <t>V^(-1)</t>
  </si>
  <si>
    <t>1I</t>
  </si>
  <si>
    <t>w_MVP</t>
  </si>
  <si>
    <t>1I_T</t>
  </si>
  <si>
    <t>C</t>
  </si>
  <si>
    <t>SIGMA</t>
  </si>
  <si>
    <t>w_RP</t>
  </si>
  <si>
    <t>formula "DEV.ST.C"</t>
  </si>
  <si>
    <t>formula "RADQ"</t>
  </si>
  <si>
    <t>SIGMA^(-1)</t>
  </si>
  <si>
    <t>SOMMA</t>
  </si>
  <si>
    <t>i</t>
  </si>
  <si>
    <t>NUM</t>
  </si>
  <si>
    <t>V^(-1) * (e - rf*1I)</t>
  </si>
  <si>
    <t>w_T</t>
  </si>
  <si>
    <t>q</t>
  </si>
  <si>
    <t>r_sett</t>
  </si>
  <si>
    <t>e - rf*1I</t>
  </si>
  <si>
    <t>DEN</t>
  </si>
  <si>
    <t>1I_T * V^(-1) * (e - rf*1I)</t>
  </si>
  <si>
    <t>Portafogli</t>
  </si>
  <si>
    <t>1/N</t>
  </si>
  <si>
    <t>Varianza minima</t>
  </si>
  <si>
    <t>Risk party (cov 0)</t>
  </si>
  <si>
    <t>Rendimenti</t>
  </si>
  <si>
    <t>N225</t>
  </si>
  <si>
    <t>^IXIC</t>
  </si>
  <si>
    <t>Risultati</t>
  </si>
  <si>
    <t>varianza</t>
  </si>
  <si>
    <t>Sharpe ratio</t>
  </si>
  <si>
    <t>Deviazione standard</t>
  </si>
  <si>
    <t>Varianza</t>
  </si>
  <si>
    <t>Rendimento medio</t>
  </si>
  <si>
    <t>Tangente</t>
  </si>
  <si>
    <t>mvp</t>
  </si>
  <si>
    <t>rp</t>
  </si>
  <si>
    <t>t</t>
  </si>
  <si>
    <t>media</t>
  </si>
  <si>
    <t>Deviazioni standard</t>
  </si>
  <si>
    <t>stima con dati storici</t>
  </si>
  <si>
    <t>misura nel periodo di valutazione</t>
  </si>
  <si>
    <t>pesi approssimati</t>
  </si>
  <si>
    <t>tasso annuale</t>
  </si>
  <si>
    <t>tasso settimanale</t>
  </si>
  <si>
    <t>rendimenti medi</t>
  </si>
  <si>
    <t>deviazioni standard</t>
  </si>
  <si>
    <t>RENDIMENTI SETTIMANALI PORTAFOGLI</t>
  </si>
  <si>
    <t>rendim medi</t>
  </si>
  <si>
    <t>rendim medi %</t>
  </si>
  <si>
    <t>dev standard</t>
  </si>
  <si>
    <t>sharpe ratio</t>
  </si>
  <si>
    <t>DEV ST</t>
  </si>
  <si>
    <t>dev st</t>
  </si>
  <si>
    <t>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</si>
</sst>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00;\-#,##0.0000;#,##0.0000;&quot;--&quot;"/>
    <numFmt numFmtId="165" formatCode="dd\-mmm\-yyyy"/>
    <numFmt numFmtId="166" formatCode="#,##0.00;\-#,##0.00;#,##0.00;&quot;--&quot;"/>
    <numFmt numFmtId="167" formatCode="0.0000000"/>
    <numFmt numFmtId="168" formatCode="#,##0.00000000"/>
    <numFmt numFmtId="169" formatCode="0.0"/>
    <numFmt numFmtId="170" formatCode="0.000"/>
    <numFmt numFmtId="171" formatCode="0.0000"/>
    <numFmt numFmtId="172" formatCode="0.000000"/>
    <numFmt numFmtId="173" formatCode="0.00000"/>
    <numFmt numFmtId="174" formatCode="0.0000%"/>
    <numFmt numFmtId="175" formatCode="0.00000%"/>
    <numFmt numFmtId="176" formatCode="0.000000%"/>
    <numFmt numFmtId="177" formatCode="0.000000000"/>
    <numFmt numFmtId="178" formatCode="0.00000000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Border="0" applyAlignment="0"/>
    <xf numFmtId="9" fontId="8" fillId="0" borderId="0" applyFont="0" applyFill="0" applyBorder="0" applyAlignment="0" applyProtection="0"/>
  </cellStyleXfs>
  <cellXfs count="137">
    <xf numFmtId="0" fontId="0" fillId="0" borderId="0" xfId="0"/>
    <xf numFmtId="165" fontId="2" fillId="0" borderId="1" xfId="1" applyNumberFormat="1" applyFont="1" applyBorder="1"/>
    <xf numFmtId="164" fontId="2" fillId="0" borderId="1" xfId="1" applyNumberFormat="1" applyFont="1" applyBorder="1"/>
    <xf numFmtId="166" fontId="2" fillId="0" borderId="1" xfId="1" applyNumberFormat="1" applyFont="1" applyBorder="1"/>
    <xf numFmtId="165" fontId="2" fillId="2" borderId="1" xfId="1" applyNumberFormat="1" applyFont="1" applyFill="1" applyBorder="1"/>
    <xf numFmtId="165" fontId="2" fillId="3" borderId="1" xfId="1" applyNumberFormat="1" applyFont="1" applyFill="1" applyBorder="1"/>
    <xf numFmtId="165" fontId="2" fillId="4" borderId="1" xfId="1" applyNumberFormat="1" applyFont="1" applyFill="1" applyBorder="1"/>
    <xf numFmtId="0" fontId="0" fillId="3" borderId="0" xfId="0" applyFill="1"/>
    <xf numFmtId="0" fontId="0" fillId="2" borderId="0" xfId="0" applyFill="1"/>
    <xf numFmtId="0" fontId="0" fillId="5" borderId="0" xfId="0" applyFill="1"/>
    <xf numFmtId="167" fontId="0" fillId="0" borderId="0" xfId="0" applyNumberFormat="1"/>
    <xf numFmtId="167" fontId="0" fillId="0" borderId="0" xfId="0" applyNumberFormat="1" applyAlignment="1">
      <alignment wrapText="1"/>
    </xf>
    <xf numFmtId="168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/>
    <xf numFmtId="15" fontId="5" fillId="0" borderId="2" xfId="0" applyNumberFormat="1" applyFont="1" applyBorder="1"/>
    <xf numFmtId="4" fontId="5" fillId="0" borderId="3" xfId="0" applyNumberFormat="1" applyFont="1" applyBorder="1"/>
    <xf numFmtId="15" fontId="5" fillId="0" borderId="1" xfId="0" applyNumberFormat="1" applyFont="1" applyBorder="1"/>
    <xf numFmtId="2" fontId="5" fillId="0" borderId="3" xfId="0" applyNumberFormat="1" applyFont="1" applyBorder="1"/>
    <xf numFmtId="167" fontId="5" fillId="0" borderId="0" xfId="0" applyNumberFormat="1" applyFont="1"/>
    <xf numFmtId="15" fontId="5" fillId="0" borderId="4" xfId="0" applyNumberFormat="1" applyFont="1" applyBorder="1"/>
    <xf numFmtId="4" fontId="5" fillId="0" borderId="5" xfId="0" applyNumberFormat="1" applyFont="1" applyBorder="1"/>
    <xf numFmtId="15" fontId="5" fillId="0" borderId="6" xfId="0" applyNumberFormat="1" applyFont="1" applyBorder="1"/>
    <xf numFmtId="2" fontId="5" fillId="0" borderId="5" xfId="0" applyNumberFormat="1" applyFont="1" applyBorder="1"/>
    <xf numFmtId="0" fontId="6" fillId="0" borderId="0" xfId="0" applyFont="1"/>
    <xf numFmtId="15" fontId="5" fillId="6" borderId="6" xfId="0" applyNumberFormat="1" applyFont="1" applyFill="1" applyBorder="1"/>
    <xf numFmtId="4" fontId="5" fillId="6" borderId="5" xfId="0" applyNumberFormat="1" applyFont="1" applyFill="1" applyBorder="1"/>
    <xf numFmtId="2" fontId="5" fillId="6" borderId="5" xfId="0" applyNumberFormat="1" applyFont="1" applyFill="1" applyBorder="1"/>
    <xf numFmtId="15" fontId="5" fillId="6" borderId="4" xfId="0" applyNumberFormat="1" applyFont="1" applyFill="1" applyBorder="1"/>
    <xf numFmtId="0" fontId="3" fillId="0" borderId="0" xfId="0" applyFont="1"/>
    <xf numFmtId="169" fontId="0" fillId="7" borderId="0" xfId="0" applyNumberFormat="1" applyFill="1"/>
    <xf numFmtId="169" fontId="0" fillId="0" borderId="0" xfId="0" applyNumberFormat="1"/>
    <xf numFmtId="2" fontId="0" fillId="0" borderId="0" xfId="0" applyNumberFormat="1"/>
    <xf numFmtId="170" fontId="0" fillId="0" borderId="0" xfId="0" applyNumberFormat="1"/>
    <xf numFmtId="167" fontId="0" fillId="7" borderId="0" xfId="0" applyNumberFormat="1" applyFill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" fontId="0" fillId="0" borderId="0" xfId="0" applyNumberFormat="1"/>
    <xf numFmtId="0" fontId="2" fillId="0" borderId="3" xfId="0" applyFont="1" applyBorder="1"/>
    <xf numFmtId="4" fontId="2" fillId="0" borderId="3" xfId="0" applyNumberFormat="1" applyFont="1" applyBorder="1"/>
    <xf numFmtId="0" fontId="2" fillId="0" borderId="5" xfId="0" applyFont="1" applyBorder="1"/>
    <xf numFmtId="4" fontId="2" fillId="0" borderId="5" xfId="0" applyNumberFormat="1" applyFont="1" applyBorder="1"/>
    <xf numFmtId="15" fontId="2" fillId="2" borderId="6" xfId="0" applyNumberFormat="1" applyFont="1" applyFill="1" applyBorder="1"/>
    <xf numFmtId="15" fontId="2" fillId="5" borderId="1" xfId="0" applyNumberFormat="1" applyFont="1" applyFill="1" applyBorder="1"/>
    <xf numFmtId="15" fontId="2" fillId="5" borderId="6" xfId="0" applyNumberFormat="1" applyFont="1" applyFill="1" applyBorder="1"/>
    <xf numFmtId="167" fontId="0" fillId="5" borderId="0" xfId="0" applyNumberFormat="1" applyFill="1"/>
    <xf numFmtId="15" fontId="7" fillId="0" borderId="1" xfId="0" applyNumberFormat="1" applyFont="1" applyBorder="1"/>
    <xf numFmtId="4" fontId="7" fillId="0" borderId="3" xfId="0" applyNumberFormat="1" applyFont="1" applyBorder="1"/>
    <xf numFmtId="15" fontId="7" fillId="10" borderId="1" xfId="0" applyNumberFormat="1" applyFont="1" applyFill="1" applyBorder="1"/>
    <xf numFmtId="15" fontId="7" fillId="14" borderId="1" xfId="0" applyNumberFormat="1" applyFont="1" applyFill="1" applyBorder="1"/>
    <xf numFmtId="4" fontId="7" fillId="14" borderId="3" xfId="0" applyNumberFormat="1" applyFont="1" applyFill="1" applyBorder="1"/>
    <xf numFmtId="15" fontId="7" fillId="14" borderId="6" xfId="0" applyNumberFormat="1" applyFont="1" applyFill="1" applyBorder="1"/>
    <xf numFmtId="4" fontId="7" fillId="14" borderId="5" xfId="0" applyNumberFormat="1" applyFont="1" applyFill="1" applyBorder="1"/>
    <xf numFmtId="0" fontId="7" fillId="14" borderId="3" xfId="0" applyFont="1" applyFill="1" applyBorder="1"/>
    <xf numFmtId="0" fontId="7" fillId="14" borderId="5" xfId="0" applyFont="1" applyFill="1" applyBorder="1"/>
    <xf numFmtId="171" fontId="0" fillId="0" borderId="1" xfId="0" applyNumberFormat="1" applyBorder="1"/>
    <xf numFmtId="0" fontId="7" fillId="0" borderId="0" xfId="0" applyFont="1"/>
    <xf numFmtId="167" fontId="7" fillId="0" borderId="0" xfId="0" applyNumberFormat="1" applyFont="1"/>
    <xf numFmtId="15" fontId="7" fillId="0" borderId="2" xfId="0" applyNumberFormat="1" applyFont="1" applyBorder="1"/>
    <xf numFmtId="2" fontId="7" fillId="0" borderId="3" xfId="0" applyNumberFormat="1" applyFont="1" applyBorder="1"/>
    <xf numFmtId="0" fontId="0" fillId="8" borderId="1" xfId="0" applyFill="1" applyBorder="1"/>
    <xf numFmtId="0" fontId="0" fillId="9" borderId="1" xfId="0" applyFill="1" applyBorder="1"/>
    <xf numFmtId="0" fontId="0" fillId="5" borderId="1" xfId="0" applyFill="1" applyBorder="1"/>
    <xf numFmtId="0" fontId="0" fillId="10" borderId="1" xfId="0" applyFill="1" applyBorder="1"/>
    <xf numFmtId="0" fontId="0" fillId="2" borderId="1" xfId="0" applyFill="1" applyBorder="1"/>
    <xf numFmtId="0" fontId="0" fillId="11" borderId="1" xfId="0" applyFill="1" applyBorder="1"/>
    <xf numFmtId="174" fontId="0" fillId="0" borderId="1" xfId="0" applyNumberFormat="1" applyBorder="1"/>
    <xf numFmtId="175" fontId="0" fillId="0" borderId="1" xfId="0" applyNumberFormat="1" applyBorder="1"/>
    <xf numFmtId="0" fontId="0" fillId="0" borderId="1" xfId="0" applyBorder="1"/>
    <xf numFmtId="0" fontId="9" fillId="0" borderId="0" xfId="0" applyFont="1"/>
    <xf numFmtId="174" fontId="0" fillId="0" borderId="0" xfId="0" applyNumberFormat="1"/>
    <xf numFmtId="0" fontId="0" fillId="13" borderId="1" xfId="0" applyFill="1" applyBorder="1"/>
    <xf numFmtId="0" fontId="0" fillId="12" borderId="1" xfId="0" applyFill="1" applyBorder="1"/>
    <xf numFmtId="177" fontId="0" fillId="0" borderId="1" xfId="0" applyNumberFormat="1" applyBorder="1"/>
    <xf numFmtId="2" fontId="0" fillId="0" borderId="1" xfId="0" applyNumberFormat="1" applyBorder="1"/>
    <xf numFmtId="2" fontId="7" fillId="14" borderId="5" xfId="0" applyNumberFormat="1" applyFont="1" applyFill="1" applyBorder="1"/>
    <xf numFmtId="2" fontId="7" fillId="14" borderId="3" xfId="0" applyNumberFormat="1" applyFont="1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2" xfId="0" applyFont="1" applyBorder="1"/>
    <xf numFmtId="0" fontId="7" fillId="0" borderId="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7" fontId="7" fillId="0" borderId="14" xfId="0" applyNumberFormat="1" applyFont="1" applyBorder="1"/>
    <xf numFmtId="167" fontId="7" fillId="0" borderId="15" xfId="0" applyNumberFormat="1" applyFont="1" applyBorder="1"/>
    <xf numFmtId="167" fontId="7" fillId="0" borderId="16" xfId="0" applyNumberFormat="1" applyFont="1" applyBorder="1"/>
    <xf numFmtId="167" fontId="7" fillId="0" borderId="17" xfId="0" applyNumberFormat="1" applyFont="1" applyBorder="1"/>
    <xf numFmtId="167" fontId="7" fillId="0" borderId="18" xfId="0" applyNumberFormat="1" applyFont="1" applyBorder="1"/>
    <xf numFmtId="167" fontId="7" fillId="0" borderId="19" xfId="0" applyNumberFormat="1" applyFont="1" applyBorder="1"/>
    <xf numFmtId="167" fontId="7" fillId="0" borderId="20" xfId="0" applyNumberFormat="1" applyFont="1" applyBorder="1"/>
    <xf numFmtId="167" fontId="7" fillId="0" borderId="21" xfId="0" applyNumberFormat="1" applyFont="1" applyBorder="1"/>
    <xf numFmtId="174" fontId="0" fillId="0" borderId="0" xfId="2" applyNumberFormat="1" applyFont="1"/>
    <xf numFmtId="176" fontId="0" fillId="0" borderId="0" xfId="2" applyNumberFormat="1" applyFont="1"/>
    <xf numFmtId="178" fontId="0" fillId="0" borderId="0" xfId="0" applyNumberFormat="1"/>
    <xf numFmtId="176" fontId="0" fillId="0" borderId="17" xfId="2" applyNumberFormat="1" applyFont="1" applyBorder="1"/>
    <xf numFmtId="176" fontId="0" fillId="0" borderId="0" xfId="2" applyNumberFormat="1" applyFont="1" applyBorder="1"/>
    <xf numFmtId="176" fontId="0" fillId="0" borderId="18" xfId="2" applyNumberFormat="1" applyFont="1" applyBorder="1"/>
    <xf numFmtId="178" fontId="0" fillId="0" borderId="19" xfId="0" applyNumberFormat="1" applyBorder="1"/>
    <xf numFmtId="178" fontId="0" fillId="0" borderId="20" xfId="0" applyNumberFormat="1" applyBorder="1"/>
    <xf numFmtId="178" fontId="0" fillId="0" borderId="21" xfId="0" applyNumberFormat="1" applyBorder="1"/>
    <xf numFmtId="177" fontId="0" fillId="0" borderId="0" xfId="0" applyNumberFormat="1"/>
    <xf numFmtId="15" fontId="7" fillId="14" borderId="2" xfId="0" applyNumberFormat="1" applyFont="1" applyFill="1" applyBorder="1"/>
    <xf numFmtId="0" fontId="4" fillId="0" borderId="0" xfId="0" applyFont="1"/>
    <xf numFmtId="177" fontId="0" fillId="0" borderId="18" xfId="0" applyNumberFormat="1" applyBorder="1"/>
    <xf numFmtId="0" fontId="0" fillId="0" borderId="18" xfId="0" applyBorder="1"/>
    <xf numFmtId="176" fontId="0" fillId="0" borderId="20" xfId="2" applyNumberFormat="1" applyFont="1" applyBorder="1"/>
    <xf numFmtId="0" fontId="0" fillId="0" borderId="20" xfId="0" applyBorder="1"/>
    <xf numFmtId="0" fontId="0" fillId="0" borderId="21" xfId="0" applyBorder="1"/>
    <xf numFmtId="0" fontId="0" fillId="0" borderId="13" xfId="0" applyBorder="1"/>
    <xf numFmtId="0" fontId="0" fillId="0" borderId="4" xfId="0" applyBorder="1"/>
    <xf numFmtId="0" fontId="0" fillId="0" borderId="2" xfId="0" applyBorder="1"/>
    <xf numFmtId="0" fontId="0" fillId="0" borderId="11" xfId="0" applyBorder="1"/>
    <xf numFmtId="0" fontId="0" fillId="0" borderId="12" xfId="0" applyBorder="1"/>
    <xf numFmtId="177" fontId="0" fillId="0" borderId="20" xfId="0" applyNumberFormat="1" applyBorder="1"/>
    <xf numFmtId="177" fontId="0" fillId="0" borderId="21" xfId="0" applyNumberFormat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8" xfId="0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Normal 2" xfId="1" xr:uid="{013943A3-9092-4400-89A9-08866644C09C}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ABC1-1DD9-45CD-BE63-854D186273C2}">
  <dimension ref="A1:U547"/>
  <sheetViews>
    <sheetView topLeftCell="A2" workbookViewId="0">
      <selection activeCell="A2" sqref="A2"/>
    </sheetView>
  </sheetViews>
  <sheetFormatPr defaultRowHeight="15" customHeight="1" x14ac:dyDescent="0.3"/>
  <cols>
    <col min="1" max="1" width="17.44140625" customWidth="1"/>
    <col min="2" max="2" width="17.5546875" customWidth="1"/>
    <col min="3" max="3" width="8.6640625" customWidth="1"/>
    <col min="4" max="4" width="17.5546875" customWidth="1"/>
    <col min="5" max="5" width="17.44140625" customWidth="1"/>
    <col min="7" max="8" width="17.5546875" customWidth="1"/>
    <col min="10" max="10" width="17.44140625" customWidth="1"/>
    <col min="11" max="11" width="17.5546875" customWidth="1"/>
    <col min="13" max="14" width="17.44140625" customWidth="1"/>
    <col min="16" max="16" width="23.5546875" bestFit="1" customWidth="1"/>
    <col min="17" max="17" width="14" bestFit="1" customWidth="1"/>
    <col min="18" max="18" width="18" bestFit="1" customWidth="1"/>
    <col min="19" max="19" width="19" bestFit="1" customWidth="1"/>
    <col min="20" max="20" width="18.109375" bestFit="1" customWidth="1"/>
    <col min="21" max="21" width="17.6640625" customWidth="1"/>
  </cols>
  <sheetData>
    <row r="1" spans="1:21" x14ac:dyDescent="0.3"/>
    <row r="2" spans="1:21" x14ac:dyDescent="0.3">
      <c r="B2" t="s">
        <v>0</v>
      </c>
      <c r="D2" s="7" t="s">
        <v>1</v>
      </c>
      <c r="E2" s="8" t="s">
        <v>2</v>
      </c>
    </row>
    <row r="3" spans="1:21" x14ac:dyDescent="0.3">
      <c r="D3" s="9" t="s">
        <v>3</v>
      </c>
    </row>
    <row r="4" spans="1:21" x14ac:dyDescent="0.3"/>
    <row r="5" spans="1:21" x14ac:dyDescent="0.3">
      <c r="P5" t="s">
        <v>4</v>
      </c>
      <c r="Q5" t="s">
        <v>5</v>
      </c>
      <c r="R5" t="s">
        <v>6</v>
      </c>
      <c r="S5" t="s">
        <v>7</v>
      </c>
      <c r="T5" t="s">
        <v>8</v>
      </c>
      <c r="U5" t="s">
        <v>9</v>
      </c>
    </row>
    <row r="6" spans="1:21" x14ac:dyDescent="0.3">
      <c r="A6" t="s">
        <v>10</v>
      </c>
      <c r="B6" t="s">
        <v>5</v>
      </c>
      <c r="D6" t="s">
        <v>10</v>
      </c>
      <c r="E6" t="s">
        <v>6</v>
      </c>
      <c r="G6" t="s">
        <v>10</v>
      </c>
      <c r="H6" t="s">
        <v>7</v>
      </c>
      <c r="J6" t="s">
        <v>10</v>
      </c>
      <c r="K6" t="s">
        <v>8</v>
      </c>
      <c r="M6" t="s">
        <v>10</v>
      </c>
      <c r="N6" t="s">
        <v>9</v>
      </c>
    </row>
    <row r="7" spans="1:21" x14ac:dyDescent="0.3">
      <c r="A7" s="44">
        <v>45807</v>
      </c>
      <c r="B7" s="40">
        <v>42215.73</v>
      </c>
      <c r="D7" s="44">
        <v>45807</v>
      </c>
      <c r="E7" s="40">
        <v>2969.99</v>
      </c>
      <c r="G7" s="44">
        <v>45807</v>
      </c>
      <c r="H7" s="39">
        <v>263.3</v>
      </c>
      <c r="J7" s="44">
        <v>45807</v>
      </c>
      <c r="K7" s="39">
        <v>626.24</v>
      </c>
      <c r="M7" s="44">
        <v>45807</v>
      </c>
      <c r="N7" s="40">
        <v>19175.87</v>
      </c>
      <c r="Q7" s="46">
        <f t="shared" ref="Q7:Q14" si="0">(B7-B8)/B8</f>
        <v>1.4726317072273837E-2</v>
      </c>
      <c r="R7" s="9">
        <f t="shared" ref="R7:R14" si="1">(E7-E8)/E8</f>
        <v>-1.4356591719903831E-2</v>
      </c>
      <c r="S7" s="9">
        <f t="shared" ref="S7:S14" si="2">(H7-H8)/H8</f>
        <v>9.9731492136556302E-3</v>
      </c>
      <c r="T7" s="46">
        <f t="shared" ref="T7:T14" si="3">(K7-K8)/K8</f>
        <v>1.0896059661980016E-2</v>
      </c>
      <c r="U7" s="46">
        <f t="shared" ref="U7:U14" si="4">(N7-N8)/N8</f>
        <v>2.3411169539114943E-2</v>
      </c>
    </row>
    <row r="8" spans="1:21" x14ac:dyDescent="0.3">
      <c r="A8" s="45">
        <v>45800</v>
      </c>
      <c r="B8" s="42">
        <v>41603.07</v>
      </c>
      <c r="D8" s="45">
        <v>45800</v>
      </c>
      <c r="E8" s="42">
        <v>3013.25</v>
      </c>
      <c r="G8" s="45">
        <v>45800</v>
      </c>
      <c r="H8" s="41">
        <v>260.7</v>
      </c>
      <c r="J8" s="45">
        <v>45800</v>
      </c>
      <c r="K8" s="41">
        <v>619.49</v>
      </c>
      <c r="M8" s="45">
        <v>45800</v>
      </c>
      <c r="N8" s="42">
        <v>18737.21</v>
      </c>
      <c r="Q8" s="46">
        <f t="shared" si="0"/>
        <v>-2.4655407581900587E-2</v>
      </c>
      <c r="R8" s="9">
        <f t="shared" si="1"/>
        <v>8.5618558943925966E-3</v>
      </c>
      <c r="S8" s="9">
        <f t="shared" si="2"/>
        <v>5.5542698449432912E-3</v>
      </c>
      <c r="T8" s="46">
        <f t="shared" si="3"/>
        <v>1.0356525426493171E-2</v>
      </c>
      <c r="U8" s="46">
        <f t="shared" si="4"/>
        <v>-2.466750992915551E-2</v>
      </c>
    </row>
    <row r="9" spans="1:21" x14ac:dyDescent="0.3">
      <c r="A9" s="45">
        <v>45793</v>
      </c>
      <c r="B9" s="42">
        <v>42654.74</v>
      </c>
      <c r="D9" s="45">
        <v>45793</v>
      </c>
      <c r="E9" s="42">
        <v>2987.67</v>
      </c>
      <c r="G9" s="45">
        <v>45793</v>
      </c>
      <c r="H9" s="41">
        <v>259.26</v>
      </c>
      <c r="J9" s="45">
        <v>45793</v>
      </c>
      <c r="K9" s="41">
        <v>613.14</v>
      </c>
      <c r="M9" s="45">
        <v>45793</v>
      </c>
      <c r="N9" s="42">
        <v>19211.099999999999</v>
      </c>
      <c r="Q9" s="46">
        <f t="shared" si="0"/>
        <v>3.4069845413434108E-2</v>
      </c>
      <c r="R9" s="9">
        <f t="shared" si="1"/>
        <v>1.6273049802199496E-2</v>
      </c>
      <c r="S9" s="9">
        <f t="shared" si="2"/>
        <v>4.7279491551696258E-3</v>
      </c>
      <c r="T9" s="46">
        <f t="shared" si="3"/>
        <v>1.3387544625148788E-2</v>
      </c>
      <c r="U9" s="46">
        <f t="shared" si="4"/>
        <v>7.1514625532380111E-2</v>
      </c>
    </row>
    <row r="10" spans="1:21" x14ac:dyDescent="0.3">
      <c r="A10" s="45">
        <v>45786</v>
      </c>
      <c r="B10" s="42">
        <v>41249.379999999997</v>
      </c>
      <c r="D10" s="45">
        <v>45786</v>
      </c>
      <c r="E10" s="42">
        <v>2939.83</v>
      </c>
      <c r="G10" s="45">
        <v>45786</v>
      </c>
      <c r="H10" s="41">
        <v>258.04000000000002</v>
      </c>
      <c r="J10" s="45">
        <v>45786</v>
      </c>
      <c r="K10" s="41">
        <v>605.04</v>
      </c>
      <c r="M10" s="45">
        <v>45786</v>
      </c>
      <c r="N10" s="42">
        <v>17928.919999999998</v>
      </c>
      <c r="Q10" s="46">
        <f t="shared" si="0"/>
        <v>-1.6470046660695718E-3</v>
      </c>
      <c r="R10" s="9">
        <f t="shared" si="1"/>
        <v>1.2397419959157389E-2</v>
      </c>
      <c r="S10" s="9">
        <f t="shared" si="2"/>
        <v>1.5385826151969564E-2</v>
      </c>
      <c r="T10" s="46">
        <f t="shared" si="3"/>
        <v>-1.4193761346757115E-3</v>
      </c>
      <c r="U10" s="46">
        <f t="shared" si="4"/>
        <v>-2.7150257568670411E-3</v>
      </c>
    </row>
    <row r="11" spans="1:21" x14ac:dyDescent="0.3">
      <c r="A11" s="45">
        <v>45779</v>
      </c>
      <c r="B11" s="42">
        <v>41317.43</v>
      </c>
      <c r="D11" s="45">
        <v>45779</v>
      </c>
      <c r="E11" s="42">
        <v>2903.83</v>
      </c>
      <c r="G11" s="45">
        <v>45779</v>
      </c>
      <c r="H11" s="41">
        <v>254.13</v>
      </c>
      <c r="J11" s="45">
        <v>45779</v>
      </c>
      <c r="K11" s="41">
        <v>605.9</v>
      </c>
      <c r="M11" s="45">
        <v>45779</v>
      </c>
      <c r="N11" s="42">
        <v>17977.73</v>
      </c>
      <c r="Q11" s="46">
        <f t="shared" si="0"/>
        <v>3.0013087863188209E-2</v>
      </c>
      <c r="R11" s="9">
        <f t="shared" si="1"/>
        <v>2.4734096988432302E-2</v>
      </c>
      <c r="S11" s="9">
        <f t="shared" si="2"/>
        <v>2.2532491047358445E-2</v>
      </c>
      <c r="T11" s="46">
        <f t="shared" si="3"/>
        <v>2.4448802921682541E-2</v>
      </c>
      <c r="U11" s="46">
        <f t="shared" si="4"/>
        <v>3.4216881609209999E-2</v>
      </c>
    </row>
    <row r="12" spans="1:21" x14ac:dyDescent="0.3">
      <c r="A12" s="45">
        <v>45772</v>
      </c>
      <c r="B12" s="42">
        <v>40113.5</v>
      </c>
      <c r="D12" s="45">
        <v>45772</v>
      </c>
      <c r="E12" s="42">
        <v>2833.74</v>
      </c>
      <c r="G12" s="45">
        <v>45772</v>
      </c>
      <c r="H12" s="41">
        <v>248.53</v>
      </c>
      <c r="J12" s="45">
        <v>45772</v>
      </c>
      <c r="K12" s="41">
        <v>591.44000000000005</v>
      </c>
      <c r="M12" s="45">
        <v>45772</v>
      </c>
      <c r="N12" s="42">
        <v>17382.939999999999</v>
      </c>
      <c r="Q12" s="46">
        <f t="shared" si="0"/>
        <v>2.4813864718489384E-2</v>
      </c>
      <c r="R12" s="9">
        <f t="shared" si="1"/>
        <v>2.8032229627022964E-2</v>
      </c>
      <c r="S12" s="9">
        <f t="shared" si="2"/>
        <v>1.7356420647591016E-2</v>
      </c>
      <c r="T12" s="46">
        <f t="shared" si="3"/>
        <v>2.5274763374128977E-2</v>
      </c>
      <c r="U12" s="46">
        <f t="shared" si="4"/>
        <v>6.7325291883743726E-2</v>
      </c>
    </row>
    <row r="13" spans="1:21" x14ac:dyDescent="0.3">
      <c r="A13" s="45">
        <v>45765</v>
      </c>
      <c r="B13" s="42">
        <v>39142.230000000003</v>
      </c>
      <c r="D13" s="45">
        <v>45765</v>
      </c>
      <c r="E13" s="42">
        <v>2756.47</v>
      </c>
      <c r="G13" s="45">
        <v>45765</v>
      </c>
      <c r="H13" s="41">
        <v>244.29</v>
      </c>
      <c r="J13" s="45">
        <v>45765</v>
      </c>
      <c r="K13" s="41">
        <v>576.86</v>
      </c>
      <c r="M13" s="45">
        <v>45765</v>
      </c>
      <c r="N13" s="42">
        <v>16286.45</v>
      </c>
      <c r="Q13" s="46">
        <f t="shared" si="0"/>
        <v>-2.6620439159658622E-2</v>
      </c>
      <c r="R13" s="9">
        <f t="shared" si="1"/>
        <v>2.1864770583023486E-2</v>
      </c>
      <c r="S13" s="9">
        <f t="shared" si="2"/>
        <v>4.3840533264965988E-2</v>
      </c>
      <c r="T13" s="46">
        <f t="shared" si="3"/>
        <v>4.3127610712283729E-2</v>
      </c>
      <c r="U13" s="46">
        <f t="shared" si="4"/>
        <v>-2.6189784303947538E-2</v>
      </c>
    </row>
    <row r="14" spans="1:21" x14ac:dyDescent="0.3">
      <c r="A14" s="45">
        <v>45758</v>
      </c>
      <c r="B14" s="42">
        <v>40212.71</v>
      </c>
      <c r="D14" s="45">
        <v>45758</v>
      </c>
      <c r="E14" s="42">
        <v>2697.49</v>
      </c>
      <c r="G14" s="45">
        <v>45758</v>
      </c>
      <c r="H14" s="41">
        <v>234.03</v>
      </c>
      <c r="J14" s="45">
        <v>45758</v>
      </c>
      <c r="K14" s="41">
        <v>553.01</v>
      </c>
      <c r="M14" s="45">
        <v>45758</v>
      </c>
      <c r="N14" s="42">
        <v>16724.46</v>
      </c>
      <c r="Q14" s="46">
        <f t="shared" si="0"/>
        <v>4.9533001034063509E-2</v>
      </c>
      <c r="R14" s="9">
        <f t="shared" si="1"/>
        <v>-8.223041800774368E-2</v>
      </c>
      <c r="S14" s="9">
        <f t="shared" si="2"/>
        <v>1.7698730213950221E-2</v>
      </c>
      <c r="T14" s="46">
        <f t="shared" si="3"/>
        <v>1.7067294429220333E-2</v>
      </c>
      <c r="U14" s="46">
        <f t="shared" si="4"/>
        <v>7.2920535880968251E-2</v>
      </c>
    </row>
    <row r="15" spans="1:21" x14ac:dyDescent="0.3">
      <c r="A15" s="45">
        <v>45751</v>
      </c>
      <c r="B15" s="42">
        <v>38314.86</v>
      </c>
      <c r="D15" s="45">
        <v>45751</v>
      </c>
      <c r="E15" s="42">
        <v>2939.18</v>
      </c>
      <c r="G15" s="45">
        <v>45751</v>
      </c>
      <c r="H15" s="41">
        <v>229.96</v>
      </c>
      <c r="J15" s="45">
        <v>45751</v>
      </c>
      <c r="K15" s="41">
        <v>543.73</v>
      </c>
      <c r="M15" s="45">
        <v>45751</v>
      </c>
      <c r="N15" s="42">
        <v>15587.79</v>
      </c>
      <c r="Q15" s="46">
        <f>(B15-B16)/B16</f>
        <v>-7.8613117095799115E-2</v>
      </c>
      <c r="R15" s="9">
        <f>(E15-E16)/E16</f>
        <v>-2.417106178446396E-2</v>
      </c>
      <c r="S15" s="9">
        <f>(H15-H16)/H16</f>
        <v>-7.1928843304971721E-2</v>
      </c>
      <c r="T15" s="46">
        <f>(K15-K16)/K16</f>
        <v>-7.3602836008119801E-2</v>
      </c>
      <c r="U15" s="46">
        <f>(N15-N16)/N16</f>
        <v>-0.10016746531632245</v>
      </c>
    </row>
    <row r="16" spans="1:21" x14ac:dyDescent="0.3">
      <c r="A16" s="43">
        <v>45744</v>
      </c>
      <c r="B16" s="42">
        <v>41583.9</v>
      </c>
      <c r="D16" s="4">
        <v>45744</v>
      </c>
      <c r="E16" s="3">
        <v>3011.98282290621</v>
      </c>
      <c r="G16" s="4">
        <v>45744</v>
      </c>
      <c r="H16" s="3">
        <v>247.78272478471899</v>
      </c>
      <c r="J16" s="4">
        <v>45744</v>
      </c>
      <c r="K16" s="3">
        <v>586.92968969922902</v>
      </c>
      <c r="M16" s="43">
        <v>45744</v>
      </c>
      <c r="N16" s="42">
        <v>17322.990000000002</v>
      </c>
      <c r="P16">
        <v>1</v>
      </c>
      <c r="Q16" s="10">
        <f>(B16-B20)/B20</f>
        <v>-2.3469693321732571E-2</v>
      </c>
      <c r="R16">
        <f>(E16-E20)/E20</f>
        <v>-2.0489088653958529E-2</v>
      </c>
      <c r="S16">
        <f>(H16-H20)/H20</f>
        <v>-7.1821868463490205E-3</v>
      </c>
      <c r="T16" s="10">
        <f>(K16-K20)/K20</f>
        <v>-9.9724781243390893E-3</v>
      </c>
      <c r="U16" s="10">
        <f>(N16-N20)/N20</f>
        <v>-4.7590432091146308E-2</v>
      </c>
    </row>
    <row r="17" spans="1:21" x14ac:dyDescent="0.3">
      <c r="A17" s="1">
        <v>45743</v>
      </c>
      <c r="B17" s="2">
        <v>42299.700299999997</v>
      </c>
      <c r="D17" s="1">
        <v>45743</v>
      </c>
      <c r="E17" s="3">
        <v>3032.4870746199499</v>
      </c>
      <c r="G17" s="1">
        <v>45743</v>
      </c>
      <c r="H17" s="3">
        <v>250.24806355509901</v>
      </c>
      <c r="J17" s="1">
        <v>45743</v>
      </c>
      <c r="K17" s="3">
        <v>590.06955845502398</v>
      </c>
      <c r="M17" s="1">
        <v>45743</v>
      </c>
      <c r="N17" s="3">
        <v>17804.032999999999</v>
      </c>
      <c r="P17">
        <v>2</v>
      </c>
      <c r="Q17" s="10">
        <f>(B21-B25)/B25</f>
        <v>3.4347128329698996E-3</v>
      </c>
      <c r="R17">
        <f>(E21-E25)/E25</f>
        <v>-1.9358863243556752E-2</v>
      </c>
      <c r="S17">
        <f>(H21-H24)/H24</f>
        <v>6.8269957487741024E-3</v>
      </c>
      <c r="T17" s="10">
        <f>(K21-K25)/K25</f>
        <v>-1.2080020974512794E-2</v>
      </c>
      <c r="U17" s="11">
        <f>(N21-N25)/N25</f>
        <v>-1.3820800931502325E-3</v>
      </c>
    </row>
    <row r="18" spans="1:21" x14ac:dyDescent="0.3">
      <c r="A18" s="1">
        <v>45742</v>
      </c>
      <c r="B18" s="2">
        <v>42454.786099999998</v>
      </c>
      <c r="D18" s="1">
        <v>45742</v>
      </c>
      <c r="E18" s="3">
        <v>3019.9354432170499</v>
      </c>
      <c r="G18" s="1">
        <v>45742</v>
      </c>
      <c r="H18" s="3">
        <v>252.53878337096401</v>
      </c>
      <c r="J18" s="1">
        <v>45742</v>
      </c>
      <c r="K18" s="3">
        <v>589.99419392297204</v>
      </c>
      <c r="M18" s="1">
        <v>45742</v>
      </c>
      <c r="N18" s="3">
        <v>17899.014999999999</v>
      </c>
      <c r="P18">
        <v>3</v>
      </c>
      <c r="Q18" s="10">
        <f>(B26-B30)/B30</f>
        <v>-1.0105054365093617E-2</v>
      </c>
      <c r="R18">
        <f>(E26-E30)/E30</f>
        <v>6.8504166794362718E-3</v>
      </c>
      <c r="S18">
        <f>(H25-H29)/H29</f>
        <v>-8.4864220748712485E-3</v>
      </c>
      <c r="T18" s="10">
        <f>(K26-K30)/K30</f>
        <v>5.0762424077906119E-3</v>
      </c>
      <c r="U18" s="10">
        <f>(N26-N30)/N30</f>
        <v>1.6359042176978509E-2</v>
      </c>
    </row>
    <row r="19" spans="1:21" x14ac:dyDescent="0.3">
      <c r="A19" s="1">
        <v>45741</v>
      </c>
      <c r="B19" s="2">
        <v>42587.497300000003</v>
      </c>
      <c r="D19" s="1">
        <v>45741</v>
      </c>
      <c r="E19" s="3">
        <v>3002.5917398742099</v>
      </c>
      <c r="G19" s="1">
        <v>45741</v>
      </c>
      <c r="H19" s="3">
        <v>252.03829219480801</v>
      </c>
      <c r="J19" s="1">
        <v>45741</v>
      </c>
      <c r="K19" s="3">
        <v>596.29869429157304</v>
      </c>
      <c r="M19" s="1">
        <v>45741</v>
      </c>
      <c r="N19" s="3">
        <v>18271.855</v>
      </c>
      <c r="P19">
        <v>4</v>
      </c>
      <c r="Q19" s="10">
        <f>(B31-B35)/B35</f>
        <v>-9.0186774893541138E-3</v>
      </c>
      <c r="R19">
        <f>(E31-E35)/E35</f>
        <v>5.4155852281279088E-2</v>
      </c>
      <c r="S19">
        <f>(H30-H34)/H34</f>
        <v>-1.4079351861324696E-2</v>
      </c>
      <c r="T19" s="10">
        <f>(K31-K35)/K35</f>
        <v>1.5054057179652658E-2</v>
      </c>
      <c r="U19" s="10">
        <f>(N31-N35)/N35</f>
        <v>-8.3906483589188553E-3</v>
      </c>
    </row>
    <row r="20" spans="1:21" x14ac:dyDescent="0.3">
      <c r="A20" s="5">
        <v>45740</v>
      </c>
      <c r="B20" s="2">
        <v>42583.3174</v>
      </c>
      <c r="D20" s="5">
        <v>45740</v>
      </c>
      <c r="E20" s="3">
        <v>3074.9864937871398</v>
      </c>
      <c r="G20" s="5">
        <v>45740</v>
      </c>
      <c r="H20" s="3">
        <v>249.57522065165799</v>
      </c>
      <c r="J20" s="5">
        <v>45740</v>
      </c>
      <c r="K20" s="3">
        <v>592.84179149611805</v>
      </c>
      <c r="M20" s="5">
        <v>45740</v>
      </c>
      <c r="N20" s="3">
        <v>18188.593000000001</v>
      </c>
      <c r="P20">
        <v>5</v>
      </c>
      <c r="Q20" s="10">
        <f>(B36-B40)/B40</f>
        <v>8.7363595334369829E-3</v>
      </c>
      <c r="R20">
        <f>(E36-E40)/E40</f>
        <v>-1.7578820007086687E-2</v>
      </c>
      <c r="S20">
        <f>(H35-H38)/H38</f>
        <v>-3.8498616645748419E-2</v>
      </c>
      <c r="T20" s="10">
        <f>(K36-K40)/K40</f>
        <v>-1.8975893415875487E-3</v>
      </c>
      <c r="U20" s="10">
        <f>(N36-N40)/N40</f>
        <v>-2.2795028238042126E-2</v>
      </c>
    </row>
    <row r="21" spans="1:21" x14ac:dyDescent="0.3">
      <c r="A21" s="4">
        <v>45737</v>
      </c>
      <c r="B21" s="2">
        <v>41985.3488</v>
      </c>
      <c r="D21" s="4">
        <v>45737</v>
      </c>
      <c r="E21" s="3">
        <v>3047.57567571044</v>
      </c>
      <c r="G21" s="4">
        <v>45737</v>
      </c>
      <c r="H21" s="3">
        <v>252.34116937912799</v>
      </c>
      <c r="J21" s="4">
        <v>45737</v>
      </c>
      <c r="K21" s="3">
        <v>594.41134168892802</v>
      </c>
      <c r="M21" s="4">
        <v>45737</v>
      </c>
      <c r="N21" s="3">
        <v>17784.050999999999</v>
      </c>
      <c r="P21">
        <v>6</v>
      </c>
      <c r="Q21" s="10">
        <f>(B41-B44)/B44</f>
        <v>-2.5323476219827001E-2</v>
      </c>
      <c r="R21">
        <f>(E41-E45)/E45</f>
        <v>3.9530165807272075E-2</v>
      </c>
      <c r="S21">
        <f>(H39-H43)/H43</f>
        <v>4.5111434456535163E-3</v>
      </c>
      <c r="T21" s="10">
        <f>(K41-K45)/K45</f>
        <v>-5.1105076492835586E-3</v>
      </c>
      <c r="U21" s="10">
        <f>(N41-N44)/N44</f>
        <v>-2.5809553600444485E-2</v>
      </c>
    </row>
    <row r="22" spans="1:21" x14ac:dyDescent="0.3">
      <c r="A22" s="1">
        <v>45736</v>
      </c>
      <c r="B22" s="2">
        <v>41953.323600000003</v>
      </c>
      <c r="D22" s="1">
        <v>45736</v>
      </c>
      <c r="E22" s="3">
        <v>3116.0679823997102</v>
      </c>
      <c r="G22" s="1">
        <v>45735</v>
      </c>
      <c r="H22" s="3">
        <v>253.91364003227301</v>
      </c>
      <c r="J22" s="1">
        <v>45736</v>
      </c>
      <c r="K22" s="3">
        <v>600.04123398113995</v>
      </c>
      <c r="M22" s="1">
        <v>45736</v>
      </c>
      <c r="N22" s="3">
        <v>17691.626</v>
      </c>
      <c r="P22">
        <v>7</v>
      </c>
      <c r="Q22" s="10">
        <f>(B45-B49)/B49</f>
        <v>1.7015381726895797E-3</v>
      </c>
      <c r="R22">
        <f>(E46-E50)/E50</f>
        <v>5.1627967602166813E-2</v>
      </c>
      <c r="S22">
        <f>(H44-H47)/H47</f>
        <v>6.7234729303902868E-3</v>
      </c>
      <c r="T22" s="10">
        <f>(K46-K50)/K50</f>
        <v>3.0051645427756631E-2</v>
      </c>
      <c r="U22" s="10">
        <f>(N45-N49)/N49</f>
        <v>1.5851614084619953E-2</v>
      </c>
    </row>
    <row r="23" spans="1:21" x14ac:dyDescent="0.3">
      <c r="A23" s="1">
        <v>45735</v>
      </c>
      <c r="B23" s="2">
        <v>41964.633800000003</v>
      </c>
      <c r="D23" s="1">
        <v>45735</v>
      </c>
      <c r="E23" s="3">
        <v>3187.76172030835</v>
      </c>
      <c r="G23" s="1">
        <v>45734</v>
      </c>
      <c r="H23" s="3">
        <v>253.55366474606899</v>
      </c>
      <c r="J23" s="1">
        <v>45735</v>
      </c>
      <c r="K23" s="3">
        <v>605.40687850874895</v>
      </c>
      <c r="M23" s="1">
        <v>45735</v>
      </c>
      <c r="N23" s="3">
        <v>17750.79</v>
      </c>
      <c r="P23">
        <v>8</v>
      </c>
      <c r="Q23" s="10">
        <f>(B50-B54)/B54</f>
        <v>-2.6678703669456654E-3</v>
      </c>
      <c r="R23">
        <f>(E51-E55)/E55</f>
        <v>4.5603443020550971E-2</v>
      </c>
      <c r="S23">
        <f>(H48-H52)/H52</f>
        <v>2.9209777793486994E-2</v>
      </c>
      <c r="T23" s="10">
        <f>(K51-K55)/K55</f>
        <v>1.3093778725007461E-2</v>
      </c>
      <c r="U23" s="10">
        <f>(N50-N54)/N54</f>
        <v>6.7784295085253892E-3</v>
      </c>
    </row>
    <row r="24" spans="1:21" x14ac:dyDescent="0.3">
      <c r="A24" s="1">
        <v>45734</v>
      </c>
      <c r="B24" s="2">
        <v>41581.314299999998</v>
      </c>
      <c r="D24" s="1">
        <v>45734</v>
      </c>
      <c r="E24" s="3">
        <v>3184.48340219589</v>
      </c>
      <c r="G24" s="5">
        <v>45733</v>
      </c>
      <c r="H24" s="3">
        <v>250.63011862476199</v>
      </c>
      <c r="J24" s="1">
        <v>45734</v>
      </c>
      <c r="K24" s="3">
        <v>606.56796121817001</v>
      </c>
      <c r="M24" s="1">
        <v>45734</v>
      </c>
      <c r="N24" s="3">
        <v>17504.116999999998</v>
      </c>
      <c r="P24">
        <v>9</v>
      </c>
      <c r="Q24" s="10">
        <f>(B55-B59)/B59</f>
        <v>-3.7777404115511876E-3</v>
      </c>
      <c r="R24">
        <f>(E56-E57)/E57</f>
        <v>1.1093821912701556E-3</v>
      </c>
      <c r="S24">
        <f>(H53-H57)/H57</f>
        <v>-4.2781156921912278E-3</v>
      </c>
      <c r="T24" s="10">
        <f>(K56-K60)/K60</f>
        <v>6.059213302138316E-3</v>
      </c>
      <c r="U24" s="10">
        <f>(N55-N59)/N59</f>
        <v>1.4766283280065375E-2</v>
      </c>
    </row>
    <row r="25" spans="1:21" x14ac:dyDescent="0.3">
      <c r="A25" s="5">
        <v>45733</v>
      </c>
      <c r="B25" s="2">
        <v>41841.6348</v>
      </c>
      <c r="D25" s="5">
        <v>45733</v>
      </c>
      <c r="E25" s="3">
        <v>3107.73794967501</v>
      </c>
      <c r="G25" s="4">
        <v>45730</v>
      </c>
      <c r="H25" s="3">
        <v>249.31435876732601</v>
      </c>
      <c r="J25" s="5">
        <v>45733</v>
      </c>
      <c r="K25" s="3">
        <v>601.67964441337904</v>
      </c>
      <c r="M25" s="5">
        <v>45733</v>
      </c>
      <c r="N25" s="3">
        <v>17808.664000000001</v>
      </c>
      <c r="P25">
        <v>10</v>
      </c>
      <c r="Q25" s="10">
        <f>(B60-B63)/B63</f>
        <v>9.0501648056143247E-3</v>
      </c>
      <c r="R25">
        <f>(E58-E62)/E62</f>
        <v>6.1786527318639329E-3</v>
      </c>
      <c r="S25">
        <f>(H58-H62)/H62</f>
        <v>2.389659404005591E-2</v>
      </c>
      <c r="T25" s="10">
        <f>(K61-K65)/K65</f>
        <v>1.9511191887012658E-2</v>
      </c>
      <c r="U25" s="10">
        <f>(N60-N63)/N63</f>
        <v>9.9976823145109268E-3</v>
      </c>
    </row>
    <row r="26" spans="1:21" x14ac:dyDescent="0.3">
      <c r="A26" s="4">
        <v>45730</v>
      </c>
      <c r="B26" s="2">
        <v>41488.189100000003</v>
      </c>
      <c r="D26" s="4">
        <v>45730</v>
      </c>
      <c r="E26" s="3">
        <v>3082.5416838205001</v>
      </c>
      <c r="G26" s="1">
        <v>45729</v>
      </c>
      <c r="H26" s="3">
        <v>248.90081861850999</v>
      </c>
      <c r="J26" s="4">
        <v>45730</v>
      </c>
      <c r="K26" s="3">
        <v>594.64751958224804</v>
      </c>
      <c r="M26" s="4">
        <v>45730</v>
      </c>
      <c r="N26" s="3">
        <v>17754.085999999999</v>
      </c>
      <c r="P26">
        <v>11</v>
      </c>
      <c r="Q26" s="10">
        <f>(B64-B68)/B68</f>
        <v>2.8151146919970019E-2</v>
      </c>
      <c r="R26">
        <f>(E63-E67)/E67</f>
        <v>3.760004257754377E-2</v>
      </c>
      <c r="S26">
        <f>(H63-H66)/H66</f>
        <v>1.0020653532312357E-2</v>
      </c>
      <c r="T26" s="10">
        <f>(K66-K70)/K70</f>
        <v>3.207672178334646E-2</v>
      </c>
      <c r="U26" s="10">
        <f>(N64-N68)/N68</f>
        <v>2.8399732985500685E-2</v>
      </c>
    </row>
    <row r="27" spans="1:21" x14ac:dyDescent="0.3">
      <c r="A27" s="1">
        <v>45729</v>
      </c>
      <c r="B27" s="2">
        <v>40813.568899999998</v>
      </c>
      <c r="D27" s="1">
        <v>45729</v>
      </c>
      <c r="E27" s="3">
        <v>3018.9855501370198</v>
      </c>
      <c r="G27" s="1">
        <v>45728</v>
      </c>
      <c r="H27" s="3">
        <v>248.358111298491</v>
      </c>
      <c r="J27" s="1">
        <v>45729</v>
      </c>
      <c r="K27" s="3">
        <v>586.484932012287</v>
      </c>
      <c r="M27" s="1">
        <v>45729</v>
      </c>
      <c r="N27" s="3">
        <v>17303.013999999999</v>
      </c>
      <c r="P27">
        <v>12</v>
      </c>
      <c r="Q27" s="10">
        <f>(B69-B72)/B72</f>
        <v>-1.7985861114403371E-2</v>
      </c>
      <c r="R27">
        <f>(E68-E72)/E72</f>
        <v>-3.3186097397733379E-2</v>
      </c>
      <c r="S27">
        <f>(H67-H71)/H71</f>
        <v>-3.5367073141802218E-3</v>
      </c>
      <c r="T27" s="10">
        <f>(K71-K75)/K75</f>
        <v>-1.6975990246654148E-2</v>
      </c>
      <c r="U27" s="10">
        <f>(N69-N72)/N72</f>
        <v>-3.5406678717689141E-2</v>
      </c>
    </row>
    <row r="28" spans="1:21" x14ac:dyDescent="0.3">
      <c r="A28" s="1">
        <v>45728</v>
      </c>
      <c r="B28" s="2">
        <v>41350.929199999999</v>
      </c>
      <c r="D28" s="1">
        <v>45728</v>
      </c>
      <c r="E28" s="3">
        <v>3037.7147932193002</v>
      </c>
      <c r="G28" s="1">
        <v>45727</v>
      </c>
      <c r="H28" s="3">
        <v>248.98903701699501</v>
      </c>
      <c r="J28" s="1">
        <v>45728</v>
      </c>
      <c r="K28" s="3">
        <v>589.20542994306595</v>
      </c>
      <c r="M28" s="1">
        <v>45728</v>
      </c>
      <c r="N28" s="3">
        <v>17648.45</v>
      </c>
      <c r="P28">
        <v>13</v>
      </c>
      <c r="Q28" s="10">
        <f>(B73-B76)/B76</f>
        <v>3.7207241725173575E-3</v>
      </c>
      <c r="R28">
        <f>(E73-E76)/E76</f>
        <v>-1.549893012312324E-2</v>
      </c>
      <c r="S28" s="9">
        <v>0</v>
      </c>
      <c r="T28" s="10">
        <f>(K76-K79)/K79</f>
        <v>-2.9614052804197355E-3</v>
      </c>
      <c r="U28" s="10">
        <f>(N73-N76)/N76</f>
        <v>6.9222296032926843E-3</v>
      </c>
    </row>
    <row r="29" spans="1:21" x14ac:dyDescent="0.3">
      <c r="A29" s="1">
        <v>45727</v>
      </c>
      <c r="B29" s="2">
        <v>41433.481899999999</v>
      </c>
      <c r="D29" s="1">
        <v>45727</v>
      </c>
      <c r="E29" s="3">
        <v>3060.6069185627598</v>
      </c>
      <c r="G29" s="5">
        <v>45726</v>
      </c>
      <c r="H29" s="3">
        <v>251.44825478744201</v>
      </c>
      <c r="J29" s="1">
        <v>45727</v>
      </c>
      <c r="K29" s="3">
        <v>586.17564852825899</v>
      </c>
      <c r="M29" s="1">
        <v>45727</v>
      </c>
      <c r="N29" s="3">
        <v>17436.095000000001</v>
      </c>
      <c r="P29">
        <v>14</v>
      </c>
      <c r="Q29" s="10">
        <f>(B77-B80)/B80</f>
        <v>1.9870253795499855E-3</v>
      </c>
      <c r="R29">
        <f>(E77-E79)/E79</f>
        <v>1.1481886850869441E-2</v>
      </c>
      <c r="S29">
        <f>(H73-H77)/H77</f>
        <v>2.4293474529650617E-2</v>
      </c>
      <c r="T29" s="10">
        <f>(K80-K82)/K82</f>
        <v>1.0625234592786477E-2</v>
      </c>
      <c r="U29" s="10">
        <f>(N77-N80)/N80</f>
        <v>-2.1681886841233514E-3</v>
      </c>
    </row>
    <row r="30" spans="1:21" x14ac:dyDescent="0.3">
      <c r="A30" s="5">
        <v>45726</v>
      </c>
      <c r="B30" s="2">
        <v>41911.709199999998</v>
      </c>
      <c r="D30" s="5">
        <v>45726</v>
      </c>
      <c r="E30" s="3">
        <v>3061.5686627876999</v>
      </c>
      <c r="G30" s="4">
        <v>45723</v>
      </c>
      <c r="H30" s="3">
        <v>249.187124231589</v>
      </c>
      <c r="J30" s="5">
        <v>45726</v>
      </c>
      <c r="K30" s="3">
        <v>591.64419025336099</v>
      </c>
      <c r="M30" s="5">
        <v>45726</v>
      </c>
      <c r="N30" s="3">
        <v>17468.321</v>
      </c>
      <c r="P30">
        <v>15</v>
      </c>
      <c r="Q30" s="10">
        <f>(B81-B85)/B85</f>
        <v>-2.0065690705528026E-2</v>
      </c>
      <c r="R30">
        <f>(E80-E84)/E84</f>
        <v>-3.9062647318852334E-3</v>
      </c>
      <c r="S30">
        <f>(H78-H82)/H82</f>
        <v>-3.3321978891078498E-2</v>
      </c>
      <c r="T30" s="10">
        <f>(K83-K87)/K87</f>
        <v>-3.3946092484220564E-2</v>
      </c>
      <c r="U30" s="10">
        <f>(N81-N85)/N85</f>
        <v>-2.9805554119430807E-2</v>
      </c>
    </row>
    <row r="31" spans="1:21" x14ac:dyDescent="0.3">
      <c r="A31" s="4">
        <v>45723</v>
      </c>
      <c r="B31" s="2">
        <v>42801.716099999998</v>
      </c>
      <c r="D31" s="4">
        <v>45723</v>
      </c>
      <c r="E31" s="3">
        <v>3118.5312930335499</v>
      </c>
      <c r="G31" s="1">
        <v>45722</v>
      </c>
      <c r="H31" s="3">
        <v>254.849138222362</v>
      </c>
      <c r="J31" s="4">
        <v>45723</v>
      </c>
      <c r="K31" s="3">
        <v>599.38907483833304</v>
      </c>
      <c r="M31" s="4">
        <v>45723</v>
      </c>
      <c r="N31" s="3">
        <v>18196.221000000001</v>
      </c>
      <c r="P31">
        <v>16</v>
      </c>
      <c r="Q31" s="10">
        <f>(B86-B90)/B90</f>
        <v>-1.292450020690084E-2</v>
      </c>
      <c r="R31">
        <f>(E85-E89)/E89</f>
        <v>-2.1806593077391797E-2</v>
      </c>
      <c r="S31">
        <f>(H83-H87)/H87</f>
        <v>-8.1579695515337208E-3</v>
      </c>
      <c r="T31" s="10">
        <f>(K88-K92)/K92</f>
        <v>-1.3844660098635341E-2</v>
      </c>
      <c r="U31" s="10">
        <f>(N86-N90)/N90</f>
        <v>9.6284635366923055E-3</v>
      </c>
    </row>
    <row r="32" spans="1:21" x14ac:dyDescent="0.3">
      <c r="A32" s="1">
        <v>45722</v>
      </c>
      <c r="B32" s="2">
        <v>42579.076099999998</v>
      </c>
      <c r="D32" s="1">
        <v>45722</v>
      </c>
      <c r="E32" s="3">
        <v>3135.61805993387</v>
      </c>
      <c r="G32" s="1">
        <v>45721</v>
      </c>
      <c r="H32" s="3">
        <v>251.33154218161999</v>
      </c>
      <c r="J32" s="1">
        <v>45722</v>
      </c>
      <c r="K32" s="3">
        <v>599.42419047002602</v>
      </c>
      <c r="M32" s="1">
        <v>45722</v>
      </c>
      <c r="N32" s="3">
        <v>18069.255000000001</v>
      </c>
      <c r="P32">
        <v>17</v>
      </c>
      <c r="Q32" s="10">
        <f>(B91-B95)/B95</f>
        <v>-3.1144815916678394E-3</v>
      </c>
      <c r="R32">
        <f>(E90-E94)/E94</f>
        <v>1.6454435805591184E-2</v>
      </c>
      <c r="S32">
        <f>(H88-H92)/H92</f>
        <v>1.2035033785993401E-2</v>
      </c>
      <c r="T32" s="10">
        <f>(K93-K97)/K97</f>
        <v>2.0210314859636005E-2</v>
      </c>
      <c r="U32" s="10">
        <f>(N91-N95)/N95</f>
        <v>2.3491404945014331E-2</v>
      </c>
    </row>
    <row r="33" spans="1:21" x14ac:dyDescent="0.3">
      <c r="A33" s="1">
        <v>45721</v>
      </c>
      <c r="B33" s="2">
        <v>43006.5916</v>
      </c>
      <c r="D33" s="1">
        <v>45721</v>
      </c>
      <c r="E33" s="3">
        <v>3036.3043226479099</v>
      </c>
      <c r="G33" s="1">
        <v>45720</v>
      </c>
      <c r="H33" s="3">
        <v>249.20680907877301</v>
      </c>
      <c r="J33" s="1">
        <v>45721</v>
      </c>
      <c r="K33" s="3">
        <v>600.02373810397296</v>
      </c>
      <c r="M33" s="1">
        <v>45721</v>
      </c>
      <c r="N33" s="3">
        <v>18552.734</v>
      </c>
      <c r="P33">
        <v>18</v>
      </c>
      <c r="Q33" s="10">
        <f>(B96-B99)/B99</f>
        <v>3.8912169792687606E-3</v>
      </c>
      <c r="R33">
        <f>(E95-E99)/E99</f>
        <v>1.4287429119464991E-2</v>
      </c>
      <c r="S33">
        <f>(H93-H97)/H97</f>
        <v>1.4590939411742247E-2</v>
      </c>
      <c r="T33" s="10">
        <f>(K98-K102)/K102</f>
        <v>1.0631290075803192E-2</v>
      </c>
      <c r="U33" s="10">
        <f>(N96-N99)/N99</f>
        <v>8.5716302450271516E-3</v>
      </c>
    </row>
    <row r="34" spans="1:21" x14ac:dyDescent="0.3">
      <c r="A34" s="1">
        <v>45720</v>
      </c>
      <c r="B34" s="2">
        <v>42520.987999999998</v>
      </c>
      <c r="D34" s="1">
        <v>45720</v>
      </c>
      <c r="E34" s="3">
        <v>2952.0768458707598</v>
      </c>
      <c r="G34" s="5">
        <v>45719</v>
      </c>
      <c r="H34" s="3">
        <v>252.74561872908399</v>
      </c>
      <c r="J34" s="1">
        <v>45720</v>
      </c>
      <c r="K34" s="3">
        <v>585.45369553900605</v>
      </c>
      <c r="M34" s="1">
        <v>45720</v>
      </c>
      <c r="N34" s="3">
        <v>18285.163</v>
      </c>
      <c r="P34">
        <v>19</v>
      </c>
      <c r="Q34" s="10">
        <f>(B100-B104)/B104</f>
        <v>2.0901569052815486E-2</v>
      </c>
      <c r="R34">
        <f>(E100-E104)/E104</f>
        <v>-1.7769941185386579E-2</v>
      </c>
      <c r="S34">
        <f>(H98-H102)/H102</f>
        <v>1.065735512993566E-3</v>
      </c>
      <c r="T34" s="10">
        <f>(K103-K107)/K107</f>
        <v>-6.1630096680752398E-3</v>
      </c>
      <c r="U34" s="10">
        <f>(N100-N104)/N104</f>
        <v>1.1273264528167286E-2</v>
      </c>
    </row>
    <row r="35" spans="1:21" x14ac:dyDescent="0.3">
      <c r="A35" s="5">
        <v>45719</v>
      </c>
      <c r="B35" s="2">
        <v>43191.243999999999</v>
      </c>
      <c r="D35" s="5">
        <v>45719</v>
      </c>
      <c r="E35" s="3">
        <v>2958.3209031992701</v>
      </c>
      <c r="G35" s="4">
        <v>45716</v>
      </c>
      <c r="H35" s="3">
        <v>246.71646746348401</v>
      </c>
      <c r="J35" s="5">
        <v>45719</v>
      </c>
      <c r="K35" s="3">
        <v>590.49965920410898</v>
      </c>
      <c r="M35" s="5">
        <v>45719</v>
      </c>
      <c r="N35" s="3">
        <v>18350.190999999999</v>
      </c>
      <c r="P35">
        <v>20</v>
      </c>
      <c r="Q35" s="10">
        <f>(B105-B109)/B109</f>
        <v>-1.91484893308678E-2</v>
      </c>
      <c r="R35">
        <f>(E105-E109)/E109</f>
        <v>-5.0144371651233435E-2</v>
      </c>
      <c r="S35">
        <f>(H103-H107)/H107</f>
        <v>-2.6512986580963835E-2</v>
      </c>
      <c r="T35" s="10">
        <f>(K108-K112)/K112</f>
        <v>-2.8476476908778876E-2</v>
      </c>
      <c r="U35" s="10">
        <f>(N105-N109)/N109</f>
        <v>-3.2056044213818254E-2</v>
      </c>
    </row>
    <row r="36" spans="1:21" x14ac:dyDescent="0.3">
      <c r="A36" s="4">
        <v>45716</v>
      </c>
      <c r="B36" s="2">
        <v>43840.907800000001</v>
      </c>
      <c r="D36" s="4">
        <v>45716</v>
      </c>
      <c r="E36" s="3">
        <v>2949.4002545543299</v>
      </c>
      <c r="G36" s="1">
        <v>45715</v>
      </c>
      <c r="H36" s="3">
        <v>255.38164218958701</v>
      </c>
      <c r="J36" s="4">
        <v>45716</v>
      </c>
      <c r="K36" s="3">
        <v>578.08187911107495</v>
      </c>
      <c r="M36" s="4">
        <v>45716</v>
      </c>
      <c r="N36" s="3">
        <v>18847.278999999999</v>
      </c>
      <c r="P36">
        <v>21</v>
      </c>
      <c r="Q36" s="10">
        <f>(B110-B114)/B114</f>
        <v>5.2504173655658327E-2</v>
      </c>
      <c r="R36">
        <f>(E110-E114)/E114</f>
        <v>7.500718421701723E-3</v>
      </c>
      <c r="S36">
        <f>(H108-H111)/H111</f>
        <v>1.9724751696445598E-2</v>
      </c>
      <c r="T36" s="10">
        <f>(K113-K117)/K117</f>
        <v>-1.9611950727161844E-2</v>
      </c>
      <c r="U36" s="10">
        <f>(N110-N114)/N114</f>
        <v>6.0879756549840632E-2</v>
      </c>
    </row>
    <row r="37" spans="1:21" x14ac:dyDescent="0.3">
      <c r="A37" s="1">
        <v>45715</v>
      </c>
      <c r="B37" s="2">
        <v>43239.497000000003</v>
      </c>
      <c r="D37" s="1">
        <v>45715</v>
      </c>
      <c r="E37" s="3">
        <v>3049.6425540669102</v>
      </c>
      <c r="G37" s="1">
        <v>45714</v>
      </c>
      <c r="H37" s="3">
        <v>255.85169036758501</v>
      </c>
      <c r="J37" s="1">
        <v>45715</v>
      </c>
      <c r="K37" s="3">
        <v>579.22480297768595</v>
      </c>
      <c r="M37" s="1">
        <v>45715</v>
      </c>
      <c r="N37" s="3">
        <v>18544.419000000002</v>
      </c>
      <c r="P37">
        <v>22</v>
      </c>
      <c r="Q37" s="10">
        <f>(B115-B119)/B119</f>
        <v>-7.912178512985318E-3</v>
      </c>
      <c r="R37">
        <f>(E115-E119)/E119</f>
        <v>-5.2153373805461653E-3</v>
      </c>
      <c r="S37">
        <f>(H112-H116)/H116</f>
        <v>-1.2361835361627382E-2</v>
      </c>
      <c r="T37" s="10">
        <f>(K118-K122)/K122</f>
        <v>-1.7294179537076876E-2</v>
      </c>
      <c r="U37" s="10">
        <f>(N115-N119)/N119</f>
        <v>-1.762636228887406E-2</v>
      </c>
    </row>
    <row r="38" spans="1:21" x14ac:dyDescent="0.3">
      <c r="A38" s="1">
        <v>45714</v>
      </c>
      <c r="B38" s="2">
        <v>43433.123699999996</v>
      </c>
      <c r="D38" s="1">
        <v>45714</v>
      </c>
      <c r="E38" s="3">
        <v>3059.9737583452302</v>
      </c>
      <c r="G38" s="5">
        <v>45713</v>
      </c>
      <c r="H38" s="3">
        <v>256.59502080256999</v>
      </c>
      <c r="J38" s="1">
        <v>45714</v>
      </c>
      <c r="K38" s="3">
        <v>586.69923369639002</v>
      </c>
      <c r="M38" s="1">
        <v>45714</v>
      </c>
      <c r="N38" s="3">
        <v>19075.262999999999</v>
      </c>
      <c r="P38">
        <v>23</v>
      </c>
      <c r="Q38" s="10">
        <f>(B120-B124)/B124</f>
        <v>-1.9034750203799151E-2</v>
      </c>
      <c r="R38">
        <f>(E120-E124)/E124</f>
        <v>5.8163445093589103E-3</v>
      </c>
      <c r="S38">
        <f>(H117-H121)/H121</f>
        <v>-3.610934922755616E-2</v>
      </c>
      <c r="T38" s="10">
        <f>(K123-K127)/K127</f>
        <v>-7.2256184501512839E-3</v>
      </c>
      <c r="U38" s="10">
        <f>(N120-N124)/N124</f>
        <v>-1.1542068084664083E-3</v>
      </c>
    </row>
    <row r="39" spans="1:21" x14ac:dyDescent="0.3">
      <c r="A39" s="1">
        <v>45713</v>
      </c>
      <c r="B39" s="2">
        <v>43621.156799999997</v>
      </c>
      <c r="D39" s="1">
        <v>45713</v>
      </c>
      <c r="E39" s="3">
        <v>2963.0703525991398</v>
      </c>
      <c r="G39" s="4">
        <v>45709</v>
      </c>
      <c r="H39" s="3">
        <v>259.74238060150702</v>
      </c>
      <c r="J39" s="1">
        <v>45713</v>
      </c>
      <c r="K39" s="3">
        <v>582.63246425567695</v>
      </c>
      <c r="M39" s="1">
        <v>45713</v>
      </c>
      <c r="N39" s="3">
        <v>19026.385999999999</v>
      </c>
      <c r="P39">
        <v>24</v>
      </c>
      <c r="Q39" s="10">
        <f>(B125-B129)/B129</f>
        <v>4.8922771935228709E-3</v>
      </c>
      <c r="R39">
        <f>(E125-E129)/E129</f>
        <v>-1.4464257304499567E-2</v>
      </c>
      <c r="S39">
        <f>(H122-H125)/H125</f>
        <v>-2.5427741850736461E-2</v>
      </c>
      <c r="T39" s="10">
        <f>(K128-K132)/K132</f>
        <v>-3.5077991640828517E-3</v>
      </c>
      <c r="U39" s="10">
        <f>(N125-N129)/N129</f>
        <v>-7.0973483037739798E-4</v>
      </c>
    </row>
    <row r="40" spans="1:21" x14ac:dyDescent="0.3">
      <c r="A40" s="5">
        <v>45712</v>
      </c>
      <c r="B40" s="2">
        <v>43461.214999999997</v>
      </c>
      <c r="D40" s="5">
        <v>45712</v>
      </c>
      <c r="E40" s="3">
        <v>3002.17494758776</v>
      </c>
      <c r="G40" s="1">
        <v>45708</v>
      </c>
      <c r="H40" s="3">
        <v>258.49121165542499</v>
      </c>
      <c r="J40" s="5">
        <v>45712</v>
      </c>
      <c r="K40" s="3">
        <v>579.18092666436405</v>
      </c>
      <c r="M40" s="5">
        <v>45712</v>
      </c>
      <c r="N40" s="3">
        <v>19286.924999999999</v>
      </c>
      <c r="P40">
        <v>25</v>
      </c>
      <c r="Q40" s="10">
        <f>(B130-B134)/B134</f>
        <v>2.1681397912311402E-2</v>
      </c>
      <c r="R40">
        <f>(E130-E133)/E133</f>
        <v>-8.0477577369042083E-2</v>
      </c>
      <c r="S40">
        <f>(H126-H130)/H130</f>
        <v>5.2780269660512673E-4</v>
      </c>
      <c r="T40" s="10">
        <f>(K133-K137)/K137</f>
        <v>1.4167170336183352E-3</v>
      </c>
      <c r="U40" s="10">
        <f>(N130-N134)/N134</f>
        <v>2.3378444785243389E-2</v>
      </c>
    </row>
    <row r="41" spans="1:21" x14ac:dyDescent="0.3">
      <c r="A41" s="4">
        <v>45709</v>
      </c>
      <c r="B41" s="2">
        <v>43428.021800000002</v>
      </c>
      <c r="D41" s="4">
        <v>45709</v>
      </c>
      <c r="E41" s="3">
        <v>3021.80577900766</v>
      </c>
      <c r="G41" s="1">
        <v>45707</v>
      </c>
      <c r="H41" s="3">
        <v>258.56347791641502</v>
      </c>
      <c r="J41" s="4">
        <v>45709</v>
      </c>
      <c r="K41" s="3">
        <v>579.21377103355803</v>
      </c>
      <c r="M41" s="4">
        <v>45709</v>
      </c>
      <c r="N41" s="3">
        <v>19524.005000000001</v>
      </c>
      <c r="P41">
        <v>26</v>
      </c>
      <c r="Q41" s="10">
        <f>(B135-B139)/B139</f>
        <v>5.3388425225270818E-4</v>
      </c>
      <c r="R41">
        <f>(E134-E137)/E137</f>
        <v>7.6759932693635249E-2</v>
      </c>
      <c r="S41">
        <f>(H131-H135)/H135</f>
        <v>-1.5990118065760874E-2</v>
      </c>
      <c r="T41" s="10">
        <f>(K138-K142)/K142</f>
        <v>-2.2355326290571503E-2</v>
      </c>
      <c r="U41" s="10">
        <f>(N135-N139)/N139</f>
        <v>-2.8215141207652639E-3</v>
      </c>
    </row>
    <row r="42" spans="1:21" x14ac:dyDescent="0.3">
      <c r="A42" s="1">
        <v>45708</v>
      </c>
      <c r="B42" s="2">
        <v>44176.650399999999</v>
      </c>
      <c r="D42" s="1">
        <v>45708</v>
      </c>
      <c r="E42" s="3">
        <v>2903.3061996064998</v>
      </c>
      <c r="G42" s="1">
        <v>45706</v>
      </c>
      <c r="H42" s="3">
        <v>258.27293653402899</v>
      </c>
      <c r="J42" s="1">
        <v>45708</v>
      </c>
      <c r="K42" s="3">
        <v>578.56107856107803</v>
      </c>
      <c r="M42" s="1">
        <v>45708</v>
      </c>
      <c r="N42" s="3">
        <v>19962.362000000001</v>
      </c>
      <c r="P42">
        <v>27</v>
      </c>
      <c r="Q42" s="10">
        <f>(B140-B144)/B144</f>
        <v>4.4712606659129709E-3</v>
      </c>
      <c r="R42" s="12">
        <f>(E138-E142)/E142</f>
        <v>0.13270917268493221</v>
      </c>
      <c r="S42">
        <f>(H136-H139)/H139</f>
        <v>5.7318227219614465E-2</v>
      </c>
      <c r="T42" s="10">
        <f>(K143-K147)/K147</f>
        <v>2.7469046282968326E-2</v>
      </c>
      <c r="U42" s="10">
        <f>(N140-N144)/N144</f>
        <v>8.0848902347633433E-3</v>
      </c>
    </row>
    <row r="43" spans="1:21" x14ac:dyDescent="0.3">
      <c r="A43" s="1">
        <v>45707</v>
      </c>
      <c r="B43" s="2">
        <v>44627.585599999999</v>
      </c>
      <c r="D43" s="1">
        <v>45707</v>
      </c>
      <c r="E43" s="3">
        <v>2950.2687411598399</v>
      </c>
      <c r="G43" s="5">
        <v>45705</v>
      </c>
      <c r="H43" s="3">
        <v>258.57590759077499</v>
      </c>
      <c r="J43" s="1">
        <v>45707</v>
      </c>
      <c r="K43" s="3">
        <v>575.34389328886698</v>
      </c>
      <c r="M43" s="1">
        <v>45707</v>
      </c>
      <c r="N43" s="3">
        <v>20056.253000000001</v>
      </c>
      <c r="P43">
        <v>28</v>
      </c>
      <c r="Q43" s="10">
        <f>(B145-B149)/B149</f>
        <v>1.0602060787551501E-2</v>
      </c>
      <c r="R43">
        <f>(E143-E146)/E146</f>
        <v>4.8400959900999317E-2</v>
      </c>
      <c r="S43">
        <f>(H140-H143)/H143</f>
        <v>3.1070868775782728E-2</v>
      </c>
      <c r="T43" s="10">
        <f>(K148-K152)/K152</f>
        <v>1.0354604772441285E-3</v>
      </c>
      <c r="U43" s="10">
        <f>(N145-N149)/N149</f>
        <v>2.0247352693622524E-2</v>
      </c>
    </row>
    <row r="44" spans="1:21" x14ac:dyDescent="0.3">
      <c r="A44" s="5">
        <v>45706</v>
      </c>
      <c r="B44" s="2">
        <v>44556.3433</v>
      </c>
      <c r="D44" s="1">
        <v>45706</v>
      </c>
      <c r="E44" s="3">
        <v>2955.4067785709599</v>
      </c>
      <c r="G44" s="4">
        <v>45702</v>
      </c>
      <c r="H44" s="3">
        <v>257.00407011094302</v>
      </c>
      <c r="J44" s="1">
        <v>45706</v>
      </c>
      <c r="K44" s="3">
        <v>581.961562565279</v>
      </c>
      <c r="M44" s="5">
        <v>45706</v>
      </c>
      <c r="N44" s="3">
        <v>20041.260999999999</v>
      </c>
      <c r="P44">
        <v>29</v>
      </c>
      <c r="Q44" s="10">
        <f>(B150-B154)/B154</f>
        <v>1.3818337042514423E-2</v>
      </c>
      <c r="R44">
        <f>(E147-E151)/E151</f>
        <v>9.7244053173171727E-3</v>
      </c>
      <c r="S44">
        <f>(H144-H148)/H148</f>
        <v>2.6963001738438162E-2</v>
      </c>
      <c r="T44" s="10">
        <f>(K153-K157)/K157</f>
        <v>1.4129332999303345E-2</v>
      </c>
      <c r="U44" s="10">
        <f>(N150-N154)/N154</f>
        <v>4.7343310352040827E-2</v>
      </c>
    </row>
    <row r="45" spans="1:21" x14ac:dyDescent="0.3">
      <c r="A45" s="4">
        <v>45702</v>
      </c>
      <c r="B45" s="2">
        <v>44546.078000000001</v>
      </c>
      <c r="D45" s="5">
        <v>45705</v>
      </c>
      <c r="E45" s="3">
        <v>2906.8957096218601</v>
      </c>
      <c r="G45" s="1">
        <v>45701</v>
      </c>
      <c r="H45" s="3">
        <v>258.27259637409003</v>
      </c>
      <c r="J45" s="5">
        <v>45705</v>
      </c>
      <c r="K45" s="3">
        <v>582.18905264040598</v>
      </c>
      <c r="M45" s="4">
        <v>45702</v>
      </c>
      <c r="N45" s="3">
        <v>20026.773000000001</v>
      </c>
      <c r="P45">
        <v>30</v>
      </c>
      <c r="Q45" s="10">
        <f>(B155-B158)/B158</f>
        <v>-1.44497043019923E-2</v>
      </c>
      <c r="R45">
        <f>(E152-E155)/E155</f>
        <v>-1.360678214300199E-2</v>
      </c>
      <c r="S45">
        <f>(H149-H153)/H153</f>
        <v>-2.9071308276297631E-2</v>
      </c>
      <c r="T45" s="10">
        <f>(K158-K162)/K162</f>
        <v>-3.3965417511645495E-2</v>
      </c>
      <c r="U45" s="10">
        <f>(N155-N158)/N158</f>
        <v>-2.5995462964054451E-2</v>
      </c>
    </row>
    <row r="46" spans="1:21" x14ac:dyDescent="0.3">
      <c r="A46" s="1">
        <v>45701</v>
      </c>
      <c r="B46" s="2">
        <v>44711.429100000001</v>
      </c>
      <c r="D46" s="4">
        <v>45702</v>
      </c>
      <c r="E46" s="3">
        <v>2905.9286760360601</v>
      </c>
      <c r="G46" s="1">
        <v>45700</v>
      </c>
      <c r="H46" s="3">
        <v>252.33922673402799</v>
      </c>
      <c r="J46" s="4">
        <v>45702</v>
      </c>
      <c r="K46" s="3">
        <v>579.53210239194004</v>
      </c>
      <c r="M46" s="1">
        <v>45701</v>
      </c>
      <c r="N46" s="3">
        <v>19945.644</v>
      </c>
      <c r="P46">
        <v>31</v>
      </c>
      <c r="Q46" s="10">
        <f>(B159-B163)/B163</f>
        <v>7.8216092724562522E-3</v>
      </c>
      <c r="R46">
        <f>(E156-E160)/E160</f>
        <v>1.0512551991798468E-2</v>
      </c>
      <c r="S46">
        <f>(H154-H158)/H158</f>
        <v>2.72577335195541E-3</v>
      </c>
      <c r="T46" s="10">
        <f>(K163-K167)/K167</f>
        <v>3.1668204860947013E-3</v>
      </c>
      <c r="U46" s="10">
        <f>(N159-N163)/N163</f>
        <v>-6.849351776918865E-4</v>
      </c>
    </row>
    <row r="47" spans="1:21" x14ac:dyDescent="0.3">
      <c r="A47" s="1">
        <v>45700</v>
      </c>
      <c r="B47" s="2">
        <v>44368.556100000002</v>
      </c>
      <c r="D47" s="1">
        <v>45701</v>
      </c>
      <c r="E47" s="3">
        <v>2800.9514393569798</v>
      </c>
      <c r="G47" s="5">
        <v>45698</v>
      </c>
      <c r="H47" s="3">
        <v>255.287650503321</v>
      </c>
      <c r="J47" s="1">
        <v>45701</v>
      </c>
      <c r="K47" s="3">
        <v>579.44247954293701</v>
      </c>
      <c r="M47" s="1">
        <v>45700</v>
      </c>
      <c r="N47" s="3">
        <v>19649.951000000001</v>
      </c>
      <c r="P47">
        <v>32</v>
      </c>
      <c r="Q47" s="10">
        <f>(B164-B168)/B168</f>
        <v>6.8111130480315524E-3</v>
      </c>
      <c r="R47">
        <f>(E161-E165)/E165</f>
        <v>1.5076642745199655E-3</v>
      </c>
      <c r="S47">
        <f>(H159-H163)/H163</f>
        <v>4.1731110870954304E-2</v>
      </c>
      <c r="T47" s="10">
        <f>(K168-K172)/K172</f>
        <v>1.6411074491610597E-2</v>
      </c>
      <c r="U47" s="10">
        <f>(N164-N168)/N168</f>
        <v>5.7225099544042248E-5</v>
      </c>
    </row>
    <row r="48" spans="1:21" x14ac:dyDescent="0.3">
      <c r="A48" s="1">
        <v>45699</v>
      </c>
      <c r="B48" s="2">
        <v>44593.654900000001</v>
      </c>
      <c r="D48" s="1">
        <v>45700</v>
      </c>
      <c r="E48" s="3">
        <v>2806.0027985673501</v>
      </c>
      <c r="G48" s="4">
        <v>45695</v>
      </c>
      <c r="H48" s="3">
        <v>256.18903566709002</v>
      </c>
      <c r="J48" s="1">
        <v>45700</v>
      </c>
      <c r="K48" s="3">
        <v>568.70256745673396</v>
      </c>
      <c r="M48" s="1">
        <v>45699</v>
      </c>
      <c r="N48" s="3">
        <v>19643.856</v>
      </c>
      <c r="P48">
        <v>33</v>
      </c>
      <c r="Q48" s="10">
        <f>(B169-B173)/B173</f>
        <v>3.3100866414602616E-2</v>
      </c>
      <c r="R48">
        <f>(E166-E170)/E170</f>
        <v>1.8156230092839249E-2</v>
      </c>
      <c r="S48">
        <f>(H164-H167)/H167</f>
        <v>4.5101672289550136E-2</v>
      </c>
      <c r="T48" s="10">
        <f>(K173-K177)/K177</f>
        <v>3.3883208156886717E-2</v>
      </c>
      <c r="U48" s="10">
        <f>(N169-N173)/N173</f>
        <v>5.071991129761743E-2</v>
      </c>
    </row>
    <row r="49" spans="1:21" x14ac:dyDescent="0.3">
      <c r="A49" s="5">
        <v>45698</v>
      </c>
      <c r="B49" s="2">
        <v>44470.409899999999</v>
      </c>
      <c r="D49" s="1">
        <v>45699</v>
      </c>
      <c r="E49" s="3">
        <v>2733.01846837019</v>
      </c>
      <c r="G49" s="1">
        <v>45694</v>
      </c>
      <c r="H49" s="3">
        <v>257.96704965661598</v>
      </c>
      <c r="J49" s="1">
        <v>45699</v>
      </c>
      <c r="K49" s="3">
        <v>566.87904687904904</v>
      </c>
      <c r="M49" s="5">
        <v>45698</v>
      </c>
      <c r="N49" s="3">
        <v>19714.27</v>
      </c>
      <c r="P49">
        <v>34</v>
      </c>
      <c r="Q49" s="10">
        <f>(B174-B178)/B178</f>
        <v>2.0521890507369519E-2</v>
      </c>
      <c r="R49">
        <f>(E171-E175)/E175</f>
        <v>2.2286271314566813E-2</v>
      </c>
      <c r="S49">
        <f>(H168-H172)/H172</f>
        <v>9.4844755296781297E-2</v>
      </c>
      <c r="T49" s="10">
        <f>(K178-K182)/K182</f>
        <v>2.1557970916433775E-2</v>
      </c>
      <c r="U49" s="10">
        <f>(N174-N178)/N178</f>
        <v>3.3655385201136596E-2</v>
      </c>
    </row>
    <row r="50" spans="1:21" x14ac:dyDescent="0.3">
      <c r="A50" s="4">
        <v>45695</v>
      </c>
      <c r="B50" s="2">
        <v>44303.399100000002</v>
      </c>
      <c r="D50" s="5">
        <v>45698</v>
      </c>
      <c r="E50" s="3">
        <v>2763.2668258737099</v>
      </c>
      <c r="G50" s="1">
        <v>45693</v>
      </c>
      <c r="H50" s="3">
        <v>254.46579292266</v>
      </c>
      <c r="J50" s="5">
        <v>45698</v>
      </c>
      <c r="K50" s="3">
        <v>562.62431594026896</v>
      </c>
      <c r="M50" s="4">
        <v>45695</v>
      </c>
      <c r="N50" s="3">
        <v>19523.401999999998</v>
      </c>
      <c r="P50">
        <v>35</v>
      </c>
      <c r="Q50" s="10">
        <f>(B179-B183)/B183</f>
        <v>-1.9799573525697264E-2</v>
      </c>
      <c r="R50">
        <f>(E176-E180)/E180</f>
        <v>-1.6533796591959034E-2</v>
      </c>
      <c r="S50">
        <f>(H173-H177)/H177</f>
        <v>-1.8934981015984453E-2</v>
      </c>
      <c r="T50" s="10">
        <f>(K183-K187)/K187</f>
        <v>-1.9237137032533744E-2</v>
      </c>
      <c r="U50" s="11">
        <f>(N179-N183)/N183</f>
        <v>-3.4198625565703022E-2</v>
      </c>
    </row>
    <row r="51" spans="1:21" x14ac:dyDescent="0.3">
      <c r="A51" s="1">
        <v>45694</v>
      </c>
      <c r="B51" s="2">
        <v>44747.6342</v>
      </c>
      <c r="D51" s="4">
        <v>45695</v>
      </c>
      <c r="E51" s="3">
        <v>2712.6973532205402</v>
      </c>
      <c r="G51" s="1">
        <v>45692</v>
      </c>
      <c r="H51" s="3">
        <v>251.39875591264899</v>
      </c>
      <c r="J51" s="4">
        <v>45695</v>
      </c>
      <c r="K51" s="3">
        <v>560.49528058326803</v>
      </c>
      <c r="M51" s="1">
        <v>45694</v>
      </c>
      <c r="N51" s="3">
        <v>19791.991000000002</v>
      </c>
      <c r="P51">
        <v>36</v>
      </c>
      <c r="Q51" s="10">
        <f>(B184-B188)/B188</f>
        <v>4.3027442093981558E-3</v>
      </c>
      <c r="R51">
        <f>(E181-E185)/E185</f>
        <v>-3.478589176443378E-2</v>
      </c>
      <c r="S51">
        <f>(H178-H182)/H182</f>
        <v>-2.8482076861574477E-2</v>
      </c>
      <c r="T51" s="10">
        <f>(K188-K192)/K192</f>
        <v>-6.7276219192081935E-3</v>
      </c>
      <c r="U51" s="10">
        <f>(N184-N188)/N188</f>
        <v>-3.6078497662760341E-2</v>
      </c>
    </row>
    <row r="52" spans="1:21" x14ac:dyDescent="0.3">
      <c r="A52" s="1">
        <v>45693</v>
      </c>
      <c r="B52" s="2">
        <v>44873.2765</v>
      </c>
      <c r="D52" s="1">
        <v>45694</v>
      </c>
      <c r="E52" s="3">
        <v>2683.1254896420601</v>
      </c>
      <c r="G52" s="5">
        <v>45691</v>
      </c>
      <c r="H52" s="3">
        <v>248.91819063003001</v>
      </c>
      <c r="J52" s="1">
        <v>45694</v>
      </c>
      <c r="K52" s="3">
        <v>565.59742551645604</v>
      </c>
      <c r="M52" s="1">
        <v>45693</v>
      </c>
      <c r="N52" s="3">
        <v>19692.330000000002</v>
      </c>
      <c r="P52">
        <v>37</v>
      </c>
      <c r="Q52" s="10">
        <f>(B189-B193)/B193</f>
        <v>1.8853509927370038E-3</v>
      </c>
      <c r="R52">
        <f>(E186-E190)/E190</f>
        <v>-3.3665273536850067E-2</v>
      </c>
      <c r="S52">
        <f>(H183-H186)/H186</f>
        <v>-2.4107984567969656E-2</v>
      </c>
      <c r="T52" s="10">
        <f>(K193-K197)/K197</f>
        <v>-1.8301056936669627E-2</v>
      </c>
      <c r="U52" s="10">
        <f>(N189-N193)/N193</f>
        <v>-4.0363964594848395E-2</v>
      </c>
    </row>
    <row r="53" spans="1:21" x14ac:dyDescent="0.3">
      <c r="A53" s="1">
        <v>45692</v>
      </c>
      <c r="B53" s="2">
        <v>44556.035900000003</v>
      </c>
      <c r="D53" s="1">
        <v>45693</v>
      </c>
      <c r="E53" s="3">
        <v>2645.2648207130401</v>
      </c>
      <c r="G53" s="4">
        <v>45688</v>
      </c>
      <c r="H53" s="3">
        <v>255.01024616573099</v>
      </c>
      <c r="J53" s="1">
        <v>45693</v>
      </c>
      <c r="K53" s="3">
        <v>560.21220159151096</v>
      </c>
      <c r="M53" s="1">
        <v>45692</v>
      </c>
      <c r="N53" s="3">
        <v>19654.014999999999</v>
      </c>
      <c r="P53">
        <v>38</v>
      </c>
      <c r="Q53" s="10">
        <f>(B194-B198)/B198</f>
        <v>1.6675795066522236E-2</v>
      </c>
      <c r="R53">
        <f>(E191-E195)/E195</f>
        <v>4.4208314631167638E-2</v>
      </c>
      <c r="S53">
        <f>(H187-H191)/H191</f>
        <v>2.8733097488393901E-2</v>
      </c>
      <c r="T53" s="10">
        <f>(K198-K202)/K202</f>
        <v>2.2682236971490931E-2</v>
      </c>
      <c r="U53" s="10">
        <f>(N194-N198)/N198</f>
        <v>-2.8760461597537867E-4</v>
      </c>
    </row>
    <row r="54" spans="1:21" x14ac:dyDescent="0.3">
      <c r="A54" s="5">
        <v>45691</v>
      </c>
      <c r="B54" s="2">
        <v>44421.911</v>
      </c>
      <c r="D54" s="1">
        <v>45692</v>
      </c>
      <c r="E54" s="3">
        <v>2669.8634886796999</v>
      </c>
      <c r="G54" s="1">
        <v>45687</v>
      </c>
      <c r="H54" s="3">
        <v>256.08535320802099</v>
      </c>
      <c r="J54" s="1">
        <v>45692</v>
      </c>
      <c r="K54" s="3">
        <v>556.24850830678304</v>
      </c>
      <c r="M54" s="5">
        <v>45691</v>
      </c>
      <c r="N54" s="3">
        <v>19391.955000000002</v>
      </c>
      <c r="P54">
        <v>39</v>
      </c>
      <c r="Q54" s="10">
        <f>(B199-B202)/B202</f>
        <v>5.2681554975974416E-3</v>
      </c>
      <c r="R54">
        <f>(E196-E199)/E199</f>
        <v>1.7788771272676527E-3</v>
      </c>
      <c r="S54">
        <f>(H192-H196)/H196</f>
        <v>3.7019864445061862E-2</v>
      </c>
      <c r="T54" s="10">
        <f>(K203-K207)/K207</f>
        <v>1.6126250806395119E-2</v>
      </c>
      <c r="U54" s="10">
        <f>(N199-N202)/N202</f>
        <v>2.6480846565581369E-2</v>
      </c>
    </row>
    <row r="55" spans="1:21" x14ac:dyDescent="0.3">
      <c r="A55" s="4">
        <v>45688</v>
      </c>
      <c r="B55" s="2">
        <v>44544.664199999999</v>
      </c>
      <c r="D55" s="5">
        <v>45691</v>
      </c>
      <c r="E55" s="3">
        <v>2594.3844880465099</v>
      </c>
      <c r="G55" s="1">
        <v>45686</v>
      </c>
      <c r="H55" s="3">
        <v>253.96121134020001</v>
      </c>
      <c r="J55" s="5">
        <v>45691</v>
      </c>
      <c r="K55" s="3">
        <v>553.25113267269205</v>
      </c>
      <c r="M55" s="4">
        <v>45688</v>
      </c>
      <c r="N55" s="3">
        <v>19627.440999999999</v>
      </c>
      <c r="P55">
        <v>40</v>
      </c>
      <c r="Q55" s="10">
        <f>(B203-B207)/B207</f>
        <v>-7.4178663978287573E-3</v>
      </c>
      <c r="R55">
        <f>(E200-E204)/E204</f>
        <v>-1.720876609371334E-2</v>
      </c>
      <c r="S55">
        <f>(H197-H201)/H201</f>
        <v>1.2195555968601448E-2</v>
      </c>
      <c r="T55" s="10">
        <f>(K208-K212)/K212</f>
        <v>-1.6110939762535161E-2</v>
      </c>
      <c r="U55" s="10">
        <f>(N203-N207)/N207</f>
        <v>1.3475936794675287E-2</v>
      </c>
    </row>
    <row r="56" spans="1:21" x14ac:dyDescent="0.3">
      <c r="A56" s="1">
        <v>45687</v>
      </c>
      <c r="B56" s="2">
        <v>44882.127999999997</v>
      </c>
      <c r="D56" s="4">
        <v>45685</v>
      </c>
      <c r="E56" s="3">
        <v>2596.2913992297799</v>
      </c>
      <c r="G56" s="1">
        <v>45685</v>
      </c>
      <c r="H56" s="3">
        <v>250.880079732496</v>
      </c>
      <c r="J56" s="4">
        <v>45688</v>
      </c>
      <c r="K56" s="3">
        <v>559.06368515946997</v>
      </c>
      <c r="M56" s="1">
        <v>45687</v>
      </c>
      <c r="N56" s="3">
        <v>19681.749</v>
      </c>
      <c r="P56">
        <v>41</v>
      </c>
      <c r="Q56" s="10">
        <f>(B208-B211)/B211</f>
        <v>9.5990625553922116E-3</v>
      </c>
      <c r="R56">
        <f>(E205-E209)/E209</f>
        <v>5.7182103995119908E-3</v>
      </c>
      <c r="S56">
        <f>(H202-H206)/H206</f>
        <v>-2.2002600774257458E-4</v>
      </c>
      <c r="T56" s="10">
        <f>(K213-K217)/K217</f>
        <v>3.0398796069170475E-3</v>
      </c>
      <c r="U56" s="10">
        <f>(N208-N211)/N211</f>
        <v>-9.3889685961039207E-3</v>
      </c>
    </row>
    <row r="57" spans="1:21" x14ac:dyDescent="0.3">
      <c r="A57" s="1">
        <v>45686</v>
      </c>
      <c r="B57" s="2">
        <v>44713.519</v>
      </c>
      <c r="D57" s="5">
        <v>45684</v>
      </c>
      <c r="E57" s="3">
        <v>2593.4143115779302</v>
      </c>
      <c r="G57" s="5">
        <v>45684</v>
      </c>
      <c r="H57" s="3">
        <v>256.10589682178698</v>
      </c>
      <c r="J57" s="1">
        <v>45687</v>
      </c>
      <c r="K57" s="3">
        <v>559.85703301955596</v>
      </c>
      <c r="M57" s="1">
        <v>45686</v>
      </c>
      <c r="N57" s="3">
        <v>19632.323</v>
      </c>
      <c r="P57">
        <v>42</v>
      </c>
      <c r="Q57" s="10">
        <f>(B212-B216)/B216</f>
        <v>-7.1750317619590108E-3</v>
      </c>
      <c r="R57">
        <f>(E210-E213)/E213</f>
        <v>-1.2715119779647639E-2</v>
      </c>
      <c r="S57">
        <f>(H207-H211)/H211</f>
        <v>-7.9390481221807262E-3</v>
      </c>
      <c r="T57" s="10">
        <f>(K218-K222)/K222</f>
        <v>-2.7005367608254002E-2</v>
      </c>
      <c r="U57" s="10">
        <f>(N212-N216)/N216</f>
        <v>2.8870272663201722E-2</v>
      </c>
    </row>
    <row r="58" spans="1:21" x14ac:dyDescent="0.3">
      <c r="A58" s="1">
        <v>45685</v>
      </c>
      <c r="B58" s="2">
        <v>44850.348599999998</v>
      </c>
      <c r="D58" s="4">
        <v>45681</v>
      </c>
      <c r="E58" s="3">
        <v>2576.9163595268901</v>
      </c>
      <c r="G58" s="4">
        <v>45681</v>
      </c>
      <c r="H58" s="3">
        <v>256.007052186164</v>
      </c>
      <c r="J58" s="1">
        <v>45686</v>
      </c>
      <c r="K58" s="3">
        <v>556.70060123581402</v>
      </c>
      <c r="M58" s="1">
        <v>45685</v>
      </c>
      <c r="N58" s="3">
        <v>19733.585999999999</v>
      </c>
      <c r="P58">
        <v>43</v>
      </c>
      <c r="Q58" s="10">
        <f>(B217-B221)/B221</f>
        <v>5.9102654659777317E-3</v>
      </c>
      <c r="R58">
        <f>(E214-E218)/E218</f>
        <v>-9.7733374233961246E-4</v>
      </c>
      <c r="S58">
        <f>(H212-H216)/H216</f>
        <v>-9.9483443720814364E-3</v>
      </c>
      <c r="T58" s="10">
        <f>(K223-K227)/K227</f>
        <v>-2.3127656245390204E-3</v>
      </c>
      <c r="U58" s="10">
        <f>(N217-N221)/N221</f>
        <v>1.8091506934297362E-2</v>
      </c>
    </row>
    <row r="59" spans="1:21" x14ac:dyDescent="0.3">
      <c r="A59" s="5">
        <v>45684</v>
      </c>
      <c r="B59" s="2">
        <v>44713.580499999996</v>
      </c>
      <c r="D59" s="1">
        <v>45680</v>
      </c>
      <c r="E59" s="3">
        <v>2529.2148102500901</v>
      </c>
      <c r="G59" s="1">
        <v>45680</v>
      </c>
      <c r="H59" s="3">
        <v>256.06453059916799</v>
      </c>
      <c r="J59" s="1">
        <v>45685</v>
      </c>
      <c r="K59" s="3">
        <v>554.35054642529599</v>
      </c>
      <c r="M59" s="5">
        <v>45684</v>
      </c>
      <c r="N59" s="3">
        <v>19341.833999999999</v>
      </c>
      <c r="P59">
        <v>44</v>
      </c>
      <c r="Q59" s="10">
        <f>(B222-B225)/B225</f>
        <v>-4.2864101859246525E-3</v>
      </c>
      <c r="R59">
        <f>(E219-E223)/E223</f>
        <v>-4.1189453637441399E-2</v>
      </c>
      <c r="S59">
        <f>(H217-H221)/H221</f>
        <v>-1.3424626658221476E-2</v>
      </c>
      <c r="T59" s="10">
        <f>(K228-K232)/K232</f>
        <v>-9.2853849639579055E-3</v>
      </c>
      <c r="U59" s="10">
        <f>(N222-N225)/N225</f>
        <v>-1.6737192036606698E-2</v>
      </c>
    </row>
    <row r="60" spans="1:21" x14ac:dyDescent="0.3">
      <c r="A60" s="4">
        <v>45681</v>
      </c>
      <c r="B60" s="2">
        <v>44424.246800000001</v>
      </c>
      <c r="D60" s="1">
        <v>45679</v>
      </c>
      <c r="E60" s="3">
        <v>2539.5164603769699</v>
      </c>
      <c r="G60" s="1">
        <v>45679</v>
      </c>
      <c r="H60" s="3">
        <v>253.282118443743</v>
      </c>
      <c r="J60" s="5">
        <v>45684</v>
      </c>
      <c r="K60" s="3">
        <v>555.69660092320305</v>
      </c>
      <c r="M60" s="4">
        <v>45681</v>
      </c>
      <c r="N60" s="3">
        <v>19954.300999999999</v>
      </c>
      <c r="P60">
        <v>45</v>
      </c>
      <c r="Q60" s="10">
        <f>(B226-B230)/B230</f>
        <v>-1.8518826301662825E-2</v>
      </c>
      <c r="R60">
        <f>(E224-E228)/E228</f>
        <v>-5.401386184259116E-2</v>
      </c>
      <c r="S60">
        <f>(H222-H226)/H226</f>
        <v>-1.5566980196304141E-2</v>
      </c>
      <c r="T60" s="10">
        <f>(K233-K237)/K237</f>
        <v>-7.253195279402499E-3</v>
      </c>
      <c r="U60" s="10">
        <f>(N226-N230)/N230</f>
        <v>7.4975257331494054E-3</v>
      </c>
    </row>
    <row r="61" spans="1:21" x14ac:dyDescent="0.3">
      <c r="A61" s="1">
        <v>45680</v>
      </c>
      <c r="B61" s="2">
        <v>44565.071900000003</v>
      </c>
      <c r="D61" s="1">
        <v>45678</v>
      </c>
      <c r="E61" s="3">
        <v>2582.6964329295802</v>
      </c>
      <c r="G61" s="1">
        <v>45678</v>
      </c>
      <c r="H61" s="3">
        <v>250.98379421223501</v>
      </c>
      <c r="J61" s="4">
        <v>45681</v>
      </c>
      <c r="K61" s="3">
        <v>556.20028960567697</v>
      </c>
      <c r="M61" s="1">
        <v>45680</v>
      </c>
      <c r="N61" s="3">
        <v>20053.678</v>
      </c>
      <c r="P61">
        <v>46</v>
      </c>
      <c r="Q61" s="10">
        <f>(B231-B235)/B235</f>
        <v>1.4508206246438638E-2</v>
      </c>
      <c r="R61">
        <f>(E229-E232)/E232</f>
        <v>2.4201310588594697E-2</v>
      </c>
      <c r="S61">
        <f>(H227-H231)/H231</f>
        <v>1.9512530555917323E-2</v>
      </c>
      <c r="T61" s="10">
        <f>(K238-K242)/K242</f>
        <v>1.163280786995248E-2</v>
      </c>
      <c r="U61" s="10">
        <f>(N231-N235)/N235</f>
        <v>1.8167175751291818E-2</v>
      </c>
    </row>
    <row r="62" spans="1:21" x14ac:dyDescent="0.3">
      <c r="A62" s="1">
        <v>45679</v>
      </c>
      <c r="B62" s="2">
        <v>44156.734600000003</v>
      </c>
      <c r="D62" s="5">
        <v>45677</v>
      </c>
      <c r="E62" s="3">
        <v>2561.0922598390798</v>
      </c>
      <c r="G62" s="5">
        <v>45677</v>
      </c>
      <c r="H62" s="3">
        <v>250.032135741384</v>
      </c>
      <c r="J62" s="1">
        <v>45680</v>
      </c>
      <c r="K62" s="3">
        <v>552.35119512576102</v>
      </c>
      <c r="M62" s="1">
        <v>45679</v>
      </c>
      <c r="N62" s="3">
        <v>20009.34</v>
      </c>
      <c r="P62">
        <v>47</v>
      </c>
      <c r="Q62" s="10">
        <f>(B236-B240)/B240</f>
        <v>1.7002172588628774E-2</v>
      </c>
      <c r="R62">
        <f>(E233-E237)/E237</f>
        <v>2.1396773000979582E-2</v>
      </c>
      <c r="S62">
        <f>(H232-H235)/H235</f>
        <v>-2.2115406110261672E-2</v>
      </c>
      <c r="T62" s="10">
        <f>(K243-K247)/K247</f>
        <v>2.4773666231332769E-2</v>
      </c>
      <c r="U62" s="10">
        <f>(N236-N240)/N240</f>
        <v>-5.1231723544421792E-4</v>
      </c>
    </row>
    <row r="63" spans="1:21" x14ac:dyDescent="0.3">
      <c r="A63" s="5">
        <v>45678</v>
      </c>
      <c r="B63" s="2">
        <v>44025.805999999997</v>
      </c>
      <c r="D63" s="4">
        <v>45674</v>
      </c>
      <c r="E63" s="3">
        <v>2515.3238546603402</v>
      </c>
      <c r="G63" s="4">
        <v>45674</v>
      </c>
      <c r="H63" s="3">
        <v>246.01062060139401</v>
      </c>
      <c r="J63" s="1">
        <v>45679</v>
      </c>
      <c r="K63" s="3">
        <v>549.53220451872903</v>
      </c>
      <c r="M63" s="5">
        <v>45678</v>
      </c>
      <c r="N63" s="3">
        <v>19756.778999999999</v>
      </c>
      <c r="P63">
        <v>48</v>
      </c>
      <c r="Q63" s="10">
        <f>(B241-B245)/B245</f>
        <v>7.5440840729725095E-3</v>
      </c>
      <c r="R63">
        <f>(E238-E241)/E241</f>
        <v>4.2957555935600925E-2</v>
      </c>
      <c r="S63">
        <f>(H236-H238)/H238</f>
        <v>2.260752327079725E-2</v>
      </c>
      <c r="T63" s="10">
        <f>(K248-K252)/K252</f>
        <v>-1.9116894132187011E-3</v>
      </c>
      <c r="U63" s="10">
        <f>(N241-N245)/N245</f>
        <v>1.0839209754512882E-2</v>
      </c>
    </row>
    <row r="64" spans="1:21" x14ac:dyDescent="0.3">
      <c r="A64" s="4">
        <v>45674</v>
      </c>
      <c r="B64" s="2">
        <v>43487.830999999998</v>
      </c>
      <c r="D64" s="1">
        <v>45673</v>
      </c>
      <c r="E64" s="3">
        <v>2507.1131372800901</v>
      </c>
      <c r="G64" s="1">
        <v>45673</v>
      </c>
      <c r="H64" s="3">
        <v>248.662970603416</v>
      </c>
      <c r="J64" s="1">
        <v>45678</v>
      </c>
      <c r="K64" s="3">
        <v>548.54723317272499</v>
      </c>
      <c r="M64" s="4">
        <v>45674</v>
      </c>
      <c r="N64" s="3">
        <v>19630.199000000001</v>
      </c>
      <c r="P64">
        <v>49</v>
      </c>
      <c r="Q64" s="10">
        <f>(B246-B250)/B250</f>
        <v>-8.5904848783017815E-6</v>
      </c>
      <c r="R64">
        <f>(E242-E246)/E246</f>
        <v>6.9992500298477353E-2</v>
      </c>
      <c r="S64">
        <f>(H239-H243)/H243</f>
        <v>-9.0823237516945727E-3</v>
      </c>
      <c r="T64" s="10">
        <f>(K253-K257)/K257</f>
        <v>1.4888470845907605E-2</v>
      </c>
      <c r="U64" s="10">
        <f>(N246-N250)/N250</f>
        <v>3.08449674639132E-2</v>
      </c>
    </row>
    <row r="65" spans="1:21" x14ac:dyDescent="0.3">
      <c r="A65" s="1">
        <v>45673</v>
      </c>
      <c r="B65" s="2">
        <v>43153.133300000001</v>
      </c>
      <c r="D65" s="1">
        <v>45672</v>
      </c>
      <c r="E65" s="3">
        <v>2476.7963322074802</v>
      </c>
      <c r="G65" s="1">
        <v>45672</v>
      </c>
      <c r="H65" s="3">
        <v>245.699367290841</v>
      </c>
      <c r="J65" s="5">
        <v>45677</v>
      </c>
      <c r="K65" s="3">
        <v>545.55584483207701</v>
      </c>
      <c r="M65" s="1">
        <v>45673</v>
      </c>
      <c r="N65" s="3">
        <v>19338.29</v>
      </c>
      <c r="P65">
        <v>50</v>
      </c>
      <c r="Q65" s="10">
        <f>(B251-B255)/B255</f>
        <v>6.6592385888345875E-3</v>
      </c>
      <c r="R65">
        <f>(E247-E251)/E251</f>
        <v>-2.3105999794861429E-2</v>
      </c>
      <c r="S65">
        <f>(H244-H248)/H248</f>
        <v>-5.7369095228635356E-2</v>
      </c>
      <c r="T65" s="10">
        <f>(K258-K262)/K262</f>
        <v>-1.0148819644397681E-2</v>
      </c>
      <c r="U65" s="10">
        <f>(N251-N255)/N255</f>
        <v>-3.7960861110710661E-2</v>
      </c>
    </row>
    <row r="66" spans="1:21" x14ac:dyDescent="0.3">
      <c r="A66" s="1">
        <v>45672</v>
      </c>
      <c r="B66" s="2">
        <v>43221.5481</v>
      </c>
      <c r="D66" s="1">
        <v>45671</v>
      </c>
      <c r="E66" s="3">
        <v>2468.3147972157299</v>
      </c>
      <c r="G66" s="5">
        <v>45671</v>
      </c>
      <c r="H66" s="3">
        <v>243.56989111166101</v>
      </c>
      <c r="J66" s="4">
        <v>45674</v>
      </c>
      <c r="K66" s="3">
        <v>537.80735810686099</v>
      </c>
      <c r="M66" s="1">
        <v>45672</v>
      </c>
      <c r="N66" s="3">
        <v>19511.234</v>
      </c>
      <c r="P66">
        <v>51</v>
      </c>
      <c r="Q66" s="10">
        <f>(B256-B260)/B260</f>
        <v>-2.3386351640922023E-2</v>
      </c>
      <c r="R66">
        <f>(E252-E256)/E256</f>
        <v>-1.3937577539560985E-3</v>
      </c>
      <c r="S66">
        <f>(H249-H253)/H253</f>
        <v>-5.278400501631763E-3</v>
      </c>
      <c r="T66" s="10">
        <f>(K263-K267)/K267</f>
        <v>-2.697699680093579E-2</v>
      </c>
      <c r="U66" s="10">
        <f>(N256-N260)/N260</f>
        <v>-4.8518037609923733E-3</v>
      </c>
    </row>
    <row r="67" spans="1:21" x14ac:dyDescent="0.3">
      <c r="A67" s="1">
        <v>45671</v>
      </c>
      <c r="B67" s="2">
        <v>42518.2834</v>
      </c>
      <c r="D67" s="5">
        <v>45670</v>
      </c>
      <c r="E67" s="3">
        <v>2424.1747797271901</v>
      </c>
      <c r="G67" s="4">
        <v>45667</v>
      </c>
      <c r="H67" s="3">
        <v>248.52812480183101</v>
      </c>
      <c r="J67" s="1">
        <v>45673</v>
      </c>
      <c r="K67" s="3">
        <v>535.54878174366104</v>
      </c>
      <c r="M67" s="1">
        <v>45671</v>
      </c>
      <c r="N67" s="3">
        <v>19044.393</v>
      </c>
      <c r="P67">
        <v>52</v>
      </c>
      <c r="Q67" s="10">
        <f>(B261-B265)/B265</f>
        <v>-1.6751568095076677E-2</v>
      </c>
      <c r="R67">
        <f>(E257-E259)/E259</f>
        <v>-1.2160215209337591E-2</v>
      </c>
      <c r="S67">
        <f>(H254-H258)/H258</f>
        <v>-2.0246324227948805E-2</v>
      </c>
      <c r="T67" s="10">
        <f>(K268-K271)/K271</f>
        <v>2.2334913324890378E-3</v>
      </c>
      <c r="U67" s="10">
        <f>(N261-N265)/N265</f>
        <v>-9.0451618946878337E-3</v>
      </c>
    </row>
    <row r="68" spans="1:21" x14ac:dyDescent="0.3">
      <c r="A68" s="5">
        <v>45670</v>
      </c>
      <c r="B68" s="2">
        <v>42297.118600000002</v>
      </c>
      <c r="D68" s="4">
        <v>45667</v>
      </c>
      <c r="E68" s="3">
        <v>2448.12579456294</v>
      </c>
      <c r="G68" s="1">
        <v>45666</v>
      </c>
      <c r="H68" s="3">
        <v>250.443214872878</v>
      </c>
      <c r="J68" s="1">
        <v>45672</v>
      </c>
      <c r="K68" s="3">
        <v>529.90503235896495</v>
      </c>
      <c r="M68" s="5">
        <v>45670</v>
      </c>
      <c r="N68" s="3">
        <v>19088.101999999999</v>
      </c>
      <c r="P68">
        <v>53</v>
      </c>
      <c r="Q68" s="10">
        <f>(B266-B269)/B269</f>
        <v>1.2558839405580592E-2</v>
      </c>
      <c r="R68">
        <f>(E260-E263)/E263</f>
        <v>3.4857979003341342E-3</v>
      </c>
      <c r="S68">
        <f>(H259-H263)/H263</f>
        <v>-4.4539000081759116E-4</v>
      </c>
      <c r="T68" s="10">
        <f>(K272-K275)/K275</f>
        <v>9.6664517008919373E-4</v>
      </c>
      <c r="U68" s="10">
        <f>(N266-N269)/N269</f>
        <v>-3.0571638369438652E-4</v>
      </c>
    </row>
    <row r="69" spans="1:21" x14ac:dyDescent="0.3">
      <c r="A69" s="4">
        <v>45667</v>
      </c>
      <c r="B69" s="2">
        <v>41938.448100000001</v>
      </c>
      <c r="D69" s="1">
        <v>45666</v>
      </c>
      <c r="E69" s="3">
        <v>2472.32765820752</v>
      </c>
      <c r="G69" s="1">
        <v>45665</v>
      </c>
      <c r="H69" s="3">
        <v>252.48538048625301</v>
      </c>
      <c r="J69" s="1">
        <v>45671</v>
      </c>
      <c r="K69" s="3">
        <v>523.88658125560596</v>
      </c>
      <c r="M69" s="4">
        <v>45667</v>
      </c>
      <c r="N69" s="3">
        <v>19161.628000000001</v>
      </c>
      <c r="P69">
        <v>54</v>
      </c>
      <c r="Q69" s="10">
        <f>(B270-B274)/B274</f>
        <v>1.7671258865682663E-2</v>
      </c>
      <c r="R69">
        <f>(E264-E268)/E268</f>
        <v>-1.4501463818408559E-2</v>
      </c>
      <c r="S69">
        <f>(H264-H267)/H267</f>
        <v>1.3394775221370081E-2</v>
      </c>
      <c r="T69" s="10">
        <f>(K276-K280)/K280</f>
        <v>5.1697929875020674E-3</v>
      </c>
      <c r="U69" s="10">
        <f>(N270-N274)/N274</f>
        <v>2.0204989639485839E-2</v>
      </c>
    </row>
    <row r="70" spans="1:21" x14ac:dyDescent="0.3">
      <c r="A70" s="1">
        <v>45665</v>
      </c>
      <c r="B70" s="2">
        <v>42635.197099999998</v>
      </c>
      <c r="D70" s="1">
        <v>45665</v>
      </c>
      <c r="E70" s="3">
        <v>2478.7338810249298</v>
      </c>
      <c r="G70" s="1">
        <v>45664</v>
      </c>
      <c r="H70" s="3">
        <v>253.65966333374001</v>
      </c>
      <c r="J70" s="5">
        <v>45670</v>
      </c>
      <c r="K70" s="3">
        <v>521.09242147964801</v>
      </c>
      <c r="M70" s="1">
        <v>45665</v>
      </c>
      <c r="N70" s="3">
        <v>19478.878000000001</v>
      </c>
      <c r="P70">
        <v>55</v>
      </c>
      <c r="Q70" s="10">
        <f>(B275-B279)/B279</f>
        <v>-1.4159447553403358E-3</v>
      </c>
      <c r="R70">
        <f>(E269-E273)/E273</f>
        <v>8.0502316563701888E-3</v>
      </c>
      <c r="S70">
        <f>(H268-H272)/H272</f>
        <v>-1.6824252935837242E-2</v>
      </c>
      <c r="T70" s="10">
        <f>(K281-K285)/K285</f>
        <v>3.0058386336687549E-3</v>
      </c>
      <c r="U70" s="10">
        <f>(N275-N279)/N279</f>
        <v>-2.8777833502316363E-3</v>
      </c>
    </row>
    <row r="71" spans="1:21" x14ac:dyDescent="0.3">
      <c r="A71" s="1">
        <v>45664</v>
      </c>
      <c r="B71" s="2">
        <v>42528.364300000001</v>
      </c>
      <c r="D71" s="1">
        <v>45664</v>
      </c>
      <c r="E71" s="3">
        <v>2500.74967531215</v>
      </c>
      <c r="G71" s="5">
        <v>45663</v>
      </c>
      <c r="H71" s="3">
        <v>249.41021573605599</v>
      </c>
      <c r="J71" s="4">
        <v>45667</v>
      </c>
      <c r="K71" s="3">
        <v>523.98123296933204</v>
      </c>
      <c r="M71" s="1">
        <v>45664</v>
      </c>
      <c r="N71" s="3">
        <v>19489.68</v>
      </c>
      <c r="P71">
        <v>56</v>
      </c>
      <c r="Q71" s="10">
        <f>(B280-B284)/B284</f>
        <v>-6.8515704684432186E-3</v>
      </c>
      <c r="R71">
        <f>(E274-E278)/E278</f>
        <v>-1.4062387258674102E-2</v>
      </c>
      <c r="S71">
        <f>(H273-H277)/H277</f>
        <v>1.2666489263500237E-2</v>
      </c>
      <c r="T71" s="10">
        <f>(K286-K290)/K290</f>
        <v>1.9495775337489231E-2</v>
      </c>
      <c r="U71" s="10">
        <f>(N280-N284)/N284</f>
        <v>-7.5518082390082673E-3</v>
      </c>
    </row>
    <row r="72" spans="1:21" x14ac:dyDescent="0.3">
      <c r="A72" s="5">
        <v>45663</v>
      </c>
      <c r="B72" s="2">
        <v>42706.562400000003</v>
      </c>
      <c r="D72" s="5">
        <v>45663</v>
      </c>
      <c r="E72" s="3">
        <v>2532.1582446979601</v>
      </c>
      <c r="G72" s="6">
        <v>45656</v>
      </c>
      <c r="H72" s="3">
        <v>254.38079449086601</v>
      </c>
      <c r="J72" s="1">
        <v>45666</v>
      </c>
      <c r="K72" s="3">
        <v>531.21331328651104</v>
      </c>
      <c r="M72" s="5">
        <v>45663</v>
      </c>
      <c r="N72" s="3">
        <v>19864.981</v>
      </c>
      <c r="P72">
        <v>57</v>
      </c>
      <c r="Q72" s="10">
        <f>(B285-B289)/B289</f>
        <v>4.6444989610035784E-4</v>
      </c>
      <c r="R72">
        <f>(E279-E283)/E283</f>
        <v>-3.3219520962948757E-3</v>
      </c>
      <c r="S72">
        <f>(H278-H282)/H282</f>
        <v>2.1188889628823687E-2</v>
      </c>
      <c r="T72" s="10">
        <f>(K291-K295)/K295</f>
        <v>3.4145174589193775E-3</v>
      </c>
      <c r="U72" s="10">
        <f>(N285-N289)/N289</f>
        <v>1.8695938114642721E-2</v>
      </c>
    </row>
    <row r="73" spans="1:21" x14ac:dyDescent="0.3">
      <c r="A73" s="4">
        <v>45660</v>
      </c>
      <c r="B73" s="2">
        <v>42732.133399999999</v>
      </c>
      <c r="D73" s="4">
        <v>45660</v>
      </c>
      <c r="E73" s="3">
        <v>2540.5662196736898</v>
      </c>
      <c r="G73" s="4">
        <v>45653</v>
      </c>
      <c r="H73" s="3">
        <v>255.23482448358001</v>
      </c>
      <c r="J73" s="1">
        <v>45665</v>
      </c>
      <c r="K73" s="3">
        <v>530.00474628036295</v>
      </c>
      <c r="M73" s="4">
        <v>45660</v>
      </c>
      <c r="N73" s="3">
        <v>19621.677</v>
      </c>
      <c r="P73">
        <v>58</v>
      </c>
      <c r="Q73" s="10">
        <f>(B290-B293)/B293</f>
        <v>1.4721793419104026E-2</v>
      </c>
      <c r="R73">
        <f>(E284-E288)/E288</f>
        <v>3.4900356357925745E-2</v>
      </c>
      <c r="S73">
        <f>(H283-H286)/H286</f>
        <v>1.3631010321017272E-2</v>
      </c>
      <c r="T73" s="10">
        <f>(K296-K300)/K300</f>
        <v>1.37048016661154E-2</v>
      </c>
      <c r="U73" s="10">
        <f>(N290-N293)/N293</f>
        <v>2.3417892756876023E-2</v>
      </c>
    </row>
    <row r="74" spans="1:21" x14ac:dyDescent="0.3">
      <c r="A74" s="1">
        <v>45659</v>
      </c>
      <c r="B74" s="2">
        <v>42392.272400000002</v>
      </c>
      <c r="D74" s="1">
        <v>45659</v>
      </c>
      <c r="E74" s="3">
        <v>2523.3479496444502</v>
      </c>
      <c r="G74" s="1">
        <v>45652</v>
      </c>
      <c r="H74" s="3">
        <v>250.430759493685</v>
      </c>
      <c r="J74" s="1">
        <v>45664</v>
      </c>
      <c r="K74" s="3">
        <v>532.11815427880003</v>
      </c>
      <c r="M74" s="1">
        <v>45659</v>
      </c>
      <c r="N74" s="3">
        <v>19280.793000000001</v>
      </c>
      <c r="P74">
        <v>59</v>
      </c>
      <c r="Q74" s="10">
        <f>(B294-B298)/B298</f>
        <v>-4.3658260936857256E-3</v>
      </c>
      <c r="R74">
        <f>(E289-E291)/E291</f>
        <v>2.8465565548549482E-2</v>
      </c>
      <c r="S74">
        <f>(H287-H290)/H290</f>
        <v>1.7697813874969628E-2</v>
      </c>
      <c r="T74" s="10">
        <f>(K301-K305)/K305</f>
        <v>8.7549875157860411E-3</v>
      </c>
      <c r="U74" s="10">
        <f>(N294-N298)/N298</f>
        <v>-1.0468278433587587E-2</v>
      </c>
    </row>
    <row r="75" spans="1:21" x14ac:dyDescent="0.3">
      <c r="A75" s="1">
        <v>45657</v>
      </c>
      <c r="B75" s="2">
        <v>42544.223299999998</v>
      </c>
      <c r="D75" s="1">
        <v>45657</v>
      </c>
      <c r="E75" s="3">
        <v>2582.4825881535098</v>
      </c>
      <c r="G75" s="1">
        <v>45651</v>
      </c>
      <c r="H75" s="3">
        <v>248.60501905973001</v>
      </c>
      <c r="J75" s="5">
        <v>45663</v>
      </c>
      <c r="K75" s="3">
        <v>533.02994410157498</v>
      </c>
      <c r="M75" s="1">
        <v>45657</v>
      </c>
      <c r="N75" s="3">
        <v>19310.792000000001</v>
      </c>
      <c r="P75">
        <v>60</v>
      </c>
      <c r="Q75" s="10">
        <f>(B299-B303)/B303</f>
        <v>7.5970406728085183E-3</v>
      </c>
      <c r="R75">
        <f>(E292-E296)/E296</f>
        <v>1.5486429185713023E-2</v>
      </c>
      <c r="S75">
        <f>(H291-H295)/H295</f>
        <v>1.0660795239358081E-2</v>
      </c>
      <c r="T75" s="10">
        <f>(K306-K310)/K310</f>
        <v>6.1827123473492769E-3</v>
      </c>
      <c r="U75" s="11">
        <f>(N299-N303)/N303</f>
        <v>2.519522618656618E-2</v>
      </c>
    </row>
    <row r="76" spans="1:21" x14ac:dyDescent="0.3">
      <c r="A76" s="5">
        <v>45656</v>
      </c>
      <c r="B76" s="2">
        <v>42573.728300000002</v>
      </c>
      <c r="D76" s="5">
        <v>45656</v>
      </c>
      <c r="E76" s="3">
        <v>2580.5621724630701</v>
      </c>
      <c r="G76" s="1">
        <v>45650</v>
      </c>
      <c r="H76" s="3">
        <v>248.35761547270201</v>
      </c>
      <c r="J76" s="4">
        <v>45660</v>
      </c>
      <c r="K76" s="3">
        <v>523.842411248095</v>
      </c>
      <c r="M76" s="5">
        <v>45656</v>
      </c>
      <c r="N76" s="3">
        <v>19486.785</v>
      </c>
      <c r="P76">
        <v>61</v>
      </c>
      <c r="Q76" s="10">
        <f>(B304-B308)/B308</f>
        <v>8.3731068829799374E-3</v>
      </c>
      <c r="R76">
        <f>(E297-E301)/E301</f>
        <v>-3.4619832866051019E-2</v>
      </c>
      <c r="S76">
        <f>(H296-H300)/H300</f>
        <v>-2.3143094780485899E-3</v>
      </c>
      <c r="T76" s="10">
        <f>(K311-K315)/K315</f>
        <v>-6.3869216020905634E-3</v>
      </c>
      <c r="U76" s="10">
        <f>(N304-N308)/N308</f>
        <v>5.8228656126118822E-5</v>
      </c>
    </row>
    <row r="77" spans="1:21" x14ac:dyDescent="0.3">
      <c r="A77" s="4">
        <v>45653</v>
      </c>
      <c r="B77" s="2">
        <v>42992.207900000001</v>
      </c>
      <c r="D77" s="4">
        <v>45653</v>
      </c>
      <c r="E77" s="3">
        <v>2588.3764075343402</v>
      </c>
      <c r="G77" s="5">
        <v>45649</v>
      </c>
      <c r="H77" s="3">
        <v>249.18134385341301</v>
      </c>
      <c r="J77" s="1">
        <v>45659</v>
      </c>
      <c r="K77" s="3">
        <v>524.20497238703501</v>
      </c>
      <c r="M77" s="4">
        <v>45653</v>
      </c>
      <c r="N77" s="3">
        <v>19722.030999999999</v>
      </c>
      <c r="P77">
        <v>62</v>
      </c>
      <c r="Q77">
        <f>(B309-B313)/B313</f>
        <v>2.8321575032514289E-3</v>
      </c>
      <c r="R77">
        <f>(E302-E306)/E306</f>
        <v>6.6678059131524151E-2</v>
      </c>
      <c r="S77">
        <f>(H301-H305)/H305</f>
        <v>-2.2239093256489758E-2</v>
      </c>
      <c r="T77" s="10">
        <f>(K316-K320)/K320</f>
        <v>2.048882508821161E-2</v>
      </c>
      <c r="U77" s="10">
        <f>(N309-N313)/N313</f>
        <v>6.1897936014993025E-3</v>
      </c>
    </row>
    <row r="78" spans="1:21" x14ac:dyDescent="0.3">
      <c r="A78" s="1">
        <v>45652</v>
      </c>
      <c r="B78" s="2">
        <v>43325.799200000001</v>
      </c>
      <c r="D78" s="1">
        <v>45650</v>
      </c>
      <c r="E78" s="3">
        <v>2587.5516588775999</v>
      </c>
      <c r="G78" s="4">
        <v>45646</v>
      </c>
      <c r="H78" s="3">
        <v>247.43878268651</v>
      </c>
      <c r="J78" s="1">
        <v>45657</v>
      </c>
      <c r="K78" s="3">
        <v>525.54094626772803</v>
      </c>
      <c r="M78" s="1">
        <v>45652</v>
      </c>
      <c r="N78" s="3">
        <v>20020.357</v>
      </c>
      <c r="P78">
        <v>63</v>
      </c>
      <c r="Q78">
        <f>(B314-B317)/B317</f>
        <v>1.3454559898341384E-2</v>
      </c>
      <c r="R78">
        <f>(E307-E311)/E311</f>
        <v>-5.5246189846574562E-2</v>
      </c>
      <c r="S78">
        <f>(H306-H310)/H310</f>
        <v>-1.4583804130175185E-2</v>
      </c>
      <c r="T78" s="10">
        <f>(K321-K325)/317</f>
        <v>-2.4636048002880082E-2</v>
      </c>
      <c r="U78" s="11">
        <f>(N314-N317)/N317</f>
        <v>2.4532420185371835E-2</v>
      </c>
    </row>
    <row r="79" spans="1:21" x14ac:dyDescent="0.3">
      <c r="A79" s="1">
        <v>45650</v>
      </c>
      <c r="B79" s="2">
        <v>43297.031799999997</v>
      </c>
      <c r="D79" s="5">
        <v>45649</v>
      </c>
      <c r="E79" s="3">
        <v>2558.99432425127</v>
      </c>
      <c r="G79" s="1">
        <v>45645</v>
      </c>
      <c r="H79" s="3">
        <v>246.54500412882899</v>
      </c>
      <c r="J79" s="5">
        <v>45656</v>
      </c>
      <c r="K79" s="3">
        <v>525.39832863283198</v>
      </c>
      <c r="M79" s="1">
        <v>45650</v>
      </c>
      <c r="N79" s="3">
        <v>20031.126</v>
      </c>
      <c r="P79">
        <v>64</v>
      </c>
      <c r="Q79">
        <f>(B318-B322)/B322</f>
        <v>-2.3891349997966888E-3</v>
      </c>
      <c r="R79">
        <f>(E312-E316)/E316</f>
        <v>-6.2834117061484401E-4</v>
      </c>
      <c r="S79">
        <f>(H311-H314)/H314</f>
        <v>5.0598096948613815E-2</v>
      </c>
      <c r="T79" s="10">
        <f>(K326-K330)/K330</f>
        <v>-2.9695930402771119E-3</v>
      </c>
      <c r="U79" s="10">
        <f>(N318-N322)/N322</f>
        <v>8.6899768306807398E-3</v>
      </c>
    </row>
    <row r="80" spans="1:21" x14ac:dyDescent="0.3">
      <c r="A80" s="5">
        <v>45649</v>
      </c>
      <c r="B80" s="2">
        <v>42906.950700000001</v>
      </c>
      <c r="D80" s="4">
        <v>45646</v>
      </c>
      <c r="E80" s="3">
        <v>2536.4244372990302</v>
      </c>
      <c r="G80" s="1">
        <v>45644</v>
      </c>
      <c r="H80" s="3">
        <v>252.465826873368</v>
      </c>
      <c r="J80" s="4">
        <v>45653</v>
      </c>
      <c r="K80" s="3">
        <v>528.83582712059001</v>
      </c>
      <c r="M80" s="5">
        <v>45649</v>
      </c>
      <c r="N80" s="3">
        <v>19764.884999999998</v>
      </c>
      <c r="P80">
        <v>65</v>
      </c>
      <c r="Q80">
        <f>(B323-B326)/B326</f>
        <v>-6.6003665237872843E-3</v>
      </c>
      <c r="R80">
        <f>(E317-E320)/E320</f>
        <v>-1.4540710168654996E-2</v>
      </c>
      <c r="S80">
        <f>(H315-H316)/H316</f>
        <v>2.4695656549752342E-3</v>
      </c>
      <c r="T80" s="10">
        <f>(K331-K334)/K334</f>
        <v>-4.9959344669950169E-3</v>
      </c>
      <c r="U80" s="10">
        <f>(N323-N326)/N326</f>
        <v>-1.638006114070626E-2</v>
      </c>
    </row>
    <row r="81" spans="1:21" x14ac:dyDescent="0.3">
      <c r="A81" s="4">
        <v>45646</v>
      </c>
      <c r="B81" s="2">
        <v>42840.256999999998</v>
      </c>
      <c r="D81" s="1">
        <v>45645</v>
      </c>
      <c r="E81" s="3">
        <v>2542.3141772314798</v>
      </c>
      <c r="G81" s="1">
        <v>45643</v>
      </c>
      <c r="H81" s="3">
        <v>256.48084440968199</v>
      </c>
      <c r="J81" s="1">
        <v>45650</v>
      </c>
      <c r="K81" s="3">
        <v>523.80902871638898</v>
      </c>
      <c r="M81" s="4">
        <v>45646</v>
      </c>
      <c r="N81" s="3">
        <v>19572.597000000002</v>
      </c>
      <c r="P81">
        <v>66</v>
      </c>
      <c r="Q81">
        <f>(B327-B330)/B330</f>
        <v>3.8408478702456582E-3</v>
      </c>
      <c r="R81">
        <f>(E321-E323)/E323</f>
        <v>2.5587500539957463E-2</v>
      </c>
      <c r="S81">
        <f>(H317-H321)/H321</f>
        <v>1.5450728628591613E-2</v>
      </c>
      <c r="T81" s="10">
        <f>(K335-K337)/K337</f>
        <v>-5.2682722137654047E-3</v>
      </c>
      <c r="U81" s="10">
        <f>(N327-N330)/N330</f>
        <v>-4.193883302697831E-3</v>
      </c>
    </row>
    <row r="82" spans="1:21" x14ac:dyDescent="0.3">
      <c r="A82" s="1">
        <v>45645</v>
      </c>
      <c r="B82" s="2">
        <v>42342.236700000001</v>
      </c>
      <c r="D82" s="1">
        <v>45644</v>
      </c>
      <c r="E82" s="3">
        <v>2556.4385359827102</v>
      </c>
      <c r="G82" s="5">
        <v>45642</v>
      </c>
      <c r="H82" s="3">
        <v>255.968147907885</v>
      </c>
      <c r="J82" s="5">
        <v>45649</v>
      </c>
      <c r="K82" s="3">
        <v>523.27589794814003</v>
      </c>
      <c r="M82" s="1">
        <v>45645</v>
      </c>
      <c r="N82" s="3">
        <v>19372.768</v>
      </c>
      <c r="P82">
        <v>67</v>
      </c>
      <c r="Q82">
        <f>(B331-B335)/B335</f>
        <v>2.1429785786417081E-3</v>
      </c>
      <c r="R82">
        <f>(E324-E328)/E328</f>
        <v>-1.9468713074283366E-2</v>
      </c>
      <c r="S82">
        <f>(H322-H326)/H326</f>
        <v>1.4864048901433989E-2</v>
      </c>
      <c r="T82" s="10">
        <f>(K338-K342)/K342</f>
        <v>1.2883641754817285E-2</v>
      </c>
      <c r="U82" s="10">
        <f>(N331-N335)/N335</f>
        <v>5.8891551495405198E-3</v>
      </c>
    </row>
    <row r="83" spans="1:21" x14ac:dyDescent="0.3">
      <c r="A83" s="1">
        <v>45644</v>
      </c>
      <c r="B83" s="2">
        <v>42326.869500000001</v>
      </c>
      <c r="D83" s="1">
        <v>45643</v>
      </c>
      <c r="E83" s="3">
        <v>2535.7153889718302</v>
      </c>
      <c r="G83" s="4">
        <v>45639</v>
      </c>
      <c r="H83" s="3">
        <v>256.90210882584</v>
      </c>
      <c r="J83" s="4">
        <v>45646</v>
      </c>
      <c r="K83" s="3">
        <v>523.73652045136896</v>
      </c>
      <c r="M83" s="1">
        <v>45644</v>
      </c>
      <c r="N83" s="3">
        <v>19392.692999999999</v>
      </c>
      <c r="P83">
        <v>68</v>
      </c>
      <c r="Q83">
        <f>(B336-B340)/B340</f>
        <v>2.4728301704783132E-2</v>
      </c>
      <c r="R83">
        <f>(E329-E333)/E333</f>
        <v>3.6778418046025746E-2</v>
      </c>
      <c r="S83">
        <f>(H327-H331)/H331</f>
        <v>3.3814467961108353E-2</v>
      </c>
      <c r="T83" s="10">
        <f>(K343-K347)/K347</f>
        <v>1.8572767839342315E-2</v>
      </c>
      <c r="U83" s="10">
        <f>(N336-N340)/N340</f>
        <v>2.6428849471948165E-2</v>
      </c>
    </row>
    <row r="84" spans="1:21" x14ac:dyDescent="0.3">
      <c r="A84" s="1">
        <v>45643</v>
      </c>
      <c r="B84" s="2">
        <v>43449.904699999999</v>
      </c>
      <c r="D84" s="5">
        <v>45642</v>
      </c>
      <c r="E84" s="3">
        <v>2546.3712374582001</v>
      </c>
      <c r="G84" s="1">
        <v>45638</v>
      </c>
      <c r="H84" s="3">
        <v>261.10038002883698</v>
      </c>
      <c r="J84" s="1">
        <v>45645</v>
      </c>
      <c r="K84" s="3">
        <v>525.00362671750804</v>
      </c>
      <c r="M84" s="1">
        <v>45643</v>
      </c>
      <c r="N84" s="3">
        <v>20109.060000000001</v>
      </c>
      <c r="P84">
        <v>69</v>
      </c>
      <c r="Q84">
        <f>(B341-B345)/B345</f>
        <v>1.1996622745653739E-3</v>
      </c>
      <c r="R84">
        <f>(E334-E338)/E338</f>
        <v>-1.7768850517105968E-2</v>
      </c>
      <c r="S84">
        <f>(H332-H336)/H336</f>
        <v>-1.2559874820381033E-2</v>
      </c>
      <c r="T84" s="10">
        <f>(K348-K352)/K352</f>
        <v>6.8965491525184242E-3</v>
      </c>
      <c r="U84" s="11">
        <f>(N341-N345)/N345</f>
        <v>1.5401508047587144E-2</v>
      </c>
    </row>
    <row r="85" spans="1:21" x14ac:dyDescent="0.3">
      <c r="A85" s="5">
        <v>45642</v>
      </c>
      <c r="B85" s="2">
        <v>43717.4784</v>
      </c>
      <c r="D85" s="4">
        <v>45639</v>
      </c>
      <c r="E85" s="3">
        <v>2568.6151946598702</v>
      </c>
      <c r="G85" s="1">
        <v>45637</v>
      </c>
      <c r="H85" s="3">
        <v>258.26323384717898</v>
      </c>
      <c r="J85" s="1">
        <v>45644</v>
      </c>
      <c r="K85" s="3">
        <v>532.536231884058</v>
      </c>
      <c r="M85" s="5">
        <v>45642</v>
      </c>
      <c r="N85" s="3">
        <v>20173.891</v>
      </c>
      <c r="P85">
        <v>70</v>
      </c>
      <c r="Q85">
        <f>(B346-B350)/B350</f>
        <v>2.581205857841859E-2</v>
      </c>
      <c r="R85">
        <f>(E339-E343)/E343</f>
        <v>-4.2507308079293878E-2</v>
      </c>
      <c r="S85">
        <f>(H337-H341)/H341</f>
        <v>1.2180172768160222E-2</v>
      </c>
      <c r="T85" s="10">
        <f>(K353-K357)/K357</f>
        <v>1.0309690449977385E-2</v>
      </c>
      <c r="U85" s="10">
        <f>(N346-N350)/N440</f>
        <v>4.5515610233068503E-3</v>
      </c>
    </row>
    <row r="86" spans="1:21" x14ac:dyDescent="0.3">
      <c r="A86" s="4">
        <v>45639</v>
      </c>
      <c r="B86" s="2">
        <v>43828.060799999999</v>
      </c>
      <c r="D86" s="1">
        <v>45638</v>
      </c>
      <c r="E86" s="3">
        <v>2623.5497646181102</v>
      </c>
      <c r="G86" s="1">
        <v>45636</v>
      </c>
      <c r="H86" s="3">
        <v>259.08246133595998</v>
      </c>
      <c r="J86" s="1">
        <v>45643</v>
      </c>
      <c r="K86" s="3">
        <v>538.77782206465201</v>
      </c>
      <c r="M86" s="4">
        <v>45639</v>
      </c>
      <c r="N86" s="3">
        <v>19926.723999999998</v>
      </c>
      <c r="P86">
        <v>71</v>
      </c>
      <c r="Q86">
        <f>(B351-B354)/B354</f>
        <v>6.8024392725042852E-3</v>
      </c>
      <c r="R86">
        <f>(E344-E348)/340</f>
        <v>-8.056376718373566E-2</v>
      </c>
      <c r="S86">
        <f>(H342-H345)/H345</f>
        <v>-1.6506087003385737E-4</v>
      </c>
      <c r="T86" s="10">
        <f>(K358-K362)/K362</f>
        <v>8.241471496282602E-3</v>
      </c>
      <c r="U86" s="10">
        <f>(N351-N354)/N354</f>
        <v>-2.3577247952225873E-3</v>
      </c>
    </row>
    <row r="87" spans="1:21" x14ac:dyDescent="0.3">
      <c r="A87" s="1">
        <v>45638</v>
      </c>
      <c r="B87" s="2">
        <v>43914.117200000001</v>
      </c>
      <c r="D87" s="1">
        <v>45637</v>
      </c>
      <c r="E87" s="3">
        <v>2592.4227612996101</v>
      </c>
      <c r="G87" s="5">
        <v>45635</v>
      </c>
      <c r="H87" s="3">
        <v>259.01514650440902</v>
      </c>
      <c r="J87" s="5">
        <v>45642</v>
      </c>
      <c r="K87" s="3">
        <v>542.14005696448601</v>
      </c>
      <c r="M87" s="1">
        <v>45638</v>
      </c>
      <c r="N87" s="3">
        <v>19902.841</v>
      </c>
      <c r="P87">
        <v>72</v>
      </c>
      <c r="Q87">
        <f>(B355-B359)/B359</f>
        <v>1.7747600742242863E-2</v>
      </c>
      <c r="R87">
        <f>(E349-E353)/E353</f>
        <v>3.3017613039367025E-3</v>
      </c>
      <c r="S87">
        <f>(H346-H350)/H350</f>
        <v>4.5089069223404929E-2</v>
      </c>
      <c r="T87" s="10">
        <f>(K363-K367)/K367</f>
        <v>4.0636234621534491E-2</v>
      </c>
      <c r="U87" s="10">
        <f>(N355-N359)/N359</f>
        <v>2.5983779621685223E-2</v>
      </c>
    </row>
    <row r="88" spans="1:21" x14ac:dyDescent="0.3">
      <c r="A88" s="1">
        <v>45637</v>
      </c>
      <c r="B88" s="2">
        <v>44148.559200000003</v>
      </c>
      <c r="D88" s="1">
        <v>45636</v>
      </c>
      <c r="E88" s="3">
        <v>2612.6857128156298</v>
      </c>
      <c r="G88" s="4">
        <v>45632</v>
      </c>
      <c r="H88" s="3">
        <v>260.55568886224</v>
      </c>
      <c r="J88" s="4">
        <v>45639</v>
      </c>
      <c r="K88" s="3">
        <v>542.375551354756</v>
      </c>
      <c r="M88" s="1">
        <v>45637</v>
      </c>
      <c r="N88" s="3">
        <v>20034.894</v>
      </c>
      <c r="P88">
        <v>73</v>
      </c>
      <c r="Q88">
        <f>(B360-B364)/B364</f>
        <v>5.491681910161049E-3</v>
      </c>
      <c r="R88">
        <f>(E354-E358)/E358</f>
        <v>-4.1112879422845978E-2</v>
      </c>
      <c r="S88">
        <f>(H351-H355)/H355</f>
        <v>-1.3689983852305227E-2</v>
      </c>
      <c r="T88" s="10">
        <f>(K368-K372)/K372</f>
        <v>-3.6442463519398625E-3</v>
      </c>
      <c r="U88" s="10">
        <f>(N360-N364)/N364</f>
        <v>2.0662295019394851E-2</v>
      </c>
    </row>
    <row r="89" spans="1:21" x14ac:dyDescent="0.3">
      <c r="A89" s="1">
        <v>45636</v>
      </c>
      <c r="B89" s="2">
        <v>44247.831299999998</v>
      </c>
      <c r="D89" s="5">
        <v>45635</v>
      </c>
      <c r="E89" s="3">
        <v>2625.8766175297801</v>
      </c>
      <c r="G89" s="1">
        <v>45631</v>
      </c>
      <c r="H89" s="3">
        <v>262.49733475481401</v>
      </c>
      <c r="J89" s="1">
        <v>45638</v>
      </c>
      <c r="K89" s="3">
        <v>543.44868010634502</v>
      </c>
      <c r="M89" s="1">
        <v>45636</v>
      </c>
      <c r="N89" s="3">
        <v>19687.241999999998</v>
      </c>
      <c r="P89">
        <v>74</v>
      </c>
      <c r="Q89">
        <f>(B365-B369)/B369</f>
        <v>3.4387928360597293E-2</v>
      </c>
      <c r="R89">
        <f>(E359-E363)/E363</f>
        <v>1.4354420270671017E-2</v>
      </c>
      <c r="S89">
        <f>(H356-H359)/H359</f>
        <v>3.1545330974021082E-2</v>
      </c>
      <c r="T89" s="10">
        <f>(K373-K377)/K377</f>
        <v>4.1697965750280591E-2</v>
      </c>
      <c r="U89" s="10">
        <f>(N365-N369)/N369</f>
        <v>5.3856750894465337E-2</v>
      </c>
    </row>
    <row r="90" spans="1:21" x14ac:dyDescent="0.3">
      <c r="A90" s="5">
        <v>45635</v>
      </c>
      <c r="B90" s="2">
        <v>44401.933599999997</v>
      </c>
      <c r="D90" s="4">
        <v>45632</v>
      </c>
      <c r="E90" s="3">
        <v>2553.7465773675599</v>
      </c>
      <c r="G90" s="1">
        <v>45630</v>
      </c>
      <c r="H90" s="3">
        <v>260.79940239044299</v>
      </c>
      <c r="J90" s="1">
        <v>45637</v>
      </c>
      <c r="K90" s="3">
        <v>545.632942608588</v>
      </c>
      <c r="M90" s="5">
        <v>45635</v>
      </c>
      <c r="N90" s="3">
        <v>19736.689999999999</v>
      </c>
      <c r="P90">
        <v>75</v>
      </c>
      <c r="Q90">
        <f>(B370-B374)/B374</f>
        <v>-1.5752317875566951E-2</v>
      </c>
      <c r="R90">
        <f>(E364-E367)/E367</f>
        <v>2.4174350706352044E-2</v>
      </c>
      <c r="S90">
        <f>(H360-H364)/H364</f>
        <v>4.1472764353243008E-4</v>
      </c>
      <c r="T90" s="10">
        <f>(K378-K382)/K382</f>
        <v>-1.7980183132626976E-2</v>
      </c>
      <c r="U90" s="10">
        <f>(N370-N374)/N374</f>
        <v>-2.8829967348343963E-2</v>
      </c>
    </row>
    <row r="91" spans="1:21" x14ac:dyDescent="0.3">
      <c r="A91" s="4">
        <v>45632</v>
      </c>
      <c r="B91" s="2">
        <v>44642.522599999997</v>
      </c>
      <c r="D91" s="1">
        <v>45631</v>
      </c>
      <c r="E91" s="3">
        <v>2513.5169170275399</v>
      </c>
      <c r="G91" s="1">
        <v>45629</v>
      </c>
      <c r="H91" s="3">
        <v>262.37622835752302</v>
      </c>
      <c r="J91" s="1">
        <v>45636</v>
      </c>
      <c r="K91" s="3">
        <v>545.76171278801701</v>
      </c>
      <c r="M91" s="4">
        <v>45632</v>
      </c>
      <c r="N91" s="3">
        <v>19859.774000000001</v>
      </c>
      <c r="P91">
        <v>76</v>
      </c>
      <c r="Q91">
        <f>(B375-B379)/B379</f>
        <v>-2.5225012028116715E-2</v>
      </c>
      <c r="R91">
        <f>(E368-E372)/E372</f>
        <v>-2.7488696057015941E-2</v>
      </c>
      <c r="S91">
        <f>(H365-H369)/H369</f>
        <v>-1.4864643933267939E-2</v>
      </c>
      <c r="T91" s="10">
        <f>(K383-K387)/K387</f>
        <v>-3.3389430172203416E-2</v>
      </c>
      <c r="U91" s="10">
        <f>(N375-N379)/N379</f>
        <v>-4.3055549004185123E-2</v>
      </c>
    </row>
    <row r="92" spans="1:21" x14ac:dyDescent="0.3">
      <c r="A92" s="1">
        <v>45631</v>
      </c>
      <c r="B92" s="2">
        <v>44765.706100000003</v>
      </c>
      <c r="D92" s="1">
        <v>45630</v>
      </c>
      <c r="E92" s="3">
        <v>2536.15692924311</v>
      </c>
      <c r="G92" s="5">
        <v>45628</v>
      </c>
      <c r="H92" s="3">
        <v>257.45718296678803</v>
      </c>
      <c r="J92" s="5">
        <v>45635</v>
      </c>
      <c r="K92" s="3">
        <v>549.98997562494003</v>
      </c>
      <c r="M92" s="1">
        <v>45631</v>
      </c>
      <c r="N92" s="3">
        <v>19700.723000000002</v>
      </c>
      <c r="P92">
        <v>77</v>
      </c>
      <c r="Q92">
        <f>(B380-B384)/B384</f>
        <v>1.9534202937461047E-3</v>
      </c>
      <c r="R92">
        <f>(E373-E377)/E377</f>
        <v>1.7485182852711063E-2</v>
      </c>
      <c r="S92">
        <f>(H370-H373)/H373</f>
        <v>1.2152037774266693E-2</v>
      </c>
      <c r="T92" s="10">
        <f>(K388-K392)/K392</f>
        <v>6.773909368271042E-3</v>
      </c>
      <c r="U92" s="10">
        <f>(N380-N384)/N384</f>
        <v>-5.7107412587391248E-3</v>
      </c>
    </row>
    <row r="93" spans="1:21" x14ac:dyDescent="0.3">
      <c r="A93" s="1">
        <v>45630</v>
      </c>
      <c r="B93" s="2">
        <v>45014.040099999998</v>
      </c>
      <c r="D93" s="1">
        <v>45629</v>
      </c>
      <c r="E93" s="3">
        <v>2537.20688193044</v>
      </c>
      <c r="G93" s="4">
        <v>45625</v>
      </c>
      <c r="H93" s="3">
        <v>255.14544240400599</v>
      </c>
      <c r="J93" s="4">
        <v>45632</v>
      </c>
      <c r="K93" s="3">
        <v>550.03434610303805</v>
      </c>
      <c r="M93" s="1">
        <v>45630</v>
      </c>
      <c r="N93" s="3">
        <v>19735.116000000002</v>
      </c>
      <c r="P93">
        <v>78</v>
      </c>
      <c r="Q93">
        <f>(B385-B389)/B389</f>
        <v>-7.7078418343758852E-4</v>
      </c>
      <c r="R93">
        <f>(E378-E381)/E381</f>
        <v>9.0197333278666837E-3</v>
      </c>
      <c r="S93">
        <f>(H374-H378)/H378</f>
        <v>-2.0629699252689326E-2</v>
      </c>
      <c r="T93" s="10">
        <f>(K393-K397)/K397</f>
        <v>9.0046183401302805E-3</v>
      </c>
      <c r="U93" s="10">
        <f>(N385-N389)/N389</f>
        <v>9.2854003445956828E-3</v>
      </c>
    </row>
    <row r="94" spans="1:21" x14ac:dyDescent="0.3">
      <c r="A94" s="1">
        <v>45629</v>
      </c>
      <c r="B94" s="2">
        <v>44705.528100000003</v>
      </c>
      <c r="D94" s="5">
        <v>45628</v>
      </c>
      <c r="E94" s="3">
        <v>2512.4063483904101</v>
      </c>
      <c r="G94" s="1">
        <v>45624</v>
      </c>
      <c r="H94" s="3">
        <v>253.06229378380101</v>
      </c>
      <c r="J94" s="1">
        <v>45631</v>
      </c>
      <c r="K94" s="3">
        <v>549.97671070460694</v>
      </c>
      <c r="M94" s="1">
        <v>45629</v>
      </c>
      <c r="N94" s="3">
        <v>19480.91</v>
      </c>
      <c r="P94">
        <v>79</v>
      </c>
      <c r="Q94">
        <f>(B390-B394)/B394</f>
        <v>-1.468473373543543E-2</v>
      </c>
      <c r="R94">
        <f>(E382-E386)/E386</f>
        <v>2.5961272817601054E-3</v>
      </c>
      <c r="S94">
        <f>(H379-H383)/H383</f>
        <v>-2.8191367350155542E-2</v>
      </c>
      <c r="T94" s="10">
        <f>(K398-K402)/K402</f>
        <v>-2.3689599457546433E-3</v>
      </c>
      <c r="U94" s="10">
        <f>(N390-N394)/N394</f>
        <v>-3.9180729573244861E-3</v>
      </c>
    </row>
    <row r="95" spans="1:21" x14ac:dyDescent="0.3">
      <c r="A95" s="5">
        <v>45628</v>
      </c>
      <c r="B95" s="2">
        <v>44781.995300000002</v>
      </c>
      <c r="D95" s="4">
        <v>45625</v>
      </c>
      <c r="E95" s="3">
        <v>2496.0304813796402</v>
      </c>
      <c r="G95" s="1">
        <v>45623</v>
      </c>
      <c r="H95" s="3">
        <v>252.38232958303999</v>
      </c>
      <c r="J95" s="1">
        <v>45630</v>
      </c>
      <c r="K95" s="3">
        <v>543.84268552870799</v>
      </c>
      <c r="M95" s="5">
        <v>45628</v>
      </c>
      <c r="N95" s="3">
        <v>19403.948</v>
      </c>
      <c r="P95">
        <v>80</v>
      </c>
      <c r="Q95">
        <f>(B395-B399)/B399</f>
        <v>-1.9075046189881439E-2</v>
      </c>
      <c r="R95">
        <f>(E387-E391)/E391</f>
        <v>6.871252350197506E-3</v>
      </c>
      <c r="S95">
        <f>(H384-H387)/H387</f>
        <v>-2.862468018011741E-2</v>
      </c>
      <c r="T95" s="10">
        <f>(K403-K407)/K407</f>
        <v>-1.1106575937366392E-2</v>
      </c>
      <c r="U95" s="10">
        <f>(N395-N399)/N399</f>
        <v>-3.6354586722315486E-2</v>
      </c>
    </row>
    <row r="96" spans="1:21" x14ac:dyDescent="0.3">
      <c r="A96" s="4">
        <v>45625</v>
      </c>
      <c r="B96" s="2">
        <v>44910.6495</v>
      </c>
      <c r="D96" s="1">
        <v>45624</v>
      </c>
      <c r="E96" s="3">
        <v>2488.17513746853</v>
      </c>
      <c r="G96" s="1">
        <v>45622</v>
      </c>
      <c r="H96" s="3">
        <v>251.09079033312199</v>
      </c>
      <c r="J96" s="1">
        <v>45629</v>
      </c>
      <c r="K96" s="3">
        <v>541.76781529472498</v>
      </c>
      <c r="M96" s="4">
        <v>45625</v>
      </c>
      <c r="N96" s="3">
        <v>19218.166000000001</v>
      </c>
      <c r="P96">
        <v>81</v>
      </c>
      <c r="Q96">
        <f>(B400-B404)/B404</f>
        <v>-1.3119279773486175E-3</v>
      </c>
      <c r="R96">
        <f>(E392-E396)/E396</f>
        <v>5.5598337454627359E-3</v>
      </c>
      <c r="S96">
        <f>(H388-H392)/H392</f>
        <v>2.4148107790799303E-2</v>
      </c>
      <c r="T96" s="10">
        <f>(K408-K412)/K412</f>
        <v>3.7777803146440158E-3</v>
      </c>
      <c r="U96" s="10">
        <f>(N400-N404)/N404</f>
        <v>-1.5056803852651924E-2</v>
      </c>
    </row>
    <row r="97" spans="1:21" x14ac:dyDescent="0.3">
      <c r="A97" s="1">
        <v>45623</v>
      </c>
      <c r="B97" s="2">
        <v>44722.063199999997</v>
      </c>
      <c r="D97" s="1">
        <v>45623</v>
      </c>
      <c r="E97" s="3">
        <v>2519.1644391898799</v>
      </c>
      <c r="G97" s="5">
        <v>45621</v>
      </c>
      <c r="H97" s="3">
        <v>251.47616886066299</v>
      </c>
      <c r="J97" s="5">
        <v>45628</v>
      </c>
      <c r="K97" s="3">
        <v>539.13819346034904</v>
      </c>
      <c r="M97" s="1">
        <v>45623</v>
      </c>
      <c r="N97" s="3">
        <v>19060.475999999999</v>
      </c>
      <c r="P97">
        <v>82</v>
      </c>
      <c r="Q97">
        <f>(B405-B408)/B408</f>
        <v>-1.887314869672459E-3</v>
      </c>
      <c r="R97">
        <f>(E397-E400)/E400</f>
        <v>-3.4714425455850746E-2</v>
      </c>
      <c r="S97">
        <f>(H393-H397)/H397</f>
        <v>-1.913070027442965E-2</v>
      </c>
      <c r="T97" s="10">
        <f>(K413-K417)/K417</f>
        <v>-1.5947666820620199E-2</v>
      </c>
      <c r="U97" s="10">
        <f>(N405-N408)/N408</f>
        <v>-1.8502737902533258E-2</v>
      </c>
    </row>
    <row r="98" spans="1:21" x14ac:dyDescent="0.3">
      <c r="A98" s="1">
        <v>45622</v>
      </c>
      <c r="B98" s="2">
        <v>44860.306600000004</v>
      </c>
      <c r="D98" s="1">
        <v>45622</v>
      </c>
      <c r="E98" s="3">
        <v>2461.7045060324499</v>
      </c>
      <c r="G98" s="4">
        <v>45618</v>
      </c>
      <c r="H98" s="3">
        <v>247.40758692000699</v>
      </c>
      <c r="J98" s="4">
        <v>45625</v>
      </c>
      <c r="K98" s="3">
        <v>539.58736503706302</v>
      </c>
      <c r="M98" s="1">
        <v>45622</v>
      </c>
      <c r="N98" s="3">
        <v>19175.577000000001</v>
      </c>
      <c r="P98">
        <v>83</v>
      </c>
      <c r="Q98">
        <f>(B409-B413)/B413</f>
        <v>8.0363100227988527E-3</v>
      </c>
      <c r="R98">
        <f>(E401-E404)/E404</f>
        <v>1.4391634488037396E-2</v>
      </c>
      <c r="S98">
        <f>(H398-H402)/H402</f>
        <v>1.8960988621183162E-2</v>
      </c>
      <c r="T98" s="10">
        <f>(K418-K422)/K422</f>
        <v>1.876139549185307E-3</v>
      </c>
      <c r="U98" s="10">
        <f>(N409-N413)/N413</f>
        <v>2.3836620022092539E-2</v>
      </c>
    </row>
    <row r="99" spans="1:21" x14ac:dyDescent="0.3">
      <c r="A99" s="5">
        <v>45621</v>
      </c>
      <c r="B99" s="2">
        <v>44736.569799999997</v>
      </c>
      <c r="D99" s="5">
        <v>45621</v>
      </c>
      <c r="E99" s="3">
        <v>2460.8709619387901</v>
      </c>
      <c r="G99" s="1">
        <v>45617</v>
      </c>
      <c r="H99" s="3">
        <v>246.108148339894</v>
      </c>
      <c r="J99" s="1">
        <v>45624</v>
      </c>
      <c r="K99" s="3">
        <v>535.35246939637204</v>
      </c>
      <c r="M99" s="5">
        <v>45621</v>
      </c>
      <c r="N99" s="3">
        <v>19054.834999999999</v>
      </c>
      <c r="P99">
        <v>84</v>
      </c>
      <c r="Q99">
        <f>(B414-B418)/B418</f>
        <v>-3.3887349116840915E-3</v>
      </c>
      <c r="R99">
        <f>(E405-E409)/E409</f>
        <v>1.8147134256507332E-2</v>
      </c>
      <c r="S99">
        <f>(H403-H407)/H407</f>
        <v>2.154386537944241E-4</v>
      </c>
      <c r="T99" s="10">
        <f>(K423-K427)/K427</f>
        <v>-2.3252411307701573E-3</v>
      </c>
      <c r="U99" s="10">
        <f>(N414-N418)/N418</f>
        <v>6.8942677915094838E-3</v>
      </c>
    </row>
    <row r="100" spans="1:21" x14ac:dyDescent="0.3">
      <c r="A100" s="4">
        <v>45618</v>
      </c>
      <c r="B100" s="2">
        <v>44296.514600000002</v>
      </c>
      <c r="D100" s="4">
        <v>45618</v>
      </c>
      <c r="E100" s="3">
        <v>2470.4166184915398</v>
      </c>
      <c r="G100" s="1">
        <v>45616</v>
      </c>
      <c r="H100" s="3">
        <v>246.749919577951</v>
      </c>
      <c r="J100" s="1">
        <v>45623</v>
      </c>
      <c r="K100" s="3">
        <v>533.44038199469605</v>
      </c>
      <c r="M100" s="4">
        <v>45618</v>
      </c>
      <c r="N100" s="3">
        <v>19003.651000000002</v>
      </c>
      <c r="P100">
        <v>85</v>
      </c>
      <c r="Q100">
        <f>(B419-B423)/B423</f>
        <v>-2.2855479161910337E-2</v>
      </c>
      <c r="R100">
        <f>(E410-E414)/E414</f>
        <v>-4.5458057228980574E-2</v>
      </c>
      <c r="S100">
        <f>(H408-H412)/H412</f>
        <v>-1.7853155114737958E-2</v>
      </c>
      <c r="T100" s="10">
        <f>(K428-K432)/K432</f>
        <v>-2.8330042170805349E-2</v>
      </c>
      <c r="U100" s="10">
        <f>(N419-N423)/N423</f>
        <v>-3.6085223077397859E-2</v>
      </c>
    </row>
    <row r="101" spans="1:21" x14ac:dyDescent="0.3">
      <c r="A101" s="1">
        <v>45617</v>
      </c>
      <c r="B101" s="2">
        <v>43870.3514</v>
      </c>
      <c r="D101" s="1">
        <v>45617</v>
      </c>
      <c r="E101" s="3">
        <v>2518.5811939454602</v>
      </c>
      <c r="G101" s="1">
        <v>45615</v>
      </c>
      <c r="H101" s="3">
        <v>248.39592628514299</v>
      </c>
      <c r="J101" s="1">
        <v>45622</v>
      </c>
      <c r="K101" s="3">
        <v>530.48812457400402</v>
      </c>
      <c r="M101" s="1">
        <v>45617</v>
      </c>
      <c r="N101" s="3">
        <v>18972.419999999998</v>
      </c>
      <c r="P101">
        <v>86</v>
      </c>
      <c r="Q101">
        <f>(B424-B428)/B428</f>
        <v>-5.4048010194802446E-3</v>
      </c>
      <c r="R101">
        <f>(E415-E419)/E419</f>
        <v>-2.4982562172129245E-2</v>
      </c>
      <c r="S101">
        <f>(H413-H416)/H416</f>
        <v>-8.7896959426756651E-3</v>
      </c>
      <c r="T101" s="10">
        <f>(K433-K437)/K437</f>
        <v>-6.3677066281800929E-3</v>
      </c>
      <c r="U101" s="11">
        <f>(N424-N428)/N428</f>
        <v>-2.3772843127610282E-2</v>
      </c>
    </row>
    <row r="102" spans="1:21" x14ac:dyDescent="0.3">
      <c r="A102" s="1">
        <v>45616</v>
      </c>
      <c r="B102" s="2">
        <v>43408.474699999999</v>
      </c>
      <c r="D102" s="1">
        <v>45616</v>
      </c>
      <c r="E102" s="3">
        <v>2531.63872293955</v>
      </c>
      <c r="G102" s="5">
        <v>45614</v>
      </c>
      <c r="H102" s="3">
        <v>247.144196572889</v>
      </c>
      <c r="J102" s="5">
        <v>45621</v>
      </c>
      <c r="K102" s="3">
        <v>533.91120019309005</v>
      </c>
      <c r="M102" s="1">
        <v>45616</v>
      </c>
      <c r="N102" s="3">
        <v>18966.143</v>
      </c>
      <c r="P102">
        <v>87</v>
      </c>
      <c r="Q102">
        <f>(B429-B433)/B433</f>
        <v>-1.3889712702977692E-2</v>
      </c>
      <c r="R102">
        <f>(E420-E424)/E424</f>
        <v>-2.8549847295164518E-2</v>
      </c>
      <c r="S102">
        <f>(H417-H421)/H421</f>
        <v>-2.5898237918850882E-2</v>
      </c>
      <c r="T102" s="10">
        <f>(K438-K442)/K442</f>
        <v>-2.4105377190609244E-2</v>
      </c>
      <c r="U102" s="10">
        <f>(N429-N433)/N433</f>
        <v>-3.1643192566804555E-2</v>
      </c>
    </row>
    <row r="103" spans="1:21" x14ac:dyDescent="0.3">
      <c r="A103" s="1">
        <v>45615</v>
      </c>
      <c r="B103" s="2">
        <v>43268.940499999997</v>
      </c>
      <c r="D103" s="1">
        <v>45615</v>
      </c>
      <c r="E103" s="3">
        <v>2526.4573242024398</v>
      </c>
      <c r="G103" s="4">
        <v>45611</v>
      </c>
      <c r="H103" s="3">
        <v>250.37521057406201</v>
      </c>
      <c r="J103" s="4">
        <v>45618</v>
      </c>
      <c r="K103" s="3">
        <v>529.67280227506899</v>
      </c>
      <c r="M103" s="1">
        <v>45615</v>
      </c>
      <c r="N103" s="3">
        <v>18987.468000000001</v>
      </c>
      <c r="P103">
        <v>88</v>
      </c>
      <c r="Q103">
        <f>(B434-B438)/B438</f>
        <v>1.3568177366141932E-3</v>
      </c>
      <c r="R103">
        <f>(E425-E429)/E429</f>
        <v>6.9227654020656768E-2</v>
      </c>
      <c r="S103">
        <f>(H422-H426)/H426</f>
        <v>3.8407317367478793E-3</v>
      </c>
      <c r="T103" s="10">
        <f>(K443-K447)/K447</f>
        <v>6.6644938731682656E-3</v>
      </c>
      <c r="U103" s="10">
        <f>(N434-N438)/N438</f>
        <v>1.8336614062613547E-2</v>
      </c>
    </row>
    <row r="104" spans="1:21" x14ac:dyDescent="0.3">
      <c r="A104" s="5">
        <v>45614</v>
      </c>
      <c r="B104" s="2">
        <v>43389.603799999997</v>
      </c>
      <c r="D104" s="5">
        <v>45614</v>
      </c>
      <c r="E104" s="3">
        <v>2515.1099748188499</v>
      </c>
      <c r="G104" s="1">
        <v>45610</v>
      </c>
      <c r="H104" s="3">
        <v>246.62848</v>
      </c>
      <c r="J104" s="1">
        <v>45617</v>
      </c>
      <c r="K104" s="3">
        <v>526.30807255665798</v>
      </c>
      <c r="M104" s="5">
        <v>45614</v>
      </c>
      <c r="N104" s="3">
        <v>18791.806</v>
      </c>
      <c r="P104">
        <v>89</v>
      </c>
      <c r="Q104">
        <f>(B439-B443)/B443</f>
        <v>1.8572477938037506E-2</v>
      </c>
      <c r="R104">
        <f>(E430-E433)/E433</f>
        <v>2.5921208149324048E-3</v>
      </c>
      <c r="S104">
        <f>(H427-H430)/H430</f>
        <v>-2.6730512237343105E-2</v>
      </c>
      <c r="T104" s="10">
        <f>(K448-K452)/K452</f>
        <v>6.2848824987783922E-3</v>
      </c>
      <c r="U104" s="10">
        <f>(N439-N443)/N443</f>
        <v>-1.4892507856118536E-2</v>
      </c>
    </row>
    <row r="105" spans="1:21" x14ac:dyDescent="0.3">
      <c r="A105" s="4">
        <v>45611</v>
      </c>
      <c r="B105" s="2">
        <v>43444.987200000003</v>
      </c>
      <c r="D105" s="4">
        <v>45611</v>
      </c>
      <c r="E105" s="3">
        <v>2495.32311723678</v>
      </c>
      <c r="G105" s="1">
        <v>45609</v>
      </c>
      <c r="H105" s="3">
        <v>249.09398520424</v>
      </c>
      <c r="J105" s="1">
        <v>45616</v>
      </c>
      <c r="K105" s="3">
        <v>527.66473379019703</v>
      </c>
      <c r="M105" s="4">
        <v>45611</v>
      </c>
      <c r="N105" s="3">
        <v>18680.120999999999</v>
      </c>
      <c r="P105">
        <v>90</v>
      </c>
      <c r="Q105">
        <f>(B444-B448)/B448</f>
        <v>1.6633983269776904E-2</v>
      </c>
      <c r="R105">
        <f>(E434-E438)/E438</f>
        <v>5.2427401808646155E-2</v>
      </c>
      <c r="S105">
        <f>(H431-H435)/H435</f>
        <v>2.4974399567113004E-2</v>
      </c>
      <c r="T105" s="10">
        <f>(K453-K457)/K457</f>
        <v>4.8856601305383877E-2</v>
      </c>
      <c r="U105" s="10">
        <f>(N444-N448)/N448</f>
        <v>3.1290241095654564E-2</v>
      </c>
    </row>
    <row r="106" spans="1:21" x14ac:dyDescent="0.3">
      <c r="A106" s="1">
        <v>45610</v>
      </c>
      <c r="B106" s="2">
        <v>43750.856</v>
      </c>
      <c r="D106" s="1">
        <v>45610</v>
      </c>
      <c r="E106" s="3">
        <v>2497.79082917801</v>
      </c>
      <c r="G106" s="1">
        <v>45608</v>
      </c>
      <c r="H106" s="3">
        <v>254.696571798175</v>
      </c>
      <c r="J106" s="1">
        <v>45615</v>
      </c>
      <c r="K106" s="3">
        <v>530.38650618749</v>
      </c>
      <c r="M106" s="1">
        <v>45610</v>
      </c>
      <c r="N106" s="3">
        <v>19107.651000000002</v>
      </c>
      <c r="P106">
        <v>91</v>
      </c>
      <c r="Q106">
        <f>(B449-B452)/B452</f>
        <v>-1.9861246262203681E-2</v>
      </c>
      <c r="R106">
        <f>(E439-E443)/E443</f>
        <v>-4.7919832215339422E-2</v>
      </c>
      <c r="S106">
        <f>(H436-H440)/H440</f>
        <v>-2.2944537199481554E-2</v>
      </c>
      <c r="T106" s="10">
        <f>(K458-K462)/K462</f>
        <v>-2.3932535917632156E-2</v>
      </c>
      <c r="U106" s="10">
        <f>(N449-N452)/N452</f>
        <v>-1.1294750228580791E-2</v>
      </c>
    </row>
    <row r="107" spans="1:21" x14ac:dyDescent="0.3">
      <c r="A107" s="1">
        <v>45609</v>
      </c>
      <c r="B107" s="2">
        <v>43958.190300000002</v>
      </c>
      <c r="D107" s="1">
        <v>45609</v>
      </c>
      <c r="E107" s="3">
        <v>2547.8047965452502</v>
      </c>
      <c r="G107" s="5">
        <v>45607</v>
      </c>
      <c r="H107" s="3">
        <v>257.19419686422498</v>
      </c>
      <c r="J107" s="5">
        <v>45614</v>
      </c>
      <c r="K107" s="3">
        <v>532.95742403205099</v>
      </c>
      <c r="M107" s="1">
        <v>45609</v>
      </c>
      <c r="N107" s="3">
        <v>19230.724999999999</v>
      </c>
      <c r="P107">
        <v>92</v>
      </c>
      <c r="Q107">
        <f>(B453-B457)/B457</f>
        <v>2.0551466593972001E-2</v>
      </c>
      <c r="R107">
        <f>(E444-E448)/E448</f>
        <v>5.7495161810222932E-3</v>
      </c>
      <c r="S107">
        <f>(H441-H445)/H445</f>
        <v>9.2252870697558647E-3</v>
      </c>
      <c r="T107" s="10">
        <f>(K463-K467)/K467</f>
        <v>2.0990507407259197E-2</v>
      </c>
      <c r="U107" s="10">
        <f>(N453-N457)/N457</f>
        <v>3.3904658580849234E-2</v>
      </c>
    </row>
    <row r="108" spans="1:21" x14ac:dyDescent="0.3">
      <c r="A108" s="1">
        <v>45608</v>
      </c>
      <c r="B108" s="2">
        <v>43910.982199999999</v>
      </c>
      <c r="D108" s="1">
        <v>45608</v>
      </c>
      <c r="E108" s="3">
        <v>2551.7016161174602</v>
      </c>
      <c r="G108" s="4">
        <v>45604</v>
      </c>
      <c r="H108" s="3">
        <v>258.79820480902401</v>
      </c>
      <c r="J108" s="4">
        <v>45611</v>
      </c>
      <c r="K108" s="3">
        <v>530.33688915124196</v>
      </c>
      <c r="M108" s="1">
        <v>45608</v>
      </c>
      <c r="N108" s="3">
        <v>19281.401000000002</v>
      </c>
      <c r="P108">
        <v>93</v>
      </c>
      <c r="Q108">
        <f>(B458-B461)/B461</f>
        <v>-9.5860019590075889E-3</v>
      </c>
      <c r="R108">
        <f>(E449-E452)/E452</f>
        <v>-5.298112081992086E-2</v>
      </c>
      <c r="S108">
        <f>(H446-H450)/H450</f>
        <v>-2.9269820895077962E-2</v>
      </c>
      <c r="T108" s="10">
        <f>(K468-K472)/K472</f>
        <v>-2.2231226955709268E-2</v>
      </c>
      <c r="U108" s="10">
        <f>(N458-N461)/N461</f>
        <v>-1.2788047143787224E-2</v>
      </c>
    </row>
    <row r="109" spans="1:21" x14ac:dyDescent="0.3">
      <c r="A109" s="5">
        <v>45607</v>
      </c>
      <c r="B109" s="2">
        <v>44293.133800000003</v>
      </c>
      <c r="D109" s="5">
        <v>45607</v>
      </c>
      <c r="E109" s="3">
        <v>2627.0551468696999</v>
      </c>
      <c r="G109" s="1">
        <v>45603</v>
      </c>
      <c r="H109" s="3">
        <v>257.51265284771199</v>
      </c>
      <c r="J109" s="1">
        <v>45610</v>
      </c>
      <c r="K109" s="3">
        <v>533.90124990786103</v>
      </c>
      <c r="M109" s="5">
        <v>45607</v>
      </c>
      <c r="N109" s="3">
        <v>19298.762999999999</v>
      </c>
      <c r="P109">
        <v>94</v>
      </c>
      <c r="Q109">
        <f>(B462-B466)/B466</f>
        <v>6.833307216637041E-3</v>
      </c>
      <c r="R109">
        <f>(E453-E457)/E457</f>
        <v>3.4800048227463375E-2</v>
      </c>
      <c r="S109">
        <f>(H451-H455)/H455</f>
        <v>2.2952980626132387E-2</v>
      </c>
      <c r="T109" s="10">
        <f>(K473-K477)/K477</f>
        <v>2.9757109376133482E-2</v>
      </c>
      <c r="U109" s="10">
        <f>(N462-N466)/N466</f>
        <v>1.6910662304436316E-2</v>
      </c>
    </row>
    <row r="110" spans="1:21" x14ac:dyDescent="0.3">
      <c r="A110" s="4">
        <v>45604</v>
      </c>
      <c r="B110" s="2">
        <v>43988.986199999999</v>
      </c>
      <c r="D110" s="4">
        <v>45604</v>
      </c>
      <c r="E110" s="3">
        <v>2666.1766029969699</v>
      </c>
      <c r="G110" s="1">
        <v>45602</v>
      </c>
      <c r="H110" s="3">
        <v>255.323481859906</v>
      </c>
      <c r="J110" s="1">
        <v>45609</v>
      </c>
      <c r="K110" s="3">
        <v>529.82993556564998</v>
      </c>
      <c r="M110" s="4">
        <v>45604</v>
      </c>
      <c r="N110" s="3">
        <v>19286.776999999998</v>
      </c>
      <c r="P110">
        <v>95</v>
      </c>
      <c r="Q110">
        <f>(B467-B471)/B471</f>
        <v>9.3531356454438063E-3</v>
      </c>
      <c r="R110">
        <f>(E458-E462)/E462</f>
        <v>1.4625487651323493E-2</v>
      </c>
      <c r="S110">
        <f>(H456-H460)/H460</f>
        <v>2.9192715027022854E-3</v>
      </c>
      <c r="T110" s="10">
        <f>(K478-K482)/K482</f>
        <v>3.4416036208257438E-3</v>
      </c>
      <c r="U110" s="10">
        <f>(N467-N471)/N471</f>
        <v>2.2460530987391779E-3</v>
      </c>
    </row>
    <row r="111" spans="1:21" x14ac:dyDescent="0.3">
      <c r="A111" s="1">
        <v>45603</v>
      </c>
      <c r="B111" s="2">
        <v>43729.341899999999</v>
      </c>
      <c r="D111" s="1">
        <v>45603</v>
      </c>
      <c r="E111" s="3">
        <v>2696.48933158314</v>
      </c>
      <c r="G111" s="5">
        <v>45601</v>
      </c>
      <c r="H111" s="3">
        <v>253.792216358855</v>
      </c>
      <c r="J111" s="1">
        <v>45608</v>
      </c>
      <c r="K111" s="3">
        <v>533.52100706432395</v>
      </c>
      <c r="M111" s="1">
        <v>45603</v>
      </c>
      <c r="N111" s="3">
        <v>19269.458999999999</v>
      </c>
      <c r="P111">
        <v>96</v>
      </c>
      <c r="Q111">
        <f>(B472-B475)/B475</f>
        <v>2.1789168261056702E-2</v>
      </c>
      <c r="R111">
        <f>(E463-E467)/E467</f>
        <v>2.0247769014320988E-2</v>
      </c>
      <c r="S111">
        <f>(H461-H465)/H465</f>
        <v>1.2912874174551892E-2</v>
      </c>
      <c r="T111" s="10">
        <f>(K483-K487)/K487</f>
        <v>2.8632413472283822E-3</v>
      </c>
      <c r="U111" s="10">
        <f>(N472-N475)/N475</f>
        <v>1.7157001699107041E-2</v>
      </c>
    </row>
    <row r="112" spans="1:21" x14ac:dyDescent="0.3">
      <c r="A112" s="1">
        <v>45602</v>
      </c>
      <c r="B112" s="2">
        <v>43729.933199999999</v>
      </c>
      <c r="D112" s="1">
        <v>45602</v>
      </c>
      <c r="E112" s="3">
        <v>2641.28653917875</v>
      </c>
      <c r="G112" s="4">
        <v>45597</v>
      </c>
      <c r="H112" s="3">
        <v>248.74931363578699</v>
      </c>
      <c r="J112" s="5">
        <v>45607</v>
      </c>
      <c r="K112" s="3">
        <v>545.88167609550101</v>
      </c>
      <c r="M112" s="1">
        <v>45602</v>
      </c>
      <c r="N112" s="3">
        <v>18983.465</v>
      </c>
      <c r="P112">
        <v>97</v>
      </c>
      <c r="Q112">
        <f>(B476-B480)/B480</f>
        <v>-5.8053791123947934E-3</v>
      </c>
      <c r="R112">
        <f>(E468-E471)/E471</f>
        <v>-4.8126554551845883E-2</v>
      </c>
      <c r="S112">
        <f>(H466-H470)/H470</f>
        <v>-1.9771125127985987E-2</v>
      </c>
      <c r="T112" s="10">
        <f>(K488-K492)/K492</f>
        <v>-2.391943087818316E-2</v>
      </c>
      <c r="U112" s="10">
        <f>(N476-N480)/N480</f>
        <v>2.0039029065522438E-2</v>
      </c>
    </row>
    <row r="113" spans="1:21" x14ac:dyDescent="0.3">
      <c r="A113" s="1">
        <v>45601</v>
      </c>
      <c r="B113" s="2">
        <v>42221.882100000003</v>
      </c>
      <c r="D113" s="1">
        <v>45601</v>
      </c>
      <c r="E113" s="3">
        <v>2702.6605941307398</v>
      </c>
      <c r="G113" s="1">
        <v>45596</v>
      </c>
      <c r="H113" s="3">
        <v>257.06275077285699</v>
      </c>
      <c r="J113" s="4">
        <v>45604</v>
      </c>
      <c r="K113" s="3">
        <v>543.00596992529802</v>
      </c>
      <c r="M113" s="1">
        <v>45601</v>
      </c>
      <c r="N113" s="3">
        <v>18439.170999999998</v>
      </c>
      <c r="P113">
        <v>98</v>
      </c>
      <c r="Q113">
        <f>(B481-B485)/B485</f>
        <v>2.3399695606976258E-3</v>
      </c>
      <c r="R113">
        <f>(E472-E476)/E476</f>
        <v>-2.3161967357259193E-2</v>
      </c>
      <c r="S113">
        <f>(H471-H475)/H475</f>
        <v>2.6026944720332422E-2</v>
      </c>
      <c r="T113" s="10">
        <f>(K493-K497)/K497</f>
        <v>-1.7967025709129073E-3</v>
      </c>
      <c r="U113" s="10">
        <f>(N481-N485)/N485</f>
        <v>2.3670283292421511E-2</v>
      </c>
    </row>
    <row r="114" spans="1:21" x14ac:dyDescent="0.3">
      <c r="A114" s="5">
        <v>45600</v>
      </c>
      <c r="B114" s="2">
        <v>41794.595500000003</v>
      </c>
      <c r="D114" s="5">
        <v>45600</v>
      </c>
      <c r="E114" s="3">
        <v>2646.3272474620799</v>
      </c>
      <c r="G114" s="1">
        <v>45595</v>
      </c>
      <c r="H114" s="3">
        <v>256.028876865933</v>
      </c>
      <c r="J114" s="1">
        <v>45603</v>
      </c>
      <c r="K114" s="3">
        <v>550.91942349662099</v>
      </c>
      <c r="M114" s="5">
        <v>45600</v>
      </c>
      <c r="N114" s="3">
        <v>18179.984</v>
      </c>
      <c r="P114">
        <v>99</v>
      </c>
      <c r="Q114">
        <f>(B486-B490)/B490</f>
        <v>-9.461113466431614E-3</v>
      </c>
      <c r="R114">
        <f>(E477-E481)/E481</f>
        <v>-3.2185570645922354E-2</v>
      </c>
      <c r="S114">
        <f>(H476-H480)/H480</f>
        <v>1.0431549617667358E-2</v>
      </c>
      <c r="T114" s="10">
        <f>(K498-K502)/K502</f>
        <v>-1.7239614962091289E-2</v>
      </c>
      <c r="U114" s="10">
        <f>(N486-N490)/N490</f>
        <v>2.2702283127152556E-3</v>
      </c>
    </row>
    <row r="115" spans="1:21" x14ac:dyDescent="0.3">
      <c r="A115" s="4">
        <v>45597</v>
      </c>
      <c r="B115" s="2">
        <v>42052.189400000003</v>
      </c>
      <c r="D115" s="4">
        <v>45597</v>
      </c>
      <c r="E115" s="3">
        <v>2636.838586069</v>
      </c>
      <c r="G115" s="1">
        <v>45594</v>
      </c>
      <c r="H115" s="3">
        <v>253.69207694815799</v>
      </c>
      <c r="J115" s="1">
        <v>45602</v>
      </c>
      <c r="K115" s="3">
        <v>543.67369708413105</v>
      </c>
      <c r="M115" s="4">
        <v>45597</v>
      </c>
      <c r="N115" s="3">
        <v>18239.917000000001</v>
      </c>
      <c r="P115">
        <v>100</v>
      </c>
      <c r="Q115">
        <f>(B491-B495)/B495</f>
        <v>-1.1080830455016361E-2</v>
      </c>
      <c r="R115">
        <f>(E482-E485)/E485</f>
        <v>6.088964749170268E-3</v>
      </c>
      <c r="S115">
        <f>(H481-H482)/H482</f>
        <v>8.1603793669196428E-3</v>
      </c>
      <c r="T115" s="10">
        <f>(K503-K507)/K507</f>
        <v>4.2585929485726632E-4</v>
      </c>
      <c r="U115" s="10">
        <f>(N491-N495)/N495</f>
        <v>1.8681528696842808E-3</v>
      </c>
    </row>
    <row r="116" spans="1:21" x14ac:dyDescent="0.3">
      <c r="A116" s="1">
        <v>45596</v>
      </c>
      <c r="B116" s="2">
        <v>41763.455600000001</v>
      </c>
      <c r="D116" s="1">
        <v>45596</v>
      </c>
      <c r="E116" s="3">
        <v>2613.8674111335599</v>
      </c>
      <c r="G116" s="5">
        <v>45593</v>
      </c>
      <c r="H116" s="3">
        <v>251.862800104396</v>
      </c>
      <c r="J116" s="1">
        <v>45601</v>
      </c>
      <c r="K116" s="3">
        <v>556.91816681422097</v>
      </c>
      <c r="M116" s="1">
        <v>45596</v>
      </c>
      <c r="N116" s="3">
        <v>18095.151000000002</v>
      </c>
      <c r="P116">
        <v>101</v>
      </c>
      <c r="Q116">
        <f>(B496-B500)/B500</f>
        <v>6.5760943817518864E-3</v>
      </c>
      <c r="R116">
        <f>(E486-E490)/E490</f>
        <v>-3.3258517121932097E-3</v>
      </c>
      <c r="S116">
        <f>(H483-H487)/H487</f>
        <v>-6.0598398326930656E-3</v>
      </c>
      <c r="T116" s="10">
        <f>(K508-K512)/K512</f>
        <v>-6.854359793225101E-3</v>
      </c>
      <c r="U116" s="10">
        <f>(N496-N500)/N500</f>
        <v>1.5732889465028675E-2</v>
      </c>
    </row>
    <row r="117" spans="1:21" x14ac:dyDescent="0.3">
      <c r="A117" s="1">
        <v>45595</v>
      </c>
      <c r="B117" s="2">
        <v>42141.535900000003</v>
      </c>
      <c r="D117" s="1">
        <v>45595</v>
      </c>
      <c r="E117" s="3">
        <v>2622.3497471660799</v>
      </c>
      <c r="G117" s="4">
        <v>45590</v>
      </c>
      <c r="H117" s="3">
        <v>248.94235062375901</v>
      </c>
      <c r="J117" s="5">
        <v>45600</v>
      </c>
      <c r="K117" s="3">
        <v>553.86840988938002</v>
      </c>
      <c r="M117" s="1">
        <v>45595</v>
      </c>
      <c r="N117" s="3">
        <v>18607.931</v>
      </c>
      <c r="P117">
        <v>102</v>
      </c>
      <c r="Q117">
        <f>(B501-B505)/B505</f>
        <v>-5.24357493528911E-3</v>
      </c>
      <c r="R117">
        <f>(E491-E495)/E495</f>
        <v>-3.3796352434438383E-2</v>
      </c>
      <c r="S117">
        <f>(H488-H492)/H492</f>
        <v>4.05396296563922E-3</v>
      </c>
      <c r="T117" s="10">
        <f>(K513-K517)/K517</f>
        <v>1.0234051991784687E-2</v>
      </c>
      <c r="U117" s="10">
        <f>(N501-N505)/N505</f>
        <v>-7.0134837737721323E-3</v>
      </c>
    </row>
    <row r="118" spans="1:21" x14ac:dyDescent="0.3">
      <c r="A118" s="1">
        <v>45594</v>
      </c>
      <c r="B118" s="2">
        <v>42233.0504</v>
      </c>
      <c r="D118" s="1">
        <v>45594</v>
      </c>
      <c r="E118" s="3">
        <v>2663.8965384120402</v>
      </c>
      <c r="G118" s="1">
        <v>45589</v>
      </c>
      <c r="H118" s="3">
        <v>251.24021868000699</v>
      </c>
      <c r="J118" s="4">
        <v>45597</v>
      </c>
      <c r="K118" s="3">
        <v>553.50913306320604</v>
      </c>
      <c r="M118" s="1">
        <v>45594</v>
      </c>
      <c r="N118" s="3">
        <v>18712.748</v>
      </c>
      <c r="P118">
        <v>103</v>
      </c>
      <c r="Q118">
        <f>(B506-B510)/B510</f>
        <v>8.9305345087123018E-3</v>
      </c>
      <c r="R118">
        <f>(E496-E499)/E499</f>
        <v>-2.1648119525921098E-3</v>
      </c>
      <c r="S118">
        <f>(H493-H497)/H497</f>
        <v>2.9804210351162888E-2</v>
      </c>
      <c r="T118" s="10">
        <f>(K518-K521)/K521</f>
        <v>1.9428769250111857E-2</v>
      </c>
      <c r="U118" s="10">
        <f>(N506-N510)/N510</f>
        <v>3.2364160106187366E-3</v>
      </c>
    </row>
    <row r="119" spans="1:21" x14ac:dyDescent="0.3">
      <c r="A119" s="5">
        <v>45593</v>
      </c>
      <c r="B119" s="2">
        <v>42387.5674</v>
      </c>
      <c r="D119" s="5">
        <v>45593</v>
      </c>
      <c r="E119" s="3">
        <v>2650.66268625987</v>
      </c>
      <c r="G119" s="1">
        <v>45588</v>
      </c>
      <c r="H119" s="3">
        <v>249.45898527004201</v>
      </c>
      <c r="J119" s="1">
        <v>45596</v>
      </c>
      <c r="K119" s="3">
        <v>550.018501186251</v>
      </c>
      <c r="M119" s="5">
        <v>45593</v>
      </c>
      <c r="N119" s="3">
        <v>18567.188999999998</v>
      </c>
      <c r="P119">
        <v>104</v>
      </c>
      <c r="Q119">
        <f>(B511-B514)/B514</f>
        <v>-3.4482625004589088E-3</v>
      </c>
      <c r="R119">
        <f>(E500-E502)/E502</f>
        <v>-3.820829646268334E-3</v>
      </c>
      <c r="S119">
        <f>(H498-H502)/H502</f>
        <v>-2.1694409120801027E-2</v>
      </c>
      <c r="T119" s="10">
        <f>(K522-K525)/K525</f>
        <v>4.9646995115798986E-3</v>
      </c>
      <c r="U119" s="10">
        <f>(N511-N514)/N514</f>
        <v>-8.3265426266461006E-3</v>
      </c>
    </row>
    <row r="120" spans="1:21" x14ac:dyDescent="0.3">
      <c r="A120" s="4">
        <v>45590</v>
      </c>
      <c r="B120" s="2">
        <v>42114.4035</v>
      </c>
      <c r="D120" s="4">
        <v>45590</v>
      </c>
      <c r="E120" s="3">
        <v>2649.9208504395001</v>
      </c>
      <c r="G120" s="1">
        <v>45587</v>
      </c>
      <c r="H120" s="3">
        <v>254.28280153579701</v>
      </c>
      <c r="J120" s="1">
        <v>45595</v>
      </c>
      <c r="K120" s="3">
        <v>555.24678961822997</v>
      </c>
      <c r="M120" s="4">
        <v>45590</v>
      </c>
      <c r="N120" s="3">
        <v>18518.606</v>
      </c>
    </row>
    <row r="121" spans="1:21" x14ac:dyDescent="0.3">
      <c r="A121" s="1">
        <v>45589</v>
      </c>
      <c r="B121" s="2">
        <v>42374.362500000003</v>
      </c>
      <c r="D121" s="1">
        <v>45589</v>
      </c>
      <c r="E121" s="3">
        <v>2636.9827930142401</v>
      </c>
      <c r="G121" s="5">
        <v>45586</v>
      </c>
      <c r="H121" s="3">
        <v>258.26824902208699</v>
      </c>
      <c r="J121" s="1">
        <v>45594</v>
      </c>
      <c r="K121" s="3">
        <v>560.358723049795</v>
      </c>
      <c r="M121" s="1">
        <v>45589</v>
      </c>
      <c r="N121" s="3">
        <v>18415.486000000001</v>
      </c>
    </row>
    <row r="122" spans="1:21" x14ac:dyDescent="0.3">
      <c r="A122" s="1">
        <v>45588</v>
      </c>
      <c r="B122" s="2">
        <v>42514.9519</v>
      </c>
      <c r="D122" s="1">
        <v>45588</v>
      </c>
      <c r="E122" s="3">
        <v>2672.3154751177899</v>
      </c>
      <c r="G122" s="4">
        <v>45583</v>
      </c>
      <c r="H122" s="3">
        <v>260.71261369715302</v>
      </c>
      <c r="J122" s="5">
        <v>45593</v>
      </c>
      <c r="K122" s="3">
        <v>563.25008108984696</v>
      </c>
      <c r="M122" s="1">
        <v>45588</v>
      </c>
      <c r="N122" s="3">
        <v>18276.653999999999</v>
      </c>
    </row>
    <row r="123" spans="1:21" x14ac:dyDescent="0.3">
      <c r="A123" s="1">
        <v>45587</v>
      </c>
      <c r="B123" s="2">
        <v>42924.894699999997</v>
      </c>
      <c r="D123" s="1">
        <v>45587</v>
      </c>
      <c r="E123" s="3">
        <v>2637.5046641190902</v>
      </c>
      <c r="G123" s="1">
        <v>45582</v>
      </c>
      <c r="H123" s="3">
        <v>259.06251664446597</v>
      </c>
      <c r="J123" s="4">
        <v>45590</v>
      </c>
      <c r="K123" s="3">
        <v>559.94948895340497</v>
      </c>
      <c r="M123" s="1">
        <v>45587</v>
      </c>
      <c r="N123" s="3">
        <v>18573.129000000001</v>
      </c>
    </row>
    <row r="124" spans="1:21" x14ac:dyDescent="0.3">
      <c r="A124" s="5">
        <v>45586</v>
      </c>
      <c r="B124" s="2">
        <v>42931.595699999998</v>
      </c>
      <c r="D124" s="5">
        <v>45586</v>
      </c>
      <c r="E124" s="3">
        <v>2634.5971259118301</v>
      </c>
      <c r="G124" s="1">
        <v>45581</v>
      </c>
      <c r="H124" s="3">
        <v>261.86539232722299</v>
      </c>
      <c r="J124" s="1">
        <v>45589</v>
      </c>
      <c r="K124" s="3">
        <v>561.89775015699297</v>
      </c>
      <c r="M124" s="5">
        <v>45586</v>
      </c>
      <c r="N124" s="3">
        <v>18540.005000000001</v>
      </c>
    </row>
    <row r="125" spans="1:21" x14ac:dyDescent="0.3">
      <c r="A125" s="4">
        <v>45583</v>
      </c>
      <c r="B125" s="2">
        <v>43275.908300000003</v>
      </c>
      <c r="D125" s="4">
        <v>45583</v>
      </c>
      <c r="E125" s="3">
        <v>2677.4916344916401</v>
      </c>
      <c r="G125" s="5">
        <v>45580</v>
      </c>
      <c r="H125" s="3">
        <v>267.51491386821601</v>
      </c>
      <c r="J125" s="1">
        <v>45588</v>
      </c>
      <c r="K125" s="3">
        <v>559.36004139894101</v>
      </c>
      <c r="M125" s="4">
        <v>45583</v>
      </c>
      <c r="N125" s="3">
        <v>18489.553</v>
      </c>
    </row>
    <row r="126" spans="1:21" x14ac:dyDescent="0.3">
      <c r="A126" s="1">
        <v>45582</v>
      </c>
      <c r="B126" s="2">
        <v>43239.052900000002</v>
      </c>
      <c r="D126" s="1">
        <v>45582</v>
      </c>
      <c r="E126" s="3">
        <v>2582.9860039106702</v>
      </c>
      <c r="G126" s="4">
        <v>45576</v>
      </c>
      <c r="H126" s="3">
        <v>265.57902501173402</v>
      </c>
      <c r="J126" s="1">
        <v>45587</v>
      </c>
      <c r="K126" s="3">
        <v>561.87782072599202</v>
      </c>
      <c r="M126" s="1">
        <v>45582</v>
      </c>
      <c r="N126" s="3">
        <v>18373.609</v>
      </c>
    </row>
    <row r="127" spans="1:21" x14ac:dyDescent="0.3">
      <c r="A127" s="1">
        <v>45581</v>
      </c>
      <c r="B127" s="2">
        <v>43077.703600000001</v>
      </c>
      <c r="D127" s="1">
        <v>45581</v>
      </c>
      <c r="E127" s="3">
        <v>2610.7522038478901</v>
      </c>
      <c r="G127" s="1">
        <v>45575</v>
      </c>
      <c r="H127" s="3">
        <v>265.08407377492102</v>
      </c>
      <c r="J127" s="5">
        <v>45586</v>
      </c>
      <c r="K127" s="3">
        <v>564.02491780584796</v>
      </c>
      <c r="M127" s="1">
        <v>45581</v>
      </c>
      <c r="N127" s="3">
        <v>18367.079000000002</v>
      </c>
    </row>
    <row r="128" spans="1:21" x14ac:dyDescent="0.3">
      <c r="A128" s="1">
        <v>45580</v>
      </c>
      <c r="B128" s="2">
        <v>42740.420400000003</v>
      </c>
      <c r="D128" s="1">
        <v>45580</v>
      </c>
      <c r="E128" s="3">
        <v>2615.9735812132999</v>
      </c>
      <c r="G128" s="1">
        <v>45574</v>
      </c>
      <c r="H128" s="3">
        <v>263.09839908901398</v>
      </c>
      <c r="J128" s="4">
        <v>45583</v>
      </c>
      <c r="K128" s="3">
        <v>570.45528631967602</v>
      </c>
      <c r="M128" s="1">
        <v>45580</v>
      </c>
      <c r="N128" s="3">
        <v>18315.587</v>
      </c>
    </row>
    <row r="129" spans="1:14" x14ac:dyDescent="0.3">
      <c r="A129" s="5">
        <v>45579</v>
      </c>
      <c r="B129" s="2">
        <v>43065.221299999997</v>
      </c>
      <c r="D129" s="5">
        <v>45579</v>
      </c>
      <c r="E129" s="3">
        <v>2716.7879545074002</v>
      </c>
      <c r="G129" s="1">
        <v>45573</v>
      </c>
      <c r="H129" s="3">
        <v>262.75416694783502</v>
      </c>
      <c r="J129" s="1">
        <v>45582</v>
      </c>
      <c r="K129" s="3">
        <v>567.44432891430495</v>
      </c>
      <c r="M129" s="5">
        <v>45579</v>
      </c>
      <c r="N129" s="3">
        <v>18502.685000000001</v>
      </c>
    </row>
    <row r="130" spans="1:14" x14ac:dyDescent="0.3">
      <c r="A130" s="4">
        <v>45576</v>
      </c>
      <c r="B130" s="2">
        <v>42863.8632</v>
      </c>
      <c r="D130" s="4">
        <v>45575</v>
      </c>
      <c r="E130" s="3">
        <v>2735.2029653272998</v>
      </c>
      <c r="G130" s="5">
        <v>45572</v>
      </c>
      <c r="H130" s="3">
        <v>265.43892563100201</v>
      </c>
      <c r="J130" s="1">
        <v>45581</v>
      </c>
      <c r="K130" s="3">
        <v>564.334821283113</v>
      </c>
      <c r="M130" s="4">
        <v>45576</v>
      </c>
      <c r="N130" s="3">
        <v>18342.937000000002</v>
      </c>
    </row>
    <row r="131" spans="1:14" x14ac:dyDescent="0.3">
      <c r="A131" s="1">
        <v>45575</v>
      </c>
      <c r="B131" s="2">
        <v>42454.117400000003</v>
      </c>
      <c r="D131" s="1">
        <v>45574</v>
      </c>
      <c r="E131" s="3">
        <v>2655.7420085447998</v>
      </c>
      <c r="G131" s="4">
        <v>45569</v>
      </c>
      <c r="H131" s="3">
        <v>259.80512406699302</v>
      </c>
      <c r="J131" s="1">
        <v>45580</v>
      </c>
      <c r="K131" s="3">
        <v>566.90298060483099</v>
      </c>
      <c r="M131" s="1">
        <v>45575</v>
      </c>
      <c r="N131" s="3">
        <v>18282.048999999999</v>
      </c>
    </row>
    <row r="132" spans="1:14" x14ac:dyDescent="0.3">
      <c r="A132" s="1">
        <v>45574</v>
      </c>
      <c r="B132" s="2">
        <v>42511.995499999997</v>
      </c>
      <c r="D132" s="1">
        <v>45573</v>
      </c>
      <c r="E132" s="3">
        <v>2691.61779081134</v>
      </c>
      <c r="G132" s="1">
        <v>45568</v>
      </c>
      <c r="H132" s="3">
        <v>262.40171521918302</v>
      </c>
      <c r="J132" s="5">
        <v>45579</v>
      </c>
      <c r="K132" s="3">
        <v>572.46337286046401</v>
      </c>
      <c r="M132" s="1">
        <v>45574</v>
      </c>
      <c r="N132" s="3">
        <v>18291.616999999998</v>
      </c>
    </row>
    <row r="133" spans="1:14" x14ac:dyDescent="0.3">
      <c r="A133" s="1">
        <v>45573</v>
      </c>
      <c r="B133" s="2">
        <v>42080.373</v>
      </c>
      <c r="D133" s="5">
        <v>45572</v>
      </c>
      <c r="E133" s="3">
        <v>2974.5908289014601</v>
      </c>
      <c r="G133" s="1">
        <v>45567</v>
      </c>
      <c r="H133" s="3">
        <v>258.15075788612103</v>
      </c>
      <c r="J133" s="4">
        <v>45576</v>
      </c>
      <c r="K133" s="3">
        <v>570.88797261382797</v>
      </c>
      <c r="M133" s="1">
        <v>45573</v>
      </c>
      <c r="N133" s="3">
        <v>18182.916000000001</v>
      </c>
    </row>
    <row r="134" spans="1:14" x14ac:dyDescent="0.3">
      <c r="A134" s="5">
        <v>45572</v>
      </c>
      <c r="B134" s="2">
        <v>41954.236700000001</v>
      </c>
      <c r="D134" s="4">
        <v>45569</v>
      </c>
      <c r="E134" s="3">
        <v>2927.6699029126098</v>
      </c>
      <c r="G134" s="1">
        <v>45566</v>
      </c>
      <c r="H134" s="3">
        <v>269.23913346335399</v>
      </c>
      <c r="J134" s="1">
        <v>45575</v>
      </c>
      <c r="K134" s="3">
        <v>567.64972826384201</v>
      </c>
      <c r="M134" s="5">
        <v>45572</v>
      </c>
      <c r="N134" s="3">
        <v>17923.903999999999</v>
      </c>
    </row>
    <row r="135" spans="1:14" x14ac:dyDescent="0.3">
      <c r="A135" s="4">
        <v>45569</v>
      </c>
      <c r="B135" s="2">
        <v>42352.748500000002</v>
      </c>
      <c r="D135" s="1">
        <v>45568</v>
      </c>
      <c r="E135" s="3">
        <v>2848.28434529484</v>
      </c>
      <c r="G135" s="5">
        <v>45565</v>
      </c>
      <c r="H135" s="3">
        <v>264.02694610779901</v>
      </c>
      <c r="J135" s="1">
        <v>45574</v>
      </c>
      <c r="K135" s="3">
        <v>568.88290889997097</v>
      </c>
      <c r="M135" s="4">
        <v>45569</v>
      </c>
      <c r="N135" s="3">
        <v>18137.848999999998</v>
      </c>
    </row>
    <row r="136" spans="1:14" x14ac:dyDescent="0.3">
      <c r="A136" s="1">
        <v>45568</v>
      </c>
      <c r="B136" s="2">
        <v>42011.5893</v>
      </c>
      <c r="D136" s="1">
        <v>45567</v>
      </c>
      <c r="E136" s="3">
        <v>2891.26452477262</v>
      </c>
      <c r="G136" s="4">
        <v>45562</v>
      </c>
      <c r="H136" s="3">
        <v>280.115057317675</v>
      </c>
      <c r="J136" s="1">
        <v>45573</v>
      </c>
      <c r="K136" s="3">
        <v>567.26873455942905</v>
      </c>
      <c r="M136" s="1">
        <v>45568</v>
      </c>
      <c r="N136" s="3">
        <v>17918.475999999999</v>
      </c>
    </row>
    <row r="137" spans="1:14" x14ac:dyDescent="0.3">
      <c r="A137" s="1">
        <v>45567</v>
      </c>
      <c r="B137" s="2">
        <v>42196.523500000003</v>
      </c>
      <c r="D137" s="5">
        <v>45565</v>
      </c>
      <c r="E137" s="3">
        <v>2718.9625226755202</v>
      </c>
      <c r="G137" s="1">
        <v>45561</v>
      </c>
      <c r="H137" s="3">
        <v>268.82341160219801</v>
      </c>
      <c r="J137" s="5">
        <v>45572</v>
      </c>
      <c r="K137" s="3">
        <v>570.08033009964504</v>
      </c>
      <c r="M137" s="1">
        <v>45567</v>
      </c>
      <c r="N137" s="3">
        <v>17925.123</v>
      </c>
    </row>
    <row r="138" spans="1:14" x14ac:dyDescent="0.3">
      <c r="A138" s="1">
        <v>45566</v>
      </c>
      <c r="B138" s="2">
        <v>42156.974499999997</v>
      </c>
      <c r="D138" s="4">
        <v>45562</v>
      </c>
      <c r="E138" s="3">
        <v>2654.66218911234</v>
      </c>
      <c r="G138" s="1">
        <v>45560</v>
      </c>
      <c r="H138" s="3">
        <v>261.62528497408999</v>
      </c>
      <c r="J138" s="4">
        <v>45569</v>
      </c>
      <c r="K138" s="3">
        <v>569.17065460772005</v>
      </c>
      <c r="M138" s="1">
        <v>45566</v>
      </c>
      <c r="N138" s="3">
        <v>17910.359</v>
      </c>
    </row>
    <row r="139" spans="1:14" x14ac:dyDescent="0.3">
      <c r="A139" s="5">
        <v>45565</v>
      </c>
      <c r="B139" s="2">
        <v>42330.149100000002</v>
      </c>
      <c r="D139" s="1">
        <v>45561</v>
      </c>
      <c r="E139" s="3">
        <v>2561.3621463189002</v>
      </c>
      <c r="G139" s="5">
        <v>45559</v>
      </c>
      <c r="H139" s="3">
        <v>264.92975350882</v>
      </c>
      <c r="J139" s="1">
        <v>45568</v>
      </c>
      <c r="K139" s="3">
        <v>569.51706488406501</v>
      </c>
      <c r="M139" s="5">
        <v>45565</v>
      </c>
      <c r="N139" s="3">
        <v>18189.169999999998</v>
      </c>
    </row>
    <row r="140" spans="1:14" x14ac:dyDescent="0.3">
      <c r="A140" s="4">
        <v>45562</v>
      </c>
      <c r="B140" s="2">
        <v>42313.002399999998</v>
      </c>
      <c r="D140" s="1">
        <v>45560</v>
      </c>
      <c r="E140" s="3">
        <v>2457.3318774487898</v>
      </c>
      <c r="G140" s="4">
        <v>45555</v>
      </c>
      <c r="H140" s="3">
        <v>262.13543186712701</v>
      </c>
      <c r="J140" s="1">
        <v>45567</v>
      </c>
      <c r="K140" s="3">
        <v>575.59725643092895</v>
      </c>
      <c r="M140" s="4">
        <v>45562</v>
      </c>
      <c r="N140" s="3">
        <v>18119.59</v>
      </c>
    </row>
    <row r="141" spans="1:14" x14ac:dyDescent="0.3">
      <c r="A141" s="1">
        <v>45561</v>
      </c>
      <c r="B141" s="2">
        <v>42175.106599999999</v>
      </c>
      <c r="D141" s="1">
        <v>45559</v>
      </c>
      <c r="E141" s="3">
        <v>2440.8195773652901</v>
      </c>
      <c r="G141" s="1">
        <v>45554</v>
      </c>
      <c r="H141" s="3">
        <v>260.51977282287402</v>
      </c>
      <c r="J141" s="1">
        <v>45566</v>
      </c>
      <c r="K141" s="3">
        <v>576.45613607941903</v>
      </c>
      <c r="M141" s="1">
        <v>45561</v>
      </c>
      <c r="N141" s="3">
        <v>18190.291000000001</v>
      </c>
    </row>
    <row r="142" spans="1:14" x14ac:dyDescent="0.3">
      <c r="A142" s="1">
        <v>45560</v>
      </c>
      <c r="B142" s="2">
        <v>41914.753400000001</v>
      </c>
      <c r="D142" s="5">
        <v>45558</v>
      </c>
      <c r="E142" s="3">
        <v>2343.6397030491298</v>
      </c>
      <c r="G142" s="1">
        <v>45553</v>
      </c>
      <c r="H142" s="3">
        <v>255.712167006383</v>
      </c>
      <c r="J142" s="5">
        <v>45565</v>
      </c>
      <c r="K142" s="3">
        <v>582.18560374102401</v>
      </c>
      <c r="M142" s="1">
        <v>45560</v>
      </c>
      <c r="N142" s="3">
        <v>18082.205000000002</v>
      </c>
    </row>
    <row r="143" spans="1:14" x14ac:dyDescent="0.3">
      <c r="A143" s="1">
        <v>45559</v>
      </c>
      <c r="B143" s="2">
        <v>42208.217400000001</v>
      </c>
      <c r="D143" s="4">
        <v>45555</v>
      </c>
      <c r="E143" s="3">
        <v>2343.9074173919798</v>
      </c>
      <c r="G143" s="5">
        <v>45552</v>
      </c>
      <c r="H143" s="3">
        <v>254.23609550560499</v>
      </c>
      <c r="J143" s="4">
        <v>45562</v>
      </c>
      <c r="K143" s="3">
        <v>589.49342501841704</v>
      </c>
      <c r="M143" s="1">
        <v>45559</v>
      </c>
      <c r="N143" s="3">
        <v>18074.521000000001</v>
      </c>
    </row>
    <row r="144" spans="1:14" x14ac:dyDescent="0.3">
      <c r="A144" s="5">
        <v>45558</v>
      </c>
      <c r="B144" s="2">
        <v>42124.652099999999</v>
      </c>
      <c r="D144" s="1">
        <v>45554</v>
      </c>
      <c r="E144" s="3">
        <v>2310.9793959920898</v>
      </c>
      <c r="G144" s="4">
        <v>45548</v>
      </c>
      <c r="H144" s="3">
        <v>259.77673625903799</v>
      </c>
      <c r="J144" s="1">
        <v>45561</v>
      </c>
      <c r="K144" s="3">
        <v>587.42470131989296</v>
      </c>
      <c r="M144" s="5">
        <v>45558</v>
      </c>
      <c r="N144" s="3">
        <v>17974.27</v>
      </c>
    </row>
    <row r="145" spans="1:14" x14ac:dyDescent="0.3">
      <c r="A145" s="4">
        <v>45555</v>
      </c>
      <c r="B145" s="2">
        <v>42063.3577</v>
      </c>
      <c r="D145" s="1">
        <v>45552</v>
      </c>
      <c r="E145" s="3">
        <v>2265.7899463703802</v>
      </c>
      <c r="G145" s="1">
        <v>45547</v>
      </c>
      <c r="H145" s="3">
        <v>259.773397277654</v>
      </c>
      <c r="J145" s="1">
        <v>45560</v>
      </c>
      <c r="K145" s="3">
        <v>577.90740390288704</v>
      </c>
      <c r="M145" s="4">
        <v>45555</v>
      </c>
      <c r="N145" s="3">
        <v>17948.321</v>
      </c>
    </row>
    <row r="146" spans="1:14" x14ac:dyDescent="0.3">
      <c r="A146" s="1">
        <v>45554</v>
      </c>
      <c r="B146" s="2">
        <v>42025.188399999999</v>
      </c>
      <c r="D146" s="5">
        <v>45551</v>
      </c>
      <c r="E146" s="3">
        <v>2235.6975117738498</v>
      </c>
      <c r="G146" s="1">
        <v>45546</v>
      </c>
      <c r="H146" s="3">
        <v>250.22669476642599</v>
      </c>
      <c r="J146" s="1">
        <v>45559</v>
      </c>
      <c r="K146" s="3">
        <v>581.027447034489</v>
      </c>
      <c r="M146" s="1">
        <v>45554</v>
      </c>
      <c r="N146" s="3">
        <v>18013.981</v>
      </c>
    </row>
    <row r="147" spans="1:14" x14ac:dyDescent="0.3">
      <c r="A147" s="1">
        <v>45553</v>
      </c>
      <c r="B147" s="2">
        <v>41503.102500000001</v>
      </c>
      <c r="D147" s="4">
        <v>45548</v>
      </c>
      <c r="E147" s="3">
        <v>2227.1776065241702</v>
      </c>
      <c r="G147" s="1">
        <v>45545</v>
      </c>
      <c r="H147" s="3">
        <v>253.873200870587</v>
      </c>
      <c r="J147" s="5">
        <v>45558</v>
      </c>
      <c r="K147" s="3">
        <v>573.73351260653806</v>
      </c>
      <c r="M147" s="1">
        <v>45553</v>
      </c>
      <c r="N147" s="3">
        <v>17573.300999999999</v>
      </c>
    </row>
    <row r="148" spans="1:14" x14ac:dyDescent="0.3">
      <c r="A148" s="1">
        <v>45552</v>
      </c>
      <c r="B148" s="2">
        <v>41606.179499999998</v>
      </c>
      <c r="D148" s="1">
        <v>45547</v>
      </c>
      <c r="E148" s="3">
        <v>2209.4566192490101</v>
      </c>
      <c r="G148" s="5">
        <v>45544</v>
      </c>
      <c r="H148" s="3">
        <v>252.95627575607801</v>
      </c>
      <c r="J148" s="4">
        <v>45555</v>
      </c>
      <c r="K148" s="3">
        <v>574.01495702645605</v>
      </c>
      <c r="M148" s="1">
        <v>45552</v>
      </c>
      <c r="N148" s="3">
        <v>17628.061000000002</v>
      </c>
    </row>
    <row r="149" spans="1:14" x14ac:dyDescent="0.3">
      <c r="A149" s="5">
        <v>45551</v>
      </c>
      <c r="B149" s="2">
        <v>41622.077899999997</v>
      </c>
      <c r="D149" s="1">
        <v>45546</v>
      </c>
      <c r="E149" s="3">
        <v>2193.8462524844499</v>
      </c>
      <c r="G149" s="4">
        <v>45541</v>
      </c>
      <c r="H149" s="3">
        <v>255.79159344906299</v>
      </c>
      <c r="J149" s="1">
        <v>45554</v>
      </c>
      <c r="K149" s="3">
        <v>582.23397843701696</v>
      </c>
      <c r="M149" s="5">
        <v>45551</v>
      </c>
      <c r="N149" s="3">
        <v>17592.127</v>
      </c>
    </row>
    <row r="150" spans="1:14" x14ac:dyDescent="0.3">
      <c r="A150" s="4">
        <v>45548</v>
      </c>
      <c r="B150" s="2">
        <v>41393.784399999997</v>
      </c>
      <c r="D150" s="1">
        <v>45545</v>
      </c>
      <c r="E150" s="3">
        <v>2210.2638092673201</v>
      </c>
      <c r="G150" s="1">
        <v>45540</v>
      </c>
      <c r="H150" s="3">
        <v>255.556957612952</v>
      </c>
      <c r="J150" s="1">
        <v>45553</v>
      </c>
      <c r="K150" s="3">
        <v>572.12265409588099</v>
      </c>
      <c r="M150" s="4">
        <v>45548</v>
      </c>
      <c r="N150" s="3">
        <v>17683.975999999999</v>
      </c>
    </row>
    <row r="151" spans="1:14" x14ac:dyDescent="0.3">
      <c r="A151" s="1">
        <v>45547</v>
      </c>
      <c r="B151" s="2">
        <v>41096.772900000004</v>
      </c>
      <c r="D151" s="5">
        <v>45544</v>
      </c>
      <c r="E151" s="3">
        <v>2205.7282113769002</v>
      </c>
      <c r="G151" s="1">
        <v>45539</v>
      </c>
      <c r="H151" s="3">
        <v>257.758366381423</v>
      </c>
      <c r="J151" s="1">
        <v>45552</v>
      </c>
      <c r="K151" s="3">
        <v>574.75134744679701</v>
      </c>
      <c r="M151" s="1">
        <v>45547</v>
      </c>
      <c r="N151" s="3">
        <v>17569.675999999999</v>
      </c>
    </row>
    <row r="152" spans="1:14" x14ac:dyDescent="0.3">
      <c r="A152" s="1">
        <v>45546</v>
      </c>
      <c r="B152" s="2">
        <v>40861.712699999996</v>
      </c>
      <c r="D152" s="4">
        <v>45540</v>
      </c>
      <c r="E152" s="3">
        <v>2238.4575901449998</v>
      </c>
      <c r="G152" s="1">
        <v>45538</v>
      </c>
      <c r="H152" s="3">
        <v>265.94012511170502</v>
      </c>
      <c r="J152" s="5">
        <v>45551</v>
      </c>
      <c r="K152" s="3">
        <v>573.42120203493505</v>
      </c>
      <c r="M152" s="1">
        <v>45546</v>
      </c>
      <c r="N152" s="3">
        <v>17395.530999999999</v>
      </c>
    </row>
    <row r="153" spans="1:14" x14ac:dyDescent="0.3">
      <c r="A153" s="1">
        <v>45545</v>
      </c>
      <c r="B153" s="2">
        <v>40736.955999999998</v>
      </c>
      <c r="D153" s="1">
        <v>45539</v>
      </c>
      <c r="E153" s="3">
        <v>2239.0678107404401</v>
      </c>
      <c r="G153" s="5">
        <v>45537</v>
      </c>
      <c r="H153" s="3">
        <v>263.45044247786399</v>
      </c>
      <c r="J153" s="4">
        <v>45548</v>
      </c>
      <c r="K153" s="3">
        <v>571.468128703552</v>
      </c>
      <c r="M153" s="1">
        <v>45545</v>
      </c>
      <c r="N153" s="3">
        <v>17025.88</v>
      </c>
    </row>
    <row r="154" spans="1:14" x14ac:dyDescent="0.3">
      <c r="A154" s="5">
        <v>45544</v>
      </c>
      <c r="B154" s="2">
        <v>40829.587399999997</v>
      </c>
      <c r="D154" s="1">
        <v>45538</v>
      </c>
      <c r="E154" s="3">
        <v>2263.4177929371899</v>
      </c>
      <c r="G154" s="4">
        <v>45534</v>
      </c>
      <c r="H154" s="3">
        <v>264.42084017515901</v>
      </c>
      <c r="J154" s="1">
        <v>45547</v>
      </c>
      <c r="K154" s="3">
        <v>567.07492635822302</v>
      </c>
      <c r="M154" s="5">
        <v>45544</v>
      </c>
      <c r="N154" s="3">
        <v>16884.602999999999</v>
      </c>
    </row>
    <row r="155" spans="1:14" x14ac:dyDescent="0.3">
      <c r="A155" s="4">
        <v>45541</v>
      </c>
      <c r="B155" s="2">
        <v>40345.408000000003</v>
      </c>
      <c r="D155" s="5">
        <v>45537</v>
      </c>
      <c r="E155" s="3">
        <v>2269.33595002629</v>
      </c>
      <c r="G155" s="1">
        <v>45533</v>
      </c>
      <c r="H155" s="3">
        <v>264.60566974753601</v>
      </c>
      <c r="J155" s="1">
        <v>45546</v>
      </c>
      <c r="K155" s="3">
        <v>559.38250126626701</v>
      </c>
      <c r="M155" s="4">
        <v>45541</v>
      </c>
      <c r="N155" s="3">
        <v>16690.831999999999</v>
      </c>
    </row>
    <row r="156" spans="1:14" x14ac:dyDescent="0.3">
      <c r="A156" s="1">
        <v>45540</v>
      </c>
      <c r="B156" s="2">
        <v>40755.7451</v>
      </c>
      <c r="D156" s="4">
        <v>45534</v>
      </c>
      <c r="E156" s="3">
        <v>2307.0896335911202</v>
      </c>
      <c r="G156" s="1">
        <v>45532</v>
      </c>
      <c r="H156" s="3">
        <v>265.41993497961198</v>
      </c>
      <c r="J156" s="1">
        <v>45545</v>
      </c>
      <c r="K156" s="3">
        <v>559.71218265161997</v>
      </c>
      <c r="M156" s="1">
        <v>45540</v>
      </c>
      <c r="N156" s="3">
        <v>17127.661</v>
      </c>
    </row>
    <row r="157" spans="1:14" x14ac:dyDescent="0.3">
      <c r="A157" s="1">
        <v>45539</v>
      </c>
      <c r="B157" s="2">
        <v>40974.972600000001</v>
      </c>
      <c r="D157" s="1">
        <v>45533</v>
      </c>
      <c r="E157" s="3">
        <v>2281.0285347867798</v>
      </c>
      <c r="G157" s="1">
        <v>45531</v>
      </c>
      <c r="H157" s="3">
        <v>265.98555053836998</v>
      </c>
      <c r="J157" s="5">
        <v>45544</v>
      </c>
      <c r="K157" s="3">
        <v>563.50616248661902</v>
      </c>
      <c r="M157" s="1">
        <v>45539</v>
      </c>
      <c r="N157" s="3">
        <v>17084.295999999998</v>
      </c>
    </row>
    <row r="158" spans="1:14" x14ac:dyDescent="0.3">
      <c r="A158" s="5">
        <v>45538</v>
      </c>
      <c r="B158" s="2">
        <v>40936.934600000001</v>
      </c>
      <c r="D158" s="1">
        <v>45532</v>
      </c>
      <c r="E158" s="3">
        <v>2268.0592767315802</v>
      </c>
      <c r="G158" s="5">
        <v>45530</v>
      </c>
      <c r="H158" s="3">
        <v>263.70204815942998</v>
      </c>
      <c r="J158" s="4">
        <v>45541</v>
      </c>
      <c r="K158" s="3">
        <v>561.42217493461203</v>
      </c>
      <c r="M158" s="5">
        <v>45538</v>
      </c>
      <c r="N158" s="3">
        <v>17136.297999999999</v>
      </c>
    </row>
    <row r="159" spans="1:14" x14ac:dyDescent="0.3">
      <c r="A159" s="4">
        <v>45534</v>
      </c>
      <c r="B159" s="2">
        <v>41563.082900000001</v>
      </c>
      <c r="D159" s="1">
        <v>45531</v>
      </c>
      <c r="E159" s="3">
        <v>2291.3012267500699</v>
      </c>
      <c r="G159" s="4">
        <v>45527</v>
      </c>
      <c r="H159" s="3">
        <v>265.73574842418202</v>
      </c>
      <c r="J159" s="1">
        <v>45540</v>
      </c>
      <c r="K159" s="3">
        <v>568.88755568887495</v>
      </c>
      <c r="M159" s="4">
        <v>45534</v>
      </c>
      <c r="N159" s="3">
        <v>17713.624</v>
      </c>
    </row>
    <row r="160" spans="1:14" x14ac:dyDescent="0.3">
      <c r="A160" s="1">
        <v>45533</v>
      </c>
      <c r="B160" s="2">
        <v>41335.052199999998</v>
      </c>
      <c r="D160" s="5">
        <v>45530</v>
      </c>
      <c r="E160" s="3">
        <v>2283.0885465437</v>
      </c>
      <c r="G160" s="1">
        <v>45526</v>
      </c>
      <c r="H160" s="3">
        <v>261.25399972652298</v>
      </c>
      <c r="J160" s="1">
        <v>45539</v>
      </c>
      <c r="K160" s="3">
        <v>570.52617580566402</v>
      </c>
      <c r="M160" s="1">
        <v>45533</v>
      </c>
      <c r="N160" s="3">
        <v>17516.43</v>
      </c>
    </row>
    <row r="161" spans="1:14" x14ac:dyDescent="0.3">
      <c r="A161" s="1">
        <v>45532</v>
      </c>
      <c r="B161" s="2">
        <v>41091.418700000002</v>
      </c>
      <c r="D161" s="4">
        <v>45527</v>
      </c>
      <c r="E161" s="3">
        <v>2259.2939425815298</v>
      </c>
      <c r="G161" s="1">
        <v>45525</v>
      </c>
      <c r="H161" s="3">
        <v>261.26807104502097</v>
      </c>
      <c r="J161" s="1">
        <v>45538</v>
      </c>
      <c r="K161" s="3">
        <v>574.05996355805701</v>
      </c>
      <c r="M161" s="1">
        <v>45532</v>
      </c>
      <c r="N161" s="3">
        <v>17556.026999999998</v>
      </c>
    </row>
    <row r="162" spans="1:14" x14ac:dyDescent="0.3">
      <c r="A162" s="1">
        <v>45531</v>
      </c>
      <c r="B162" s="2">
        <v>41250.501499999998</v>
      </c>
      <c r="D162" s="1">
        <v>45526</v>
      </c>
      <c r="E162" s="3">
        <v>2262.68197268005</v>
      </c>
      <c r="G162" s="1">
        <v>45524</v>
      </c>
      <c r="H162" s="3">
        <v>262.05108433735802</v>
      </c>
      <c r="J162" s="5">
        <v>45537</v>
      </c>
      <c r="K162" s="3">
        <v>581.16157031198202</v>
      </c>
      <c r="M162" s="1">
        <v>45531</v>
      </c>
      <c r="N162" s="3">
        <v>17754.82</v>
      </c>
    </row>
    <row r="163" spans="1:14" x14ac:dyDescent="0.3">
      <c r="A163" s="5">
        <v>45530</v>
      </c>
      <c r="B163" s="2">
        <v>41240.515700000004</v>
      </c>
      <c r="D163" s="1">
        <v>45525</v>
      </c>
      <c r="E163" s="3">
        <v>2231.4189666012298</v>
      </c>
      <c r="G163" s="5">
        <v>45523</v>
      </c>
      <c r="H163" s="3">
        <v>255.09053694480701</v>
      </c>
      <c r="J163" s="4">
        <v>45534</v>
      </c>
      <c r="K163" s="3">
        <v>580.02474536576699</v>
      </c>
      <c r="M163" s="5">
        <v>45530</v>
      </c>
      <c r="N163" s="3">
        <v>17725.764999999999</v>
      </c>
    </row>
    <row r="164" spans="1:14" x14ac:dyDescent="0.3">
      <c r="A164" s="4">
        <v>45527</v>
      </c>
      <c r="B164" s="2">
        <v>41175.082499999997</v>
      </c>
      <c r="D164" s="1">
        <v>45524</v>
      </c>
      <c r="E164" s="3">
        <v>2248.4694401643501</v>
      </c>
      <c r="G164" s="4">
        <v>45520</v>
      </c>
      <c r="H164" s="3">
        <v>257.91211546278799</v>
      </c>
      <c r="J164" s="1">
        <v>45533</v>
      </c>
      <c r="K164" s="3">
        <v>581.06715996322305</v>
      </c>
      <c r="M164" s="4">
        <v>45527</v>
      </c>
      <c r="N164" s="3">
        <v>17877.794000000002</v>
      </c>
    </row>
    <row r="165" spans="1:14" x14ac:dyDescent="0.3">
      <c r="A165" s="1">
        <v>45526</v>
      </c>
      <c r="B165" s="2">
        <v>40712.779900000001</v>
      </c>
      <c r="D165" s="5">
        <v>45523</v>
      </c>
      <c r="E165" s="3">
        <v>2255.8928135793499</v>
      </c>
      <c r="G165" s="1">
        <v>45519</v>
      </c>
      <c r="H165" s="3">
        <v>246.041669458028</v>
      </c>
      <c r="J165" s="1">
        <v>45532</v>
      </c>
      <c r="K165" s="3">
        <v>578.90757050084801</v>
      </c>
      <c r="M165" s="1">
        <v>45526</v>
      </c>
      <c r="N165" s="3">
        <v>17619.353999999999</v>
      </c>
    </row>
    <row r="166" spans="1:14" x14ac:dyDescent="0.3">
      <c r="A166" s="1">
        <v>45525</v>
      </c>
      <c r="B166" s="2">
        <v>40890.487500000003</v>
      </c>
      <c r="D166" s="4">
        <v>45520</v>
      </c>
      <c r="E166" s="3">
        <v>2236.27009481288</v>
      </c>
      <c r="G166" s="1">
        <v>45518</v>
      </c>
      <c r="H166" s="3">
        <v>247.38598873125801</v>
      </c>
      <c r="J166" s="1">
        <v>45531</v>
      </c>
      <c r="K166" s="3">
        <v>580.31829823403802</v>
      </c>
      <c r="M166" s="1">
        <v>45525</v>
      </c>
      <c r="N166" s="3">
        <v>17918.987000000001</v>
      </c>
    </row>
    <row r="167" spans="1:14" x14ac:dyDescent="0.3">
      <c r="A167" s="1">
        <v>45524</v>
      </c>
      <c r="B167" s="2">
        <v>40834.974399999999</v>
      </c>
      <c r="D167" s="1">
        <v>45519</v>
      </c>
      <c r="E167" s="3">
        <v>2194.3797455366298</v>
      </c>
      <c r="G167" s="5">
        <v>45517</v>
      </c>
      <c r="H167" s="3">
        <v>246.78184171093</v>
      </c>
      <c r="J167" s="5">
        <v>45530</v>
      </c>
      <c r="K167" s="3">
        <v>578.19370968101805</v>
      </c>
      <c r="M167" s="1">
        <v>45524</v>
      </c>
      <c r="N167" s="3">
        <v>17816.937000000002</v>
      </c>
    </row>
    <row r="168" spans="1:14" x14ac:dyDescent="0.3">
      <c r="A168" s="5">
        <v>45523</v>
      </c>
      <c r="B168" s="2">
        <v>40896.531600000002</v>
      </c>
      <c r="D168" s="1">
        <v>45518</v>
      </c>
      <c r="E168" s="3">
        <v>2196.2731006160102</v>
      </c>
      <c r="G168" s="4">
        <v>45513</v>
      </c>
      <c r="H168" s="3">
        <v>238.899120114602</v>
      </c>
      <c r="J168" s="4">
        <v>45527</v>
      </c>
      <c r="K168" s="3">
        <v>579.78425799520903</v>
      </c>
      <c r="M168" s="5">
        <v>45523</v>
      </c>
      <c r="N168" s="3">
        <v>17876.771000000001</v>
      </c>
    </row>
    <row r="169" spans="1:14" x14ac:dyDescent="0.3">
      <c r="A169" s="4">
        <v>45520</v>
      </c>
      <c r="B169" s="2">
        <v>40659.763299999999</v>
      </c>
      <c r="D169" s="1">
        <v>45517</v>
      </c>
      <c r="E169" s="3">
        <v>2205.1668571281898</v>
      </c>
      <c r="G169" s="1">
        <v>45512</v>
      </c>
      <c r="H169" s="3">
        <v>236.49612982073401</v>
      </c>
      <c r="J169" s="1">
        <v>45526</v>
      </c>
      <c r="K169" s="3">
        <v>573.08901803473805</v>
      </c>
      <c r="M169" s="4">
        <v>45520</v>
      </c>
      <c r="N169" s="3">
        <v>17631.72</v>
      </c>
    </row>
    <row r="170" spans="1:14" x14ac:dyDescent="0.3">
      <c r="A170" s="1">
        <v>45519</v>
      </c>
      <c r="B170" s="2">
        <v>40563.058799999999</v>
      </c>
      <c r="D170" s="5">
        <v>45516</v>
      </c>
      <c r="E170" s="3">
        <v>2196.3918981362699</v>
      </c>
      <c r="G170" s="1">
        <v>45511</v>
      </c>
      <c r="H170" s="3">
        <v>239.20935305746201</v>
      </c>
      <c r="J170" s="1">
        <v>45525</v>
      </c>
      <c r="K170" s="3">
        <v>573.054880360369</v>
      </c>
      <c r="M170" s="1">
        <v>45519</v>
      </c>
      <c r="N170" s="3">
        <v>17594.495999999999</v>
      </c>
    </row>
    <row r="171" spans="1:14" x14ac:dyDescent="0.3">
      <c r="A171" s="1">
        <v>45518</v>
      </c>
      <c r="B171" s="2">
        <v>40008.387699999999</v>
      </c>
      <c r="D171" s="4">
        <v>45513</v>
      </c>
      <c r="E171" s="3">
        <v>2191.7576146200599</v>
      </c>
      <c r="G171" s="1">
        <v>45510</v>
      </c>
      <c r="H171" s="3">
        <v>240.30117810118099</v>
      </c>
      <c r="J171" s="1">
        <v>45524</v>
      </c>
      <c r="K171" s="3">
        <v>570.15815775707802</v>
      </c>
      <c r="M171" s="1">
        <v>45518</v>
      </c>
      <c r="N171" s="3">
        <v>17192.600999999999</v>
      </c>
    </row>
    <row r="172" spans="1:14" x14ac:dyDescent="0.3">
      <c r="A172" s="1">
        <v>45517</v>
      </c>
      <c r="B172" s="2">
        <v>39765.641100000001</v>
      </c>
      <c r="D172" s="1">
        <v>45512</v>
      </c>
      <c r="E172" s="3">
        <v>2167.1195442999001</v>
      </c>
      <c r="G172" s="5">
        <v>45509</v>
      </c>
      <c r="H172" s="3">
        <v>218.20364847054799</v>
      </c>
      <c r="J172" s="5">
        <v>45523</v>
      </c>
      <c r="K172" s="3">
        <v>570.42300359154001</v>
      </c>
      <c r="M172" s="1">
        <v>45517</v>
      </c>
      <c r="N172" s="3">
        <v>17187.608</v>
      </c>
    </row>
    <row r="173" spans="1:14" x14ac:dyDescent="0.3">
      <c r="A173" s="5">
        <v>45516</v>
      </c>
      <c r="B173" s="2">
        <v>39357.0121</v>
      </c>
      <c r="D173" s="1">
        <v>45511</v>
      </c>
      <c r="E173" s="3">
        <v>2164.2721583914699</v>
      </c>
      <c r="G173" s="4">
        <v>45506</v>
      </c>
      <c r="H173" s="3">
        <v>245.050498157509</v>
      </c>
      <c r="J173" s="4">
        <v>45520</v>
      </c>
      <c r="K173" s="3">
        <v>564.02876111074295</v>
      </c>
      <c r="M173" s="5">
        <v>45516</v>
      </c>
      <c r="N173" s="3">
        <v>16780.609</v>
      </c>
    </row>
    <row r="174" spans="1:14" x14ac:dyDescent="0.3">
      <c r="A174" s="4">
        <v>45513</v>
      </c>
      <c r="B174" s="2">
        <v>39497.535799999998</v>
      </c>
      <c r="D174" s="1">
        <v>45510</v>
      </c>
      <c r="E174" s="3">
        <v>2135.80775941702</v>
      </c>
      <c r="G174" s="1">
        <v>45505</v>
      </c>
      <c r="H174" s="3">
        <v>255.26466256025</v>
      </c>
      <c r="J174" s="1">
        <v>45519</v>
      </c>
      <c r="K174" s="3">
        <v>559.39176513181496</v>
      </c>
      <c r="M174" s="4">
        <v>45513</v>
      </c>
      <c r="N174" s="3">
        <v>16745.302</v>
      </c>
    </row>
    <row r="175" spans="1:14" x14ac:dyDescent="0.3">
      <c r="A175" s="1">
        <v>45512</v>
      </c>
      <c r="B175" s="2">
        <v>39446.49</v>
      </c>
      <c r="D175" s="5">
        <v>45509</v>
      </c>
      <c r="E175" s="3">
        <v>2143.9763754253099</v>
      </c>
      <c r="G175" s="1">
        <v>45504</v>
      </c>
      <c r="H175" s="3">
        <v>260.71356180824603</v>
      </c>
      <c r="J175" s="1">
        <v>45518</v>
      </c>
      <c r="K175" s="3">
        <v>555.11507543222297</v>
      </c>
      <c r="M175" s="1">
        <v>45512</v>
      </c>
      <c r="N175" s="3">
        <v>16660.021000000001</v>
      </c>
    </row>
    <row r="176" spans="1:14" x14ac:dyDescent="0.3">
      <c r="A176" s="1">
        <v>45511</v>
      </c>
      <c r="B176" s="2">
        <v>38763.449000000001</v>
      </c>
      <c r="D176" s="4">
        <v>45506</v>
      </c>
      <c r="E176" s="3">
        <v>2170.7757935999698</v>
      </c>
      <c r="G176" s="1">
        <v>45503</v>
      </c>
      <c r="H176" s="3">
        <v>252.199201361608</v>
      </c>
      <c r="J176" s="1">
        <v>45517</v>
      </c>
      <c r="K176" s="3">
        <v>551.426215993406</v>
      </c>
      <c r="M176" s="1">
        <v>45511</v>
      </c>
      <c r="N176" s="3">
        <v>16195.806</v>
      </c>
    </row>
    <row r="177" spans="1:14" x14ac:dyDescent="0.3">
      <c r="A177" s="1">
        <v>45510</v>
      </c>
      <c r="B177" s="2">
        <v>38997.655200000001</v>
      </c>
      <c r="D177" s="1">
        <v>45505</v>
      </c>
      <c r="E177" s="3">
        <v>2214.4113017774198</v>
      </c>
      <c r="G177" s="5">
        <v>45502</v>
      </c>
      <c r="H177" s="3">
        <v>249.78007921562801</v>
      </c>
      <c r="J177" s="5">
        <v>45516</v>
      </c>
      <c r="K177" s="3">
        <v>545.54398084890295</v>
      </c>
      <c r="M177" s="1">
        <v>45510</v>
      </c>
      <c r="N177" s="3">
        <v>16366.855</v>
      </c>
    </row>
    <row r="178" spans="1:14" x14ac:dyDescent="0.3">
      <c r="A178" s="5">
        <v>45509</v>
      </c>
      <c r="B178" s="2">
        <v>38703.271500000003</v>
      </c>
      <c r="D178" s="1">
        <v>45504</v>
      </c>
      <c r="E178" s="3">
        <v>2220.25089605736</v>
      </c>
      <c r="G178" s="4">
        <v>45499</v>
      </c>
      <c r="H178" s="3">
        <v>245.03909705959501</v>
      </c>
      <c r="J178" s="4">
        <v>45513</v>
      </c>
      <c r="K178" s="3">
        <v>544.91370935170096</v>
      </c>
      <c r="M178" s="5">
        <v>45509</v>
      </c>
      <c r="N178" s="3">
        <v>16200.082</v>
      </c>
    </row>
    <row r="179" spans="1:14" x14ac:dyDescent="0.3">
      <c r="A179" s="4">
        <v>45506</v>
      </c>
      <c r="B179" s="2">
        <v>39737.260399999999</v>
      </c>
      <c r="D179" s="1">
        <v>45503</v>
      </c>
      <c r="E179" s="3">
        <v>2176.17749449649</v>
      </c>
      <c r="G179" s="1">
        <v>45498</v>
      </c>
      <c r="H179" s="3">
        <v>246.01773533424799</v>
      </c>
      <c r="J179" s="1">
        <v>45512</v>
      </c>
      <c r="K179" s="3">
        <v>541.93597694122002</v>
      </c>
      <c r="M179" s="4">
        <v>45506</v>
      </c>
      <c r="N179" s="3">
        <v>16776.164000000001</v>
      </c>
    </row>
    <row r="180" spans="1:14" x14ac:dyDescent="0.3">
      <c r="A180" s="1">
        <v>45505</v>
      </c>
      <c r="B180" s="2">
        <v>40347.970200000003</v>
      </c>
      <c r="D180" s="5">
        <v>45502</v>
      </c>
      <c r="E180" s="3">
        <v>2207.2703526338801</v>
      </c>
      <c r="G180" s="1">
        <v>45497</v>
      </c>
      <c r="H180" s="3">
        <v>254.467082602185</v>
      </c>
      <c r="J180" s="1">
        <v>45511</v>
      </c>
      <c r="K180" s="3">
        <v>541.636178972773</v>
      </c>
      <c r="M180" s="1">
        <v>45505</v>
      </c>
      <c r="N180" s="3">
        <v>17194.145</v>
      </c>
    </row>
    <row r="181" spans="1:14" x14ac:dyDescent="0.3">
      <c r="A181" s="1">
        <v>45504</v>
      </c>
      <c r="B181" s="2">
        <v>40842.792300000001</v>
      </c>
      <c r="D181" s="4">
        <v>45499</v>
      </c>
      <c r="E181" s="3">
        <v>2180.3742986703601</v>
      </c>
      <c r="G181" s="1">
        <v>45496</v>
      </c>
      <c r="H181" s="3">
        <v>254.49537215579599</v>
      </c>
      <c r="J181" s="1">
        <v>45510</v>
      </c>
      <c r="K181" s="3">
        <v>533.86671913084194</v>
      </c>
      <c r="M181" s="1">
        <v>45504</v>
      </c>
      <c r="N181" s="3">
        <v>17599.400000000001</v>
      </c>
    </row>
    <row r="182" spans="1:14" x14ac:dyDescent="0.3">
      <c r="A182" s="1">
        <v>45503</v>
      </c>
      <c r="B182" s="2">
        <v>40743.328500000003</v>
      </c>
      <c r="D182" s="1">
        <v>45498</v>
      </c>
      <c r="E182" s="3">
        <v>2178.3370055339201</v>
      </c>
      <c r="G182" s="5">
        <v>45495</v>
      </c>
      <c r="H182" s="3">
        <v>252.22292993629199</v>
      </c>
      <c r="J182" s="5">
        <v>45509</v>
      </c>
      <c r="K182" s="3">
        <v>533.41437771060805</v>
      </c>
      <c r="M182" s="1">
        <v>45503</v>
      </c>
      <c r="N182" s="3">
        <v>17147.417000000001</v>
      </c>
    </row>
    <row r="183" spans="1:14" x14ac:dyDescent="0.3">
      <c r="A183" s="5">
        <v>45502</v>
      </c>
      <c r="B183" s="2">
        <v>40539.933799999999</v>
      </c>
      <c r="D183" s="1">
        <v>45497</v>
      </c>
      <c r="E183" s="3">
        <v>2216.9778699861699</v>
      </c>
      <c r="G183" s="4">
        <v>45492</v>
      </c>
      <c r="H183" s="3">
        <v>254.389421550582</v>
      </c>
      <c r="J183" s="4">
        <v>45506</v>
      </c>
      <c r="K183" s="3">
        <v>543.05379815873505</v>
      </c>
      <c r="M183" s="5">
        <v>45502</v>
      </c>
      <c r="N183" s="3">
        <v>17370.201000000001</v>
      </c>
    </row>
    <row r="184" spans="1:14" x14ac:dyDescent="0.3">
      <c r="A184" s="4">
        <v>45499</v>
      </c>
      <c r="B184" s="2">
        <v>40589.337200000002</v>
      </c>
      <c r="D184" s="1">
        <v>45496</v>
      </c>
      <c r="E184" s="3">
        <v>2236.9943528869399</v>
      </c>
      <c r="G184" s="1">
        <v>45491</v>
      </c>
      <c r="H184" s="3">
        <v>254.98093664612699</v>
      </c>
      <c r="J184" s="1">
        <v>45505</v>
      </c>
      <c r="K184" s="3">
        <v>552.31466494011102</v>
      </c>
      <c r="M184" s="4">
        <v>45499</v>
      </c>
      <c r="N184" s="3">
        <v>17357.882000000001</v>
      </c>
    </row>
    <row r="185" spans="1:14" x14ac:dyDescent="0.3">
      <c r="A185" s="1">
        <v>45498</v>
      </c>
      <c r="B185" s="2">
        <v>39935.071000000004</v>
      </c>
      <c r="D185" s="5">
        <v>45495</v>
      </c>
      <c r="E185" s="3">
        <v>2258.9540290248501</v>
      </c>
      <c r="G185" s="1">
        <v>45490</v>
      </c>
      <c r="H185" s="3">
        <v>263.17680584015699</v>
      </c>
      <c r="J185" s="1">
        <v>45504</v>
      </c>
      <c r="K185" s="3">
        <v>560.92834951666703</v>
      </c>
      <c r="M185" s="1">
        <v>45498</v>
      </c>
      <c r="N185" s="3">
        <v>17181.723999999998</v>
      </c>
    </row>
    <row r="186" spans="1:14" x14ac:dyDescent="0.3">
      <c r="A186" s="1">
        <v>45497</v>
      </c>
      <c r="B186" s="2">
        <v>39853.870799999997</v>
      </c>
      <c r="D186" s="4">
        <v>45492</v>
      </c>
      <c r="E186" s="3">
        <v>2230.1481415090798</v>
      </c>
      <c r="G186" s="5">
        <v>45489</v>
      </c>
      <c r="H186" s="3">
        <v>260.67374005305601</v>
      </c>
      <c r="J186" s="1">
        <v>45503</v>
      </c>
      <c r="K186" s="3">
        <v>555.97854300051802</v>
      </c>
      <c r="M186" s="1">
        <v>45497</v>
      </c>
      <c r="N186" s="3">
        <v>17342.413</v>
      </c>
    </row>
    <row r="187" spans="1:14" x14ac:dyDescent="0.3">
      <c r="A187" s="1">
        <v>45496</v>
      </c>
      <c r="B187" s="2">
        <v>40358.087399999997</v>
      </c>
      <c r="D187" s="1">
        <v>45491</v>
      </c>
      <c r="E187" s="3">
        <v>2276.3357703486599</v>
      </c>
      <c r="G187" s="4">
        <v>45485</v>
      </c>
      <c r="H187" s="3">
        <v>260.88213313068098</v>
      </c>
      <c r="J187" s="5">
        <v>45502</v>
      </c>
      <c r="K187" s="3">
        <v>553.705506870063</v>
      </c>
      <c r="M187" s="1">
        <v>45496</v>
      </c>
      <c r="N187" s="3">
        <v>17997.350999999999</v>
      </c>
    </row>
    <row r="188" spans="1:14" x14ac:dyDescent="0.3">
      <c r="A188" s="5">
        <v>45495</v>
      </c>
      <c r="B188" s="2">
        <v>40415.439899999998</v>
      </c>
      <c r="D188" s="1">
        <v>45490</v>
      </c>
      <c r="E188" s="3">
        <v>2272.2150350322099</v>
      </c>
      <c r="G188" s="1">
        <v>45484</v>
      </c>
      <c r="H188" s="3">
        <v>265.89433249372098</v>
      </c>
      <c r="J188" s="4">
        <v>45499</v>
      </c>
      <c r="K188" s="3">
        <v>556.78240288363099</v>
      </c>
      <c r="M188" s="5">
        <v>45495</v>
      </c>
      <c r="N188" s="3">
        <v>18007.567999999999</v>
      </c>
    </row>
    <row r="189" spans="1:14" x14ac:dyDescent="0.3">
      <c r="A189" s="4">
        <v>45492</v>
      </c>
      <c r="B189" s="2">
        <v>40287.529900000001</v>
      </c>
      <c r="D189" s="1">
        <v>45489</v>
      </c>
      <c r="E189" s="3">
        <v>2270.60556380961</v>
      </c>
      <c r="G189" s="1">
        <v>45483</v>
      </c>
      <c r="H189" s="3">
        <v>258.74924228367502</v>
      </c>
      <c r="J189" s="1">
        <v>45498</v>
      </c>
      <c r="K189" s="3">
        <v>551.55773881171604</v>
      </c>
      <c r="M189" s="4">
        <v>45492</v>
      </c>
      <c r="N189" s="3">
        <v>17726.939999999999</v>
      </c>
    </row>
    <row r="190" spans="1:14" x14ac:dyDescent="0.3">
      <c r="A190" s="1">
        <v>45491</v>
      </c>
      <c r="B190" s="2">
        <v>40665.018900000003</v>
      </c>
      <c r="D190" s="5">
        <v>45488</v>
      </c>
      <c r="E190" s="3">
        <v>2307.8422832547599</v>
      </c>
      <c r="G190" s="1">
        <v>45482</v>
      </c>
      <c r="H190" s="3">
        <v>257.76560659601398</v>
      </c>
      <c r="J190" s="1">
        <v>45497</v>
      </c>
      <c r="K190" s="3">
        <v>555.284579282236</v>
      </c>
      <c r="M190" s="1">
        <v>45491</v>
      </c>
      <c r="N190" s="3">
        <v>17871.223000000002</v>
      </c>
    </row>
    <row r="191" spans="1:14" x14ac:dyDescent="0.3">
      <c r="A191" s="1">
        <v>45490</v>
      </c>
      <c r="B191" s="2">
        <v>41198.076099999998</v>
      </c>
      <c r="D191" s="4">
        <v>45485</v>
      </c>
      <c r="E191" s="3">
        <v>2343.1122154906202</v>
      </c>
      <c r="G191" s="5">
        <v>45481</v>
      </c>
      <c r="H191" s="3">
        <v>253.59554754057501</v>
      </c>
      <c r="J191" s="1">
        <v>45496</v>
      </c>
      <c r="K191" s="3">
        <v>559.33895417602503</v>
      </c>
      <c r="M191" s="1">
        <v>45490</v>
      </c>
      <c r="N191" s="3">
        <v>17996.924999999999</v>
      </c>
    </row>
    <row r="192" spans="1:14" x14ac:dyDescent="0.3">
      <c r="A192" s="1">
        <v>45489</v>
      </c>
      <c r="B192" s="2">
        <v>40954.475400000003</v>
      </c>
      <c r="D192" s="1">
        <v>45484</v>
      </c>
      <c r="E192" s="3">
        <v>2284.0292542972102</v>
      </c>
      <c r="G192" s="4">
        <v>45478</v>
      </c>
      <c r="H192" s="3">
        <v>254.556806869083</v>
      </c>
      <c r="J192" s="5">
        <v>45495</v>
      </c>
      <c r="K192" s="3">
        <v>560.55359553987603</v>
      </c>
      <c r="M192" s="1">
        <v>45489</v>
      </c>
      <c r="N192" s="3">
        <v>18509.34</v>
      </c>
    </row>
    <row r="193" spans="1:14" x14ac:dyDescent="0.3">
      <c r="A193" s="5">
        <v>45488</v>
      </c>
      <c r="B193" s="2">
        <v>40211.716699999997</v>
      </c>
      <c r="D193" s="1">
        <v>45483</v>
      </c>
      <c r="E193" s="3">
        <v>2236.8605008449799</v>
      </c>
      <c r="G193" s="1">
        <v>45477</v>
      </c>
      <c r="H193" s="3">
        <v>253.72806201550799</v>
      </c>
      <c r="J193" s="4">
        <v>45492</v>
      </c>
      <c r="K193" s="3">
        <v>554.76032500516499</v>
      </c>
      <c r="M193" s="5">
        <v>45488</v>
      </c>
      <c r="N193" s="3">
        <v>18472.565999999999</v>
      </c>
    </row>
    <row r="194" spans="1:14" x14ac:dyDescent="0.3">
      <c r="A194" s="4">
        <v>45485</v>
      </c>
      <c r="B194" s="2">
        <v>40000.898399999998</v>
      </c>
      <c r="D194" s="1">
        <v>45482</v>
      </c>
      <c r="E194" s="3">
        <v>2243.1744284288002</v>
      </c>
      <c r="G194" s="1">
        <v>45476</v>
      </c>
      <c r="H194" s="3">
        <v>250.99430974767</v>
      </c>
      <c r="J194" s="1">
        <v>45491</v>
      </c>
      <c r="K194" s="3">
        <v>560.06406833955896</v>
      </c>
      <c r="M194" s="4">
        <v>45485</v>
      </c>
      <c r="N194" s="3">
        <v>18398.445</v>
      </c>
    </row>
    <row r="195" spans="1:14" x14ac:dyDescent="0.3">
      <c r="A195" s="1">
        <v>45484</v>
      </c>
      <c r="B195" s="2">
        <v>39753.750099999997</v>
      </c>
      <c r="D195" s="5">
        <v>45481</v>
      </c>
      <c r="E195" s="3">
        <v>2243.9126203646902</v>
      </c>
      <c r="G195" s="1">
        <v>45475</v>
      </c>
      <c r="H195" s="3">
        <v>248.232718037642</v>
      </c>
      <c r="J195" s="1">
        <v>45490</v>
      </c>
      <c r="K195" s="3">
        <v>563.06803889186699</v>
      </c>
      <c r="M195" s="1">
        <v>45484</v>
      </c>
      <c r="N195" s="3">
        <v>18283.406999999999</v>
      </c>
    </row>
    <row r="196" spans="1:14" x14ac:dyDescent="0.3">
      <c r="A196" s="1">
        <v>45483</v>
      </c>
      <c r="B196" s="2">
        <v>39721.362000000001</v>
      </c>
      <c r="D196" s="4">
        <v>45478</v>
      </c>
      <c r="E196" s="3">
        <v>2278.2334344481501</v>
      </c>
      <c r="G196" s="5">
        <v>45474</v>
      </c>
      <c r="H196" s="3">
        <v>245.469557138429</v>
      </c>
      <c r="J196" s="1">
        <v>45489</v>
      </c>
      <c r="K196" s="3">
        <v>563.70412344172098</v>
      </c>
      <c r="M196" s="1">
        <v>45483</v>
      </c>
      <c r="N196" s="3">
        <v>18647.448</v>
      </c>
    </row>
    <row r="197" spans="1:14" x14ac:dyDescent="0.3">
      <c r="A197" s="1">
        <v>45482</v>
      </c>
      <c r="B197" s="2">
        <v>39291.973100000003</v>
      </c>
      <c r="D197" s="1">
        <v>45477</v>
      </c>
      <c r="E197" s="3">
        <v>2308.6836814404101</v>
      </c>
      <c r="G197" s="4">
        <v>45471</v>
      </c>
      <c r="H197" s="3">
        <v>246.11751538890201</v>
      </c>
      <c r="J197" s="5">
        <v>45488</v>
      </c>
      <c r="K197" s="3">
        <v>565.10229426759895</v>
      </c>
      <c r="M197" s="1">
        <v>45482</v>
      </c>
      <c r="N197" s="3">
        <v>18429.291000000001</v>
      </c>
    </row>
    <row r="198" spans="1:14" x14ac:dyDescent="0.3">
      <c r="A198" s="5">
        <v>45481</v>
      </c>
      <c r="B198" s="2">
        <v>39344.792699999998</v>
      </c>
      <c r="D198" s="1">
        <v>45476</v>
      </c>
      <c r="E198" s="3">
        <v>2302.0820261981798</v>
      </c>
      <c r="G198" s="1">
        <v>45470</v>
      </c>
      <c r="H198" s="3">
        <v>244.752644021398</v>
      </c>
      <c r="J198" s="4">
        <v>45485</v>
      </c>
      <c r="K198" s="3">
        <v>571.55944292366803</v>
      </c>
      <c r="M198" s="5">
        <v>45481</v>
      </c>
      <c r="N198" s="3">
        <v>18403.738000000001</v>
      </c>
    </row>
    <row r="199" spans="1:14" x14ac:dyDescent="0.3">
      <c r="A199" s="4">
        <v>45478</v>
      </c>
      <c r="B199" s="2">
        <v>39375.866900000001</v>
      </c>
      <c r="D199" s="5">
        <v>45475</v>
      </c>
      <c r="E199" s="3">
        <v>2274.1879335500498</v>
      </c>
      <c r="G199" s="1">
        <v>45469</v>
      </c>
      <c r="H199" s="3">
        <v>246.701100814744</v>
      </c>
      <c r="J199" s="1">
        <v>45484</v>
      </c>
      <c r="K199" s="3">
        <v>564.44550679603401</v>
      </c>
      <c r="M199" s="4">
        <v>45478</v>
      </c>
      <c r="N199" s="3">
        <v>18352.758999999998</v>
      </c>
    </row>
    <row r="200" spans="1:14" x14ac:dyDescent="0.3">
      <c r="A200" s="1">
        <v>45476</v>
      </c>
      <c r="B200" s="2">
        <v>39308.002899999999</v>
      </c>
      <c r="D200" s="4">
        <v>45471</v>
      </c>
      <c r="E200" s="3">
        <v>2269.2891905737702</v>
      </c>
      <c r="G200" s="1">
        <v>45468</v>
      </c>
      <c r="H200" s="3">
        <v>245.30747072453801</v>
      </c>
      <c r="J200" s="1">
        <v>45483</v>
      </c>
      <c r="K200" s="3">
        <v>559.28348639750595</v>
      </c>
      <c r="M200" s="1">
        <v>45476</v>
      </c>
      <c r="N200" s="3">
        <v>18188.302</v>
      </c>
    </row>
    <row r="201" spans="1:14" x14ac:dyDescent="0.3">
      <c r="A201" s="1">
        <v>45475</v>
      </c>
      <c r="B201" s="2">
        <v>39331.850599999998</v>
      </c>
      <c r="D201" s="1">
        <v>45470</v>
      </c>
      <c r="E201" s="3">
        <v>2268.8117100157601</v>
      </c>
      <c r="G201" s="5">
        <v>45467</v>
      </c>
      <c r="H201" s="3">
        <v>243.152139858374</v>
      </c>
      <c r="J201" s="1">
        <v>45482</v>
      </c>
      <c r="K201" s="3">
        <v>553.31387176991996</v>
      </c>
      <c r="M201" s="1">
        <v>45475</v>
      </c>
      <c r="N201" s="3">
        <v>18028.762999999999</v>
      </c>
    </row>
    <row r="202" spans="1:14" x14ac:dyDescent="0.3">
      <c r="A202" s="5">
        <v>45474</v>
      </c>
      <c r="B202" s="2">
        <v>39169.515800000001</v>
      </c>
      <c r="D202" s="1">
        <v>45469</v>
      </c>
      <c r="E202" s="3">
        <v>2316.5191891511099</v>
      </c>
      <c r="G202" s="4">
        <v>45464</v>
      </c>
      <c r="H202" s="3">
        <v>241.54496526690099</v>
      </c>
      <c r="J202" s="5">
        <v>45481</v>
      </c>
      <c r="K202" s="3">
        <v>558.88273234924804</v>
      </c>
      <c r="M202" s="5">
        <v>45474</v>
      </c>
      <c r="N202" s="3">
        <v>17879.3</v>
      </c>
    </row>
    <row r="203" spans="1:14" x14ac:dyDescent="0.3">
      <c r="A203" s="4">
        <v>45471</v>
      </c>
      <c r="B203" s="2">
        <v>39118.864200000004</v>
      </c>
      <c r="D203" s="1">
        <v>45468</v>
      </c>
      <c r="E203" s="3">
        <v>2314.5162323109498</v>
      </c>
      <c r="G203" s="1">
        <v>45463</v>
      </c>
      <c r="H203" s="3">
        <v>243.12787916926999</v>
      </c>
      <c r="J203" s="4">
        <v>45478</v>
      </c>
      <c r="K203" s="3">
        <v>559.787614455219</v>
      </c>
      <c r="M203" s="4">
        <v>45471</v>
      </c>
      <c r="N203" s="3">
        <v>17732.602999999999</v>
      </c>
    </row>
    <row r="204" spans="1:14" x14ac:dyDescent="0.3">
      <c r="A204" s="1">
        <v>45470</v>
      </c>
      <c r="B204" s="2">
        <v>39164.063099999999</v>
      </c>
      <c r="D204" s="5">
        <v>45467</v>
      </c>
      <c r="E204" s="3">
        <v>2309.0246557797</v>
      </c>
      <c r="G204" s="1">
        <v>45462</v>
      </c>
      <c r="H204" s="3">
        <v>243.995192307689</v>
      </c>
      <c r="J204" s="1">
        <v>45477</v>
      </c>
      <c r="K204" s="3">
        <v>559.460365161553</v>
      </c>
      <c r="M204" s="1">
        <v>45470</v>
      </c>
      <c r="N204" s="3">
        <v>17858.684000000001</v>
      </c>
    </row>
    <row r="205" spans="1:14" x14ac:dyDescent="0.3">
      <c r="A205" s="1">
        <v>45469</v>
      </c>
      <c r="B205" s="2">
        <v>39127.798900000002</v>
      </c>
      <c r="D205" s="4">
        <v>45464</v>
      </c>
      <c r="E205" s="3">
        <v>2309.66088883765</v>
      </c>
      <c r="G205" s="1">
        <v>45461</v>
      </c>
      <c r="H205" s="3">
        <v>243.78910357935499</v>
      </c>
      <c r="J205" s="1">
        <v>45476</v>
      </c>
      <c r="K205" s="3">
        <v>555.12171971568398</v>
      </c>
      <c r="M205" s="1">
        <v>45469</v>
      </c>
      <c r="N205" s="3">
        <v>17805.155999999999</v>
      </c>
    </row>
    <row r="206" spans="1:14" x14ac:dyDescent="0.3">
      <c r="A206" s="1">
        <v>45468</v>
      </c>
      <c r="B206" s="2">
        <v>39112.163200000003</v>
      </c>
      <c r="D206" s="1">
        <v>45463</v>
      </c>
      <c r="E206" s="3">
        <v>2349.3868764655399</v>
      </c>
      <c r="G206" s="5">
        <v>45460</v>
      </c>
      <c r="H206" s="3">
        <v>241.59812313741301</v>
      </c>
      <c r="J206" s="1">
        <v>45475</v>
      </c>
      <c r="K206" s="3">
        <v>548.92291163040602</v>
      </c>
      <c r="M206" s="1">
        <v>45468</v>
      </c>
      <c r="N206" s="3">
        <v>17717.653999999999</v>
      </c>
    </row>
    <row r="207" spans="1:14" x14ac:dyDescent="0.3">
      <c r="A207" s="5">
        <v>45467</v>
      </c>
      <c r="B207" s="2">
        <v>39411.211300000003</v>
      </c>
      <c r="D207" s="1">
        <v>45462</v>
      </c>
      <c r="E207" s="3">
        <v>2360.8123687041998</v>
      </c>
      <c r="G207" s="4">
        <v>45457</v>
      </c>
      <c r="H207" s="3">
        <v>246.64523098431101</v>
      </c>
      <c r="J207" s="5">
        <v>45474</v>
      </c>
      <c r="K207" s="3">
        <v>550.90360475479599</v>
      </c>
      <c r="M207" s="5">
        <v>45467</v>
      </c>
      <c r="N207" s="3">
        <v>17496.816999999999</v>
      </c>
    </row>
    <row r="208" spans="1:14" x14ac:dyDescent="0.3">
      <c r="A208" s="4">
        <v>45464</v>
      </c>
      <c r="B208" s="2">
        <v>39150.332600000002</v>
      </c>
      <c r="D208" s="1">
        <v>45461</v>
      </c>
      <c r="E208" s="3">
        <v>2294.7765495510398</v>
      </c>
      <c r="G208" s="1">
        <v>45456</v>
      </c>
      <c r="H208" s="3">
        <v>246.59578397655</v>
      </c>
      <c r="J208" s="4">
        <v>45471</v>
      </c>
      <c r="K208" s="3">
        <v>547.88151481064801</v>
      </c>
      <c r="M208" s="4">
        <v>45464</v>
      </c>
      <c r="N208" s="3">
        <v>17689.361000000001</v>
      </c>
    </row>
    <row r="209" spans="1:14" x14ac:dyDescent="0.3">
      <c r="A209" s="1">
        <v>45463</v>
      </c>
      <c r="B209" s="2">
        <v>39134.762699999999</v>
      </c>
      <c r="D209" s="5">
        <v>45460</v>
      </c>
      <c r="E209" s="3">
        <v>2296.52885366385</v>
      </c>
      <c r="G209" s="1">
        <v>45455</v>
      </c>
      <c r="H209" s="3">
        <v>248.080594729116</v>
      </c>
      <c r="J209" s="1">
        <v>45470</v>
      </c>
      <c r="K209" s="3">
        <v>548.57662671233095</v>
      </c>
      <c r="M209" s="1">
        <v>45463</v>
      </c>
      <c r="N209" s="3">
        <v>17721.587</v>
      </c>
    </row>
    <row r="210" spans="1:14" x14ac:dyDescent="0.3">
      <c r="A210" s="1">
        <v>45461</v>
      </c>
      <c r="B210" s="2">
        <v>38834.860500000003</v>
      </c>
      <c r="D210" s="4">
        <v>45457</v>
      </c>
      <c r="E210" s="3">
        <v>2297.1064962998898</v>
      </c>
      <c r="G210" s="1">
        <v>45454</v>
      </c>
      <c r="H210" s="3">
        <v>249.15509008722699</v>
      </c>
      <c r="J210" s="1">
        <v>45469</v>
      </c>
      <c r="K210" s="3">
        <v>549.76399478866199</v>
      </c>
      <c r="M210" s="1">
        <v>45461</v>
      </c>
      <c r="N210" s="3">
        <v>17862.232</v>
      </c>
    </row>
    <row r="211" spans="1:14" x14ac:dyDescent="0.3">
      <c r="A211" s="5">
        <v>45460</v>
      </c>
      <c r="B211" s="2">
        <v>38778.099199999997</v>
      </c>
      <c r="D211" s="1">
        <v>45456</v>
      </c>
      <c r="E211" s="3">
        <v>2319.1290764523001</v>
      </c>
      <c r="G211" s="5">
        <v>45453</v>
      </c>
      <c r="H211" s="3">
        <v>248.61902942299</v>
      </c>
      <c r="J211" s="1">
        <v>45468</v>
      </c>
      <c r="K211" s="3">
        <v>554.60924527291104</v>
      </c>
      <c r="M211" s="5">
        <v>45460</v>
      </c>
      <c r="N211" s="3">
        <v>17857.02</v>
      </c>
    </row>
    <row r="212" spans="1:14" x14ac:dyDescent="0.3">
      <c r="A212" s="4">
        <v>45457</v>
      </c>
      <c r="B212" s="2">
        <v>38589.157599999999</v>
      </c>
      <c r="D212" s="1">
        <v>45455</v>
      </c>
      <c r="E212" s="3">
        <v>2296.9843647958201</v>
      </c>
      <c r="G212" s="4">
        <v>45450</v>
      </c>
      <c r="H212" s="3">
        <v>246.86617740907499</v>
      </c>
      <c r="J212" s="5">
        <v>45467</v>
      </c>
      <c r="K212" s="3">
        <v>556.85293896693497</v>
      </c>
      <c r="M212" s="4">
        <v>45457</v>
      </c>
      <c r="N212" s="3">
        <v>17688.882000000001</v>
      </c>
    </row>
    <row r="213" spans="1:14" x14ac:dyDescent="0.3">
      <c r="A213" s="1">
        <v>45456</v>
      </c>
      <c r="B213" s="2">
        <v>38647.1014</v>
      </c>
      <c r="D213" s="5">
        <v>45454</v>
      </c>
      <c r="E213" s="3">
        <v>2326.6906465611</v>
      </c>
      <c r="G213" s="1">
        <v>45449</v>
      </c>
      <c r="H213" s="3">
        <v>248.73721079691501</v>
      </c>
      <c r="J213" s="4">
        <v>45464</v>
      </c>
      <c r="K213" s="3">
        <v>550.70186129552803</v>
      </c>
      <c r="M213" s="1">
        <v>45456</v>
      </c>
      <c r="N213" s="3">
        <v>17667.560000000001</v>
      </c>
    </row>
    <row r="214" spans="1:14" x14ac:dyDescent="0.3">
      <c r="A214" s="1">
        <v>45455</v>
      </c>
      <c r="B214" s="2">
        <v>38712.206200000001</v>
      </c>
      <c r="D214" s="4">
        <v>45450</v>
      </c>
      <c r="E214" s="3">
        <v>2351.1802657518201</v>
      </c>
      <c r="G214" s="1">
        <v>45448</v>
      </c>
      <c r="H214" s="3">
        <v>246.573798846903</v>
      </c>
      <c r="J214" s="1">
        <v>45463</v>
      </c>
      <c r="K214" s="3">
        <v>555.23336685998197</v>
      </c>
      <c r="M214" s="1">
        <v>45455</v>
      </c>
      <c r="N214" s="3">
        <v>17608.436000000002</v>
      </c>
    </row>
    <row r="215" spans="1:14" x14ac:dyDescent="0.3">
      <c r="A215" s="1">
        <v>45454</v>
      </c>
      <c r="B215" s="2">
        <v>38747.419199999997</v>
      </c>
      <c r="D215" s="1">
        <v>45449</v>
      </c>
      <c r="E215" s="3">
        <v>2365.9692165851402</v>
      </c>
      <c r="G215" s="1">
        <v>45447</v>
      </c>
      <c r="H215" s="3">
        <v>250.774585135937</v>
      </c>
      <c r="J215" s="1">
        <v>45462</v>
      </c>
      <c r="K215" s="3">
        <v>552.27568130793998</v>
      </c>
      <c r="M215" s="1">
        <v>45454</v>
      </c>
      <c r="N215" s="3">
        <v>17343.545999999998</v>
      </c>
    </row>
    <row r="216" spans="1:14" x14ac:dyDescent="0.3">
      <c r="A216" s="5">
        <v>45453</v>
      </c>
      <c r="B216" s="2">
        <v>38868.036999999997</v>
      </c>
      <c r="D216" s="1">
        <v>45448</v>
      </c>
      <c r="E216" s="3">
        <v>2358.6665983921398</v>
      </c>
      <c r="G216" s="5">
        <v>45446</v>
      </c>
      <c r="H216" s="3">
        <v>249.346764894308</v>
      </c>
      <c r="J216" s="1">
        <v>45461</v>
      </c>
      <c r="K216" s="3">
        <v>553.01899556519402</v>
      </c>
      <c r="M216" s="5">
        <v>45453</v>
      </c>
      <c r="N216" s="3">
        <v>17192.528999999999</v>
      </c>
    </row>
    <row r="217" spans="1:14" x14ac:dyDescent="0.3">
      <c r="A217" s="4">
        <v>45450</v>
      </c>
      <c r="B217" s="2">
        <v>38798.9905</v>
      </c>
      <c r="D217" s="1">
        <v>45447</v>
      </c>
      <c r="E217" s="3">
        <v>2360.6043541141398</v>
      </c>
      <c r="G217" s="4">
        <v>45443</v>
      </c>
      <c r="H217" s="3">
        <v>244.66276778337601</v>
      </c>
      <c r="J217" s="5">
        <v>45460</v>
      </c>
      <c r="K217" s="3">
        <v>549.032867478154</v>
      </c>
      <c r="M217" s="4">
        <v>45450</v>
      </c>
      <c r="N217" s="3">
        <v>17133.126</v>
      </c>
    </row>
    <row r="218" spans="1:14" x14ac:dyDescent="0.3">
      <c r="A218" s="1">
        <v>45449</v>
      </c>
      <c r="B218" s="2">
        <v>38886.169099999999</v>
      </c>
      <c r="D218" s="5">
        <v>45446</v>
      </c>
      <c r="E218" s="3">
        <v>2353.4804015601999</v>
      </c>
      <c r="G218" s="1">
        <v>45442</v>
      </c>
      <c r="H218" s="3">
        <v>242.67667878324701</v>
      </c>
      <c r="J218" s="4">
        <v>45457</v>
      </c>
      <c r="K218" s="3">
        <v>546.82317190609899</v>
      </c>
      <c r="M218" s="1">
        <v>45449</v>
      </c>
      <c r="N218" s="3">
        <v>17173.120999999999</v>
      </c>
    </row>
    <row r="219" spans="1:14" x14ac:dyDescent="0.3">
      <c r="A219" s="1">
        <v>45448</v>
      </c>
      <c r="B219" s="2">
        <v>38807.333899999998</v>
      </c>
      <c r="D219" s="4">
        <v>45443</v>
      </c>
      <c r="E219" s="3">
        <v>2312.3549950759102</v>
      </c>
      <c r="G219" s="1">
        <v>45441</v>
      </c>
      <c r="H219" s="3">
        <v>244.65019035534499</v>
      </c>
      <c r="J219" s="1">
        <v>45456</v>
      </c>
      <c r="K219" s="3">
        <v>553.97034985453899</v>
      </c>
      <c r="M219" s="1">
        <v>45448</v>
      </c>
      <c r="N219" s="3">
        <v>17187.904999999999</v>
      </c>
    </row>
    <row r="220" spans="1:14" x14ac:dyDescent="0.3">
      <c r="A220" s="1">
        <v>45447</v>
      </c>
      <c r="B220" s="2">
        <v>38711.286399999997</v>
      </c>
      <c r="D220" s="1">
        <v>45442</v>
      </c>
      <c r="E220" s="3">
        <v>2332.03151983422</v>
      </c>
      <c r="G220" s="1">
        <v>45440</v>
      </c>
      <c r="H220" s="3">
        <v>247.23447442098799</v>
      </c>
      <c r="J220" s="1">
        <v>45455</v>
      </c>
      <c r="K220" s="3">
        <v>565.08488863432399</v>
      </c>
      <c r="M220" s="1">
        <v>45447</v>
      </c>
      <c r="N220" s="3">
        <v>16857.046999999999</v>
      </c>
    </row>
    <row r="221" spans="1:14" x14ac:dyDescent="0.3">
      <c r="A221" s="5">
        <v>45446</v>
      </c>
      <c r="B221" s="2">
        <v>38571.025500000003</v>
      </c>
      <c r="D221" s="1">
        <v>45441</v>
      </c>
      <c r="E221" s="3">
        <v>2364.7545914123102</v>
      </c>
      <c r="G221" s="5">
        <v>45439</v>
      </c>
      <c r="H221" s="3">
        <v>247.99196735941399</v>
      </c>
      <c r="J221" s="1">
        <v>45454</v>
      </c>
      <c r="K221" s="3">
        <v>555.51498620045402</v>
      </c>
      <c r="M221" s="5">
        <v>45446</v>
      </c>
      <c r="N221" s="3">
        <v>16828.669999999998</v>
      </c>
    </row>
    <row r="222" spans="1:14" x14ac:dyDescent="0.3">
      <c r="A222" s="4">
        <v>45443</v>
      </c>
      <c r="B222" s="2">
        <v>38686.321900000003</v>
      </c>
      <c r="D222" s="1">
        <v>45440</v>
      </c>
      <c r="E222" s="3">
        <v>2409.4477302404098</v>
      </c>
      <c r="G222" s="4">
        <v>45436</v>
      </c>
      <c r="H222" s="3">
        <v>246.16924644881999</v>
      </c>
      <c r="J222" s="5">
        <v>45453</v>
      </c>
      <c r="K222" s="3">
        <v>562.00019373378996</v>
      </c>
      <c r="M222" s="4">
        <v>45443</v>
      </c>
      <c r="N222" s="3">
        <v>16735.014999999999</v>
      </c>
    </row>
    <row r="223" spans="1:14" x14ac:dyDescent="0.3">
      <c r="A223" s="1">
        <v>45442</v>
      </c>
      <c r="B223" s="2">
        <v>38111.482199999999</v>
      </c>
      <c r="D223" s="5">
        <v>45439</v>
      </c>
      <c r="E223" s="3">
        <v>2411.6912395762602</v>
      </c>
      <c r="G223" s="1">
        <v>45435</v>
      </c>
      <c r="H223" s="3">
        <v>249.17619320715801</v>
      </c>
      <c r="J223" s="4">
        <v>45450</v>
      </c>
      <c r="K223" s="3">
        <v>565.43151210134704</v>
      </c>
      <c r="M223" s="1">
        <v>45442</v>
      </c>
      <c r="N223" s="3">
        <v>16737.079000000002</v>
      </c>
    </row>
    <row r="224" spans="1:14" x14ac:dyDescent="0.3">
      <c r="A224" s="1">
        <v>45441</v>
      </c>
      <c r="B224" s="2">
        <v>38441.538699999997</v>
      </c>
      <c r="D224" s="4">
        <v>45436</v>
      </c>
      <c r="E224" s="3">
        <v>2382.0052993356599</v>
      </c>
      <c r="G224" s="1">
        <v>45434</v>
      </c>
      <c r="H224" s="3">
        <v>246.32965490846499</v>
      </c>
      <c r="J224" s="1">
        <v>45449</v>
      </c>
      <c r="K224" s="3">
        <v>571.27302817821601</v>
      </c>
      <c r="M224" s="1">
        <v>45441</v>
      </c>
      <c r="N224" s="3">
        <v>16920.580000000002</v>
      </c>
    </row>
    <row r="225" spans="1:14" x14ac:dyDescent="0.3">
      <c r="A225" s="5">
        <v>45440</v>
      </c>
      <c r="B225" s="2">
        <v>38852.861199999999</v>
      </c>
      <c r="D225" s="1">
        <v>45435</v>
      </c>
      <c r="E225" s="3">
        <v>2416.2154894227301</v>
      </c>
      <c r="G225" s="1">
        <v>45433</v>
      </c>
      <c r="H225" s="3">
        <v>249.41998078771201</v>
      </c>
      <c r="J225" s="1">
        <v>45448</v>
      </c>
      <c r="K225" s="3">
        <v>566.47430254420703</v>
      </c>
      <c r="M225" s="5">
        <v>45440</v>
      </c>
      <c r="N225" s="3">
        <v>17019.88</v>
      </c>
    </row>
    <row r="226" spans="1:14" x14ac:dyDescent="0.3">
      <c r="A226" s="4">
        <v>45436</v>
      </c>
      <c r="B226" s="2">
        <v>39069.592199999999</v>
      </c>
      <c r="D226" s="1">
        <v>45434</v>
      </c>
      <c r="E226" s="3">
        <v>2458.5158431312202</v>
      </c>
      <c r="G226" s="5">
        <v>45432</v>
      </c>
      <c r="H226" s="3">
        <v>250.06195596517901</v>
      </c>
      <c r="J226" s="1">
        <v>45447</v>
      </c>
      <c r="K226" s="3">
        <v>562.44493032666605</v>
      </c>
      <c r="M226" s="4">
        <v>45436</v>
      </c>
      <c r="N226" s="3">
        <v>16920.794000000002</v>
      </c>
    </row>
    <row r="227" spans="1:14" x14ac:dyDescent="0.3">
      <c r="A227" s="1">
        <v>45435</v>
      </c>
      <c r="B227" s="2">
        <v>39065.256300000001</v>
      </c>
      <c r="D227" s="1">
        <v>45433</v>
      </c>
      <c r="E227" s="3">
        <v>2462.7927835579899</v>
      </c>
      <c r="G227" s="4">
        <v>45429</v>
      </c>
      <c r="H227" s="3">
        <v>249.19614519756601</v>
      </c>
      <c r="J227" s="5">
        <v>45446</v>
      </c>
      <c r="K227" s="3">
        <v>566.74225410461395</v>
      </c>
      <c r="M227" s="1">
        <v>45435</v>
      </c>
      <c r="N227" s="3">
        <v>16736.032999999999</v>
      </c>
    </row>
    <row r="228" spans="1:14" x14ac:dyDescent="0.3">
      <c r="A228" s="1">
        <v>45434</v>
      </c>
      <c r="B228" s="2">
        <v>39671.0389</v>
      </c>
      <c r="D228" s="5">
        <v>45432</v>
      </c>
      <c r="E228" s="3">
        <v>2518.0129002474901</v>
      </c>
      <c r="G228" s="1">
        <v>45428</v>
      </c>
      <c r="H228" s="3">
        <v>250.48436092160401</v>
      </c>
      <c r="J228" s="4">
        <v>45443</v>
      </c>
      <c r="K228" s="3">
        <v>561.75061251924296</v>
      </c>
      <c r="M228" s="1">
        <v>45434</v>
      </c>
      <c r="N228" s="3">
        <v>16801.544000000002</v>
      </c>
    </row>
    <row r="229" spans="1:14" x14ac:dyDescent="0.3">
      <c r="A229" s="1">
        <v>45433</v>
      </c>
      <c r="B229" s="2">
        <v>39872.988299999997</v>
      </c>
      <c r="D229" s="4">
        <v>45429</v>
      </c>
      <c r="E229" s="3">
        <v>2506.1983312185098</v>
      </c>
      <c r="G229" s="1">
        <v>45427</v>
      </c>
      <c r="H229" s="3">
        <v>247.85775166270099</v>
      </c>
      <c r="J229" s="1">
        <v>45442</v>
      </c>
      <c r="K229" s="3">
        <v>559.47313120809395</v>
      </c>
      <c r="M229" s="1">
        <v>45433</v>
      </c>
      <c r="N229" s="3">
        <v>16832.624</v>
      </c>
    </row>
    <row r="230" spans="1:14" x14ac:dyDescent="0.3">
      <c r="A230" s="5">
        <v>45432</v>
      </c>
      <c r="B230" s="2">
        <v>39806.766799999998</v>
      </c>
      <c r="D230" s="1">
        <v>45428</v>
      </c>
      <c r="E230" s="3">
        <v>2483.7883915295201</v>
      </c>
      <c r="G230" s="1">
        <v>45426</v>
      </c>
      <c r="H230" s="3">
        <v>245.211993351237</v>
      </c>
      <c r="J230" s="1">
        <v>45441</v>
      </c>
      <c r="K230" s="3">
        <v>554.52356009633604</v>
      </c>
      <c r="M230" s="5">
        <v>45432</v>
      </c>
      <c r="N230" s="3">
        <v>16794.874</v>
      </c>
    </row>
    <row r="231" spans="1:14" x14ac:dyDescent="0.3">
      <c r="A231" s="4">
        <v>45429</v>
      </c>
      <c r="B231" s="2">
        <v>40003.591899999999</v>
      </c>
      <c r="D231" s="1">
        <v>45426</v>
      </c>
      <c r="E231" s="3">
        <v>2441.8412023760802</v>
      </c>
      <c r="G231" s="5">
        <v>45425</v>
      </c>
      <c r="H231" s="3">
        <v>244.426760563389</v>
      </c>
      <c r="J231" s="1">
        <v>45440</v>
      </c>
      <c r="K231" s="3">
        <v>563.46406434875303</v>
      </c>
      <c r="M231" s="4">
        <v>45429</v>
      </c>
      <c r="N231" s="3">
        <v>16685.966</v>
      </c>
    </row>
    <row r="232" spans="1:14" x14ac:dyDescent="0.3">
      <c r="A232" s="1">
        <v>45428</v>
      </c>
      <c r="B232" s="2">
        <v>39869.375</v>
      </c>
      <c r="D232" s="5">
        <v>45425</v>
      </c>
      <c r="E232" s="3">
        <v>2446.9782505728599</v>
      </c>
      <c r="G232" s="4">
        <v>45422</v>
      </c>
      <c r="H232" s="3">
        <v>245.49903673260201</v>
      </c>
      <c r="J232" s="5">
        <v>45439</v>
      </c>
      <c r="K232" s="3">
        <v>567.01557037069301</v>
      </c>
      <c r="M232" s="1">
        <v>45428</v>
      </c>
      <c r="N232" s="3">
        <v>16698.321</v>
      </c>
    </row>
    <row r="233" spans="1:14" x14ac:dyDescent="0.3">
      <c r="A233" s="1">
        <v>45427</v>
      </c>
      <c r="B233" s="2">
        <v>39908.004300000001</v>
      </c>
      <c r="D233" s="4">
        <v>45422</v>
      </c>
      <c r="E233" s="3">
        <v>2427.1335688322201</v>
      </c>
      <c r="G233" s="1">
        <v>45421</v>
      </c>
      <c r="H233" s="3">
        <v>244.91174578669501</v>
      </c>
      <c r="J233" s="4">
        <v>45436</v>
      </c>
      <c r="K233" s="3">
        <v>564.56055873677099</v>
      </c>
      <c r="M233" s="1">
        <v>45427</v>
      </c>
      <c r="N233" s="3">
        <v>16742.39</v>
      </c>
    </row>
    <row r="234" spans="1:14" x14ac:dyDescent="0.3">
      <c r="A234" s="1">
        <v>45426</v>
      </c>
      <c r="B234" s="2">
        <v>39558.107499999998</v>
      </c>
      <c r="D234" s="1">
        <v>45421</v>
      </c>
      <c r="E234" s="3">
        <v>2372.5056312071301</v>
      </c>
      <c r="G234" s="1">
        <v>45420</v>
      </c>
      <c r="H234" s="3">
        <v>245.70600720349501</v>
      </c>
      <c r="J234" s="1">
        <v>45435</v>
      </c>
      <c r="K234" s="3">
        <v>563.96449000335201</v>
      </c>
      <c r="M234" s="1">
        <v>45426</v>
      </c>
      <c r="N234" s="3">
        <v>16511.18</v>
      </c>
    </row>
    <row r="235" spans="1:14" x14ac:dyDescent="0.3">
      <c r="A235" s="5">
        <v>45425</v>
      </c>
      <c r="B235" s="2">
        <v>39431.511400000003</v>
      </c>
      <c r="D235" s="1">
        <v>45420</v>
      </c>
      <c r="E235" s="3">
        <v>2342.8246130228999</v>
      </c>
      <c r="G235" s="5">
        <v>45419</v>
      </c>
      <c r="H235" s="3">
        <v>251.051134527111</v>
      </c>
      <c r="J235" s="1">
        <v>45434</v>
      </c>
      <c r="K235" s="3">
        <v>563.96827286204496</v>
      </c>
      <c r="M235" s="5">
        <v>45425</v>
      </c>
      <c r="N235" s="3">
        <v>16388.238000000001</v>
      </c>
    </row>
    <row r="236" spans="1:14" x14ac:dyDescent="0.3">
      <c r="A236" s="4">
        <v>45422</v>
      </c>
      <c r="B236" s="2">
        <v>39512.843000000001</v>
      </c>
      <c r="D236" s="1">
        <v>45419</v>
      </c>
      <c r="E236" s="3">
        <v>2362.6980169537001</v>
      </c>
      <c r="G236" s="4">
        <v>45414</v>
      </c>
      <c r="H236" s="3">
        <v>248.88413721279699</v>
      </c>
      <c r="J236" s="1">
        <v>45433</v>
      </c>
      <c r="K236" s="3">
        <v>567.60951678027402</v>
      </c>
      <c r="M236" s="4">
        <v>45422</v>
      </c>
      <c r="N236" s="3">
        <v>16340.869000000001</v>
      </c>
    </row>
    <row r="237" spans="1:14" x14ac:dyDescent="0.3">
      <c r="A237" s="1">
        <v>45421</v>
      </c>
      <c r="B237" s="2">
        <v>39387.757799999999</v>
      </c>
      <c r="D237" s="5">
        <v>45418</v>
      </c>
      <c r="E237" s="3">
        <v>2376.28865979381</v>
      </c>
      <c r="G237" s="1">
        <v>45413</v>
      </c>
      <c r="H237" s="3">
        <v>247.77659092381199</v>
      </c>
      <c r="J237" s="5">
        <v>45432</v>
      </c>
      <c r="K237" s="3">
        <v>568.68534459364298</v>
      </c>
      <c r="M237" s="1">
        <v>45421</v>
      </c>
      <c r="N237" s="3">
        <v>16346.264999999999</v>
      </c>
    </row>
    <row r="238" spans="1:14" x14ac:dyDescent="0.3">
      <c r="A238" s="1">
        <v>45420</v>
      </c>
      <c r="B238" s="2">
        <v>39056.3874</v>
      </c>
      <c r="D238" s="4">
        <v>45415</v>
      </c>
      <c r="E238" s="3">
        <v>2365.5233339735</v>
      </c>
      <c r="G238" s="5">
        <v>45412</v>
      </c>
      <c r="H238" s="3">
        <v>243.38187579213599</v>
      </c>
      <c r="J238" s="4">
        <v>45429</v>
      </c>
      <c r="K238" s="3">
        <v>568.43775816339598</v>
      </c>
      <c r="M238" s="1">
        <v>45420</v>
      </c>
      <c r="N238" s="3">
        <v>16302.755999999999</v>
      </c>
    </row>
    <row r="239" spans="1:14" x14ac:dyDescent="0.3">
      <c r="A239" s="1">
        <v>45419</v>
      </c>
      <c r="B239" s="2">
        <v>38884.263899999998</v>
      </c>
      <c r="D239" s="1">
        <v>45414</v>
      </c>
      <c r="E239" s="3">
        <v>2330.4529804037002</v>
      </c>
      <c r="G239" s="4">
        <v>45408</v>
      </c>
      <c r="H239" s="3">
        <v>239.59300195791999</v>
      </c>
      <c r="J239" s="1">
        <v>45428</v>
      </c>
      <c r="K239" s="3">
        <v>568.91100511739796</v>
      </c>
      <c r="M239" s="1">
        <v>45419</v>
      </c>
      <c r="N239" s="3">
        <v>16332.555</v>
      </c>
    </row>
    <row r="240" spans="1:14" x14ac:dyDescent="0.3">
      <c r="A240" s="5">
        <v>45418</v>
      </c>
      <c r="B240" s="2">
        <v>38852.269999999997</v>
      </c>
      <c r="D240" s="1">
        <v>45412</v>
      </c>
      <c r="E240" s="3">
        <v>2270.4710168083402</v>
      </c>
      <c r="G240" s="1">
        <v>45407</v>
      </c>
      <c r="H240" s="3">
        <v>241.750594282051</v>
      </c>
      <c r="J240" s="1">
        <v>45427</v>
      </c>
      <c r="K240" s="3">
        <v>570.98862832580505</v>
      </c>
      <c r="M240" s="5">
        <v>45418</v>
      </c>
      <c r="N240" s="3">
        <v>16349.245000000001</v>
      </c>
    </row>
    <row r="241" spans="1:14" x14ac:dyDescent="0.3">
      <c r="A241" s="4">
        <v>45415</v>
      </c>
      <c r="B241" s="2">
        <v>38675.679199999999</v>
      </c>
      <c r="D241" s="5">
        <v>45411</v>
      </c>
      <c r="E241" s="3">
        <v>2268.09165963755</v>
      </c>
      <c r="G241" s="1">
        <v>45406</v>
      </c>
      <c r="H241" s="3">
        <v>247.586455516928</v>
      </c>
      <c r="J241" s="1">
        <v>45426</v>
      </c>
      <c r="K241" s="3">
        <v>564.31809084910105</v>
      </c>
      <c r="M241" s="4">
        <v>45415</v>
      </c>
      <c r="N241" s="3">
        <v>16156.328</v>
      </c>
    </row>
    <row r="242" spans="1:14" x14ac:dyDescent="0.3">
      <c r="A242" s="1">
        <v>45414</v>
      </c>
      <c r="B242" s="2">
        <v>38225.661800000002</v>
      </c>
      <c r="D242" s="4">
        <v>45408</v>
      </c>
      <c r="E242" s="3">
        <v>2254.7871185314798</v>
      </c>
      <c r="G242" s="1">
        <v>45405</v>
      </c>
      <c r="H242" s="3">
        <v>242.553675235745</v>
      </c>
      <c r="J242" s="5">
        <v>45425</v>
      </c>
      <c r="K242" s="3">
        <v>561.90126866315495</v>
      </c>
      <c r="M242" s="1">
        <v>45414</v>
      </c>
      <c r="N242" s="3">
        <v>15840.958000000001</v>
      </c>
    </row>
    <row r="243" spans="1:14" x14ac:dyDescent="0.3">
      <c r="A243" s="1">
        <v>45413</v>
      </c>
      <c r="B243" s="2">
        <v>37903.291599999997</v>
      </c>
      <c r="D243" s="1">
        <v>45407</v>
      </c>
      <c r="E243" s="3">
        <v>2208.1249920155401</v>
      </c>
      <c r="G243" s="5">
        <v>45404</v>
      </c>
      <c r="H243" s="3">
        <v>241.78900800825201</v>
      </c>
      <c r="J243" s="4">
        <v>45422</v>
      </c>
      <c r="K243" s="3">
        <v>560.80724539355401</v>
      </c>
      <c r="M243" s="1">
        <v>45413</v>
      </c>
      <c r="N243" s="3">
        <v>15605.481</v>
      </c>
    </row>
    <row r="244" spans="1:14" x14ac:dyDescent="0.3">
      <c r="A244" s="1">
        <v>45412</v>
      </c>
      <c r="B244" s="2">
        <v>37815.915999999997</v>
      </c>
      <c r="D244" s="1">
        <v>45406</v>
      </c>
      <c r="E244" s="3">
        <v>2196.3928188365098</v>
      </c>
      <c r="G244" s="4">
        <v>45401</v>
      </c>
      <c r="H244" s="3">
        <v>239.722886891272</v>
      </c>
      <c r="J244" s="1">
        <v>45421</v>
      </c>
      <c r="K244" s="3">
        <v>557.12837983526799</v>
      </c>
      <c r="M244" s="1">
        <v>45412</v>
      </c>
      <c r="N244" s="3">
        <v>15657.822</v>
      </c>
    </row>
    <row r="245" spans="1:14" x14ac:dyDescent="0.3">
      <c r="A245" s="5">
        <v>45411</v>
      </c>
      <c r="B245" s="2">
        <v>38386.0913</v>
      </c>
      <c r="D245" s="1">
        <v>45405</v>
      </c>
      <c r="E245" s="3">
        <v>2148.05411959921</v>
      </c>
      <c r="G245" s="1">
        <v>45400</v>
      </c>
      <c r="H245" s="3">
        <v>246.26333829138801</v>
      </c>
      <c r="J245" s="1">
        <v>45420</v>
      </c>
      <c r="K245" s="3">
        <v>554.19214114562806</v>
      </c>
      <c r="M245" s="5">
        <v>45411</v>
      </c>
      <c r="N245" s="3">
        <v>15983.084000000001</v>
      </c>
    </row>
    <row r="246" spans="1:14" x14ac:dyDescent="0.3">
      <c r="A246" s="4">
        <v>45408</v>
      </c>
      <c r="B246" s="2">
        <v>38239.654999999999</v>
      </c>
      <c r="D246" s="5">
        <v>45404</v>
      </c>
      <c r="E246" s="3">
        <v>2107.2924510241901</v>
      </c>
      <c r="G246" s="1">
        <v>45399</v>
      </c>
      <c r="H246" s="3">
        <v>245.89843243944901</v>
      </c>
      <c r="J246" s="1">
        <v>45419</v>
      </c>
      <c r="K246" s="3">
        <v>552.67402103090001</v>
      </c>
      <c r="M246" s="4">
        <v>45408</v>
      </c>
      <c r="N246" s="3">
        <v>15927.9</v>
      </c>
    </row>
    <row r="247" spans="1:14" x14ac:dyDescent="0.3">
      <c r="A247" s="1">
        <v>45407</v>
      </c>
      <c r="B247" s="2">
        <v>38085.794999999998</v>
      </c>
      <c r="D247" s="4">
        <v>45401</v>
      </c>
      <c r="E247" s="3">
        <v>2071.4929584657998</v>
      </c>
      <c r="G247" s="1">
        <v>45398</v>
      </c>
      <c r="H247" s="3">
        <v>248.66653739253201</v>
      </c>
      <c r="J247" s="5">
        <v>45418</v>
      </c>
      <c r="K247" s="3">
        <v>547.24986001636501</v>
      </c>
      <c r="M247" s="1">
        <v>45407</v>
      </c>
      <c r="N247" s="3">
        <v>15611.76</v>
      </c>
    </row>
    <row r="248" spans="1:14" x14ac:dyDescent="0.3">
      <c r="A248" s="1">
        <v>45406</v>
      </c>
      <c r="B248" s="2">
        <v>38460.919099999999</v>
      </c>
      <c r="D248" s="1">
        <v>45400</v>
      </c>
      <c r="E248" s="3">
        <v>2092.3830319746698</v>
      </c>
      <c r="G248" s="5">
        <v>45397</v>
      </c>
      <c r="H248" s="3">
        <v>254.312568872773</v>
      </c>
      <c r="J248" s="4">
        <v>45415</v>
      </c>
      <c r="K248" s="3">
        <v>543.84964606149197</v>
      </c>
      <c r="M248" s="1">
        <v>45406</v>
      </c>
      <c r="N248" s="3">
        <v>15712.749</v>
      </c>
    </row>
    <row r="249" spans="1:14" x14ac:dyDescent="0.3">
      <c r="A249" s="1">
        <v>45405</v>
      </c>
      <c r="B249" s="2">
        <v>38503.687100000003</v>
      </c>
      <c r="D249" s="1">
        <v>45399</v>
      </c>
      <c r="E249" s="3">
        <v>2075.53319200021</v>
      </c>
      <c r="G249" s="4">
        <v>45394</v>
      </c>
      <c r="H249" s="3">
        <v>257.85197025053401</v>
      </c>
      <c r="J249" s="1">
        <v>45414</v>
      </c>
      <c r="K249" s="3">
        <v>539.69326469326302</v>
      </c>
      <c r="M249" s="1">
        <v>45405</v>
      </c>
      <c r="N249" s="3">
        <v>15696.64</v>
      </c>
    </row>
    <row r="250" spans="1:14" x14ac:dyDescent="0.3">
      <c r="A250" s="5">
        <v>45404</v>
      </c>
      <c r="B250" s="2">
        <v>38239.983500000002</v>
      </c>
      <c r="D250" s="1">
        <v>45398</v>
      </c>
      <c r="E250" s="3">
        <v>2074.7956994739202</v>
      </c>
      <c r="G250" s="1">
        <v>45393</v>
      </c>
      <c r="H250" s="3">
        <v>257.34083643243798</v>
      </c>
      <c r="J250" s="1">
        <v>45413</v>
      </c>
      <c r="K250" s="3">
        <v>540.06789535120299</v>
      </c>
      <c r="M250" s="5">
        <v>45404</v>
      </c>
      <c r="N250" s="3">
        <v>15451.305</v>
      </c>
    </row>
    <row r="251" spans="1:14" x14ac:dyDescent="0.3">
      <c r="A251" s="4">
        <v>45401</v>
      </c>
      <c r="B251" s="2">
        <v>37986.396999999997</v>
      </c>
      <c r="D251" s="5">
        <v>45397</v>
      </c>
      <c r="E251" s="3">
        <v>2120.4889763176002</v>
      </c>
      <c r="G251" s="1">
        <v>45392</v>
      </c>
      <c r="H251" s="3">
        <v>258.41750995625898</v>
      </c>
      <c r="J251" s="1">
        <v>45412</v>
      </c>
      <c r="K251" s="3">
        <v>538.46317922465801</v>
      </c>
      <c r="M251" s="4">
        <v>45401</v>
      </c>
      <c r="N251" s="3">
        <v>15282.01</v>
      </c>
    </row>
    <row r="252" spans="1:14" x14ac:dyDescent="0.3">
      <c r="A252" s="1">
        <v>45400</v>
      </c>
      <c r="B252" s="2">
        <v>37775.381600000001</v>
      </c>
      <c r="D252" s="4">
        <v>45394</v>
      </c>
      <c r="E252" s="3">
        <v>2133.6034093373901</v>
      </c>
      <c r="G252" s="1">
        <v>45391</v>
      </c>
      <c r="H252" s="3">
        <v>262.06186993475097</v>
      </c>
      <c r="J252" s="5">
        <v>45411</v>
      </c>
      <c r="K252" s="3">
        <v>544.89130900827797</v>
      </c>
      <c r="M252" s="1">
        <v>45400</v>
      </c>
      <c r="N252" s="3">
        <v>15601.499</v>
      </c>
    </row>
    <row r="253" spans="1:14" x14ac:dyDescent="0.3">
      <c r="A253" s="1">
        <v>45399</v>
      </c>
      <c r="B253" s="2">
        <v>37753.307699999998</v>
      </c>
      <c r="D253" s="1">
        <v>45393</v>
      </c>
      <c r="E253" s="3">
        <v>2181.0727363196802</v>
      </c>
      <c r="G253" s="5">
        <v>45390</v>
      </c>
      <c r="H253" s="3">
        <v>259.220238487399</v>
      </c>
      <c r="J253" s="4">
        <v>45408</v>
      </c>
      <c r="K253" s="3">
        <v>543.13146865109695</v>
      </c>
      <c r="M253" s="1">
        <v>45399</v>
      </c>
      <c r="N253" s="3">
        <v>15683.371999999999</v>
      </c>
    </row>
    <row r="254" spans="1:14" x14ac:dyDescent="0.3">
      <c r="A254" s="1">
        <v>45398</v>
      </c>
      <c r="B254" s="2">
        <v>37798.966399999998</v>
      </c>
      <c r="D254" s="1">
        <v>45392</v>
      </c>
      <c r="E254" s="3">
        <v>2187.4020471194799</v>
      </c>
      <c r="G254" s="4">
        <v>45387</v>
      </c>
      <c r="H254" s="3">
        <v>257.18672910759699</v>
      </c>
      <c r="J254" s="1">
        <v>45407</v>
      </c>
      <c r="K254" s="3">
        <v>539.00541816426198</v>
      </c>
      <c r="M254" s="1">
        <v>45398</v>
      </c>
      <c r="N254" s="3">
        <v>15865.251</v>
      </c>
    </row>
    <row r="255" spans="1:14" x14ac:dyDescent="0.3">
      <c r="A255" s="5">
        <v>45397</v>
      </c>
      <c r="B255" s="2">
        <v>37735.109900000003</v>
      </c>
      <c r="D255" s="1">
        <v>45391</v>
      </c>
      <c r="E255" s="3">
        <v>2149.06901307723</v>
      </c>
      <c r="G255" s="1">
        <v>45386</v>
      </c>
      <c r="H255" s="3">
        <v>262.82389479945402</v>
      </c>
      <c r="J255" s="1">
        <v>45406</v>
      </c>
      <c r="K255" s="3">
        <v>540.85191048735601</v>
      </c>
      <c r="M255" s="5">
        <v>45397</v>
      </c>
      <c r="N255" s="3">
        <v>15885.019</v>
      </c>
    </row>
    <row r="256" spans="1:14" x14ac:dyDescent="0.3">
      <c r="A256" s="4">
        <v>45394</v>
      </c>
      <c r="B256" s="2">
        <v>37983.243600000002</v>
      </c>
      <c r="D256" s="5">
        <v>45390</v>
      </c>
      <c r="E256" s="3">
        <v>2136.5812860718102</v>
      </c>
      <c r="G256" s="1">
        <v>45385</v>
      </c>
      <c r="H256" s="3">
        <v>260.09922204639702</v>
      </c>
      <c r="J256" s="1">
        <v>45405</v>
      </c>
      <c r="K256" s="3">
        <v>543.28265591064303</v>
      </c>
      <c r="M256" s="4">
        <v>45394</v>
      </c>
      <c r="N256" s="3">
        <v>16175.093999999999</v>
      </c>
    </row>
    <row r="257" spans="1:14" x14ac:dyDescent="0.3">
      <c r="A257" s="1">
        <v>45393</v>
      </c>
      <c r="B257" s="2">
        <v>38459.079599999997</v>
      </c>
      <c r="D257" s="4">
        <v>45387</v>
      </c>
      <c r="E257" s="3">
        <v>2136.3412235095702</v>
      </c>
      <c r="G257" s="1">
        <v>45384</v>
      </c>
      <c r="H257" s="3">
        <v>262.87634444078998</v>
      </c>
      <c r="J257" s="5">
        <v>45404</v>
      </c>
      <c r="K257" s="3">
        <v>535.16369951310799</v>
      </c>
      <c r="M257" s="1">
        <v>45393</v>
      </c>
      <c r="N257" s="3">
        <v>16442.198</v>
      </c>
    </row>
    <row r="258" spans="1:14" x14ac:dyDescent="0.3">
      <c r="A258" s="1">
        <v>45392</v>
      </c>
      <c r="B258" s="2">
        <v>38461.510300000002</v>
      </c>
      <c r="D258" s="1">
        <v>45385</v>
      </c>
      <c r="E258" s="3">
        <v>2136.38279663291</v>
      </c>
      <c r="G258" s="5">
        <v>45383</v>
      </c>
      <c r="H258" s="3">
        <v>262.50141792520702</v>
      </c>
      <c r="J258" s="4">
        <v>45401</v>
      </c>
      <c r="K258" s="3">
        <v>531.94617572793697</v>
      </c>
      <c r="M258" s="1">
        <v>45392</v>
      </c>
      <c r="N258" s="3">
        <v>16170.36</v>
      </c>
    </row>
    <row r="259" spans="1:14" x14ac:dyDescent="0.3">
      <c r="A259" s="1">
        <v>45391</v>
      </c>
      <c r="B259" s="2">
        <v>38883.672599999998</v>
      </c>
      <c r="D259" s="5">
        <v>45384</v>
      </c>
      <c r="E259" s="3">
        <v>2162.6393838372201</v>
      </c>
      <c r="G259" s="4">
        <v>45380</v>
      </c>
      <c r="H259" s="3">
        <v>266.79955059149898</v>
      </c>
      <c r="J259" s="1">
        <v>45400</v>
      </c>
      <c r="K259" s="3">
        <v>531.83337235786098</v>
      </c>
      <c r="M259" s="1">
        <v>45391</v>
      </c>
      <c r="N259" s="3">
        <v>16306.638999999999</v>
      </c>
    </row>
    <row r="260" spans="1:14" x14ac:dyDescent="0.3">
      <c r="A260" s="5">
        <v>45390</v>
      </c>
      <c r="B260" s="2">
        <v>38892.804400000001</v>
      </c>
      <c r="D260" s="4">
        <v>45379</v>
      </c>
      <c r="E260" s="3">
        <v>2113.5143422986098</v>
      </c>
      <c r="G260" s="1">
        <v>45379</v>
      </c>
      <c r="H260" s="3">
        <v>265.36348021405303</v>
      </c>
      <c r="J260" s="1">
        <v>45399</v>
      </c>
      <c r="K260" s="3">
        <v>531.97029195833898</v>
      </c>
      <c r="M260" s="5">
        <v>45390</v>
      </c>
      <c r="N260" s="3">
        <v>16253.955</v>
      </c>
    </row>
    <row r="261" spans="1:14" x14ac:dyDescent="0.3">
      <c r="A261" s="4">
        <v>45387</v>
      </c>
      <c r="B261" s="2">
        <v>38904.038399999998</v>
      </c>
      <c r="D261" s="1">
        <v>45378</v>
      </c>
      <c r="E261" s="3">
        <v>2095.2261659786</v>
      </c>
      <c r="G261" s="1">
        <v>45378</v>
      </c>
      <c r="H261" s="3">
        <v>269.380980703148</v>
      </c>
      <c r="J261" s="1">
        <v>45398</v>
      </c>
      <c r="K261" s="3">
        <v>528.94711696694799</v>
      </c>
      <c r="M261" s="4">
        <v>45387</v>
      </c>
      <c r="N261" s="3">
        <v>16248.52</v>
      </c>
    </row>
    <row r="262" spans="1:14" x14ac:dyDescent="0.3">
      <c r="A262" s="1">
        <v>45386</v>
      </c>
      <c r="B262" s="2">
        <v>38596.975400000003</v>
      </c>
      <c r="D262" s="1">
        <v>45377</v>
      </c>
      <c r="E262" s="3">
        <v>2124.09985045438</v>
      </c>
      <c r="G262" s="1">
        <v>45377</v>
      </c>
      <c r="H262" s="3">
        <v>266.56568789179602</v>
      </c>
      <c r="J262" s="5">
        <v>45397</v>
      </c>
      <c r="K262" s="3">
        <v>537.40015295717103</v>
      </c>
      <c r="M262" s="1">
        <v>45386</v>
      </c>
      <c r="N262" s="3">
        <v>16049.082</v>
      </c>
    </row>
    <row r="263" spans="1:14" x14ac:dyDescent="0.3">
      <c r="A263" s="1">
        <v>45385</v>
      </c>
      <c r="B263" s="2">
        <v>39127.141900000002</v>
      </c>
      <c r="D263" s="5">
        <v>45376</v>
      </c>
      <c r="E263" s="3">
        <v>2106.1726500971599</v>
      </c>
      <c r="G263" s="5">
        <v>45376</v>
      </c>
      <c r="H263" s="3">
        <v>266.91843339276602</v>
      </c>
      <c r="J263" s="4">
        <v>45394</v>
      </c>
      <c r="K263" s="3">
        <v>537.688763076398</v>
      </c>
      <c r="M263" s="1">
        <v>45385</v>
      </c>
      <c r="N263" s="3">
        <v>16277.458000000001</v>
      </c>
    </row>
    <row r="264" spans="1:14" x14ac:dyDescent="0.3">
      <c r="A264" s="1">
        <v>45384</v>
      </c>
      <c r="B264" s="2">
        <v>39170.238499999999</v>
      </c>
      <c r="D264" s="4">
        <v>45373</v>
      </c>
      <c r="E264" s="3">
        <v>2109.4750434693601</v>
      </c>
      <c r="G264" s="4">
        <v>45373</v>
      </c>
      <c r="H264" s="3">
        <v>270.03321886144198</v>
      </c>
      <c r="J264" s="1">
        <v>45393</v>
      </c>
      <c r="K264" s="3">
        <v>541.07818850603996</v>
      </c>
      <c r="M264" s="1">
        <v>45384</v>
      </c>
      <c r="N264" s="3">
        <v>16240.449000000001</v>
      </c>
    </row>
    <row r="265" spans="1:14" x14ac:dyDescent="0.3">
      <c r="A265" s="5">
        <v>45383</v>
      </c>
      <c r="B265" s="2">
        <v>39566.845099999999</v>
      </c>
      <c r="D265" s="1">
        <v>45372</v>
      </c>
      <c r="E265" s="3">
        <v>2155.9655313490798</v>
      </c>
      <c r="G265" s="1">
        <v>45372</v>
      </c>
      <c r="H265" s="3">
        <v>269.214827517993</v>
      </c>
      <c r="J265" s="1">
        <v>45392</v>
      </c>
      <c r="K265" s="3">
        <v>544.17625385367398</v>
      </c>
      <c r="M265" s="5">
        <v>45383</v>
      </c>
      <c r="N265" s="3">
        <v>16396.831999999999</v>
      </c>
    </row>
    <row r="266" spans="1:14" x14ac:dyDescent="0.3">
      <c r="A266" s="4">
        <v>45379</v>
      </c>
      <c r="B266" s="2">
        <v>39807.374400000001</v>
      </c>
      <c r="D266" s="1">
        <v>45371</v>
      </c>
      <c r="E266" s="3">
        <v>2114.72490668303</v>
      </c>
      <c r="G266" s="1">
        <v>45370</v>
      </c>
      <c r="H266" s="3">
        <v>265.18793503480401</v>
      </c>
      <c r="J266" s="1">
        <v>45391</v>
      </c>
      <c r="K266" s="3">
        <v>549.07026475473197</v>
      </c>
      <c r="M266" s="4">
        <v>45379</v>
      </c>
      <c r="N266" s="3">
        <v>16379.458000000001</v>
      </c>
    </row>
    <row r="267" spans="1:14" x14ac:dyDescent="0.3">
      <c r="A267" s="1">
        <v>45378</v>
      </c>
      <c r="B267" s="2">
        <v>39760.077700000002</v>
      </c>
      <c r="D267" s="1">
        <v>45370</v>
      </c>
      <c r="E267" s="3">
        <v>2112.93365716476</v>
      </c>
      <c r="G267" s="5">
        <v>45369</v>
      </c>
      <c r="H267" s="3">
        <v>266.46399356307597</v>
      </c>
      <c r="J267" s="5">
        <v>45390</v>
      </c>
      <c r="K267" s="3">
        <v>552.59614758192504</v>
      </c>
      <c r="M267" s="1">
        <v>45378</v>
      </c>
      <c r="N267" s="3">
        <v>16399.521000000001</v>
      </c>
    </row>
    <row r="268" spans="1:14" x14ac:dyDescent="0.3">
      <c r="A268" s="1">
        <v>45377</v>
      </c>
      <c r="B268" s="2">
        <v>39282.327899999997</v>
      </c>
      <c r="D268" s="5">
        <v>45369</v>
      </c>
      <c r="E268" s="3">
        <v>2140.5156537753201</v>
      </c>
      <c r="G268" s="4">
        <v>45366</v>
      </c>
      <c r="H268" s="3">
        <v>259.747953294853</v>
      </c>
      <c r="J268" s="4">
        <v>45387</v>
      </c>
      <c r="K268" s="3">
        <v>548.84985860249196</v>
      </c>
      <c r="M268" s="1">
        <v>45377</v>
      </c>
      <c r="N268" s="3">
        <v>16315.699000000001</v>
      </c>
    </row>
    <row r="269" spans="1:14" x14ac:dyDescent="0.3">
      <c r="A269" s="5">
        <v>45376</v>
      </c>
      <c r="B269" s="2">
        <v>39313.640700000004</v>
      </c>
      <c r="D269" s="4">
        <v>45366</v>
      </c>
      <c r="E269" s="3">
        <v>2137.8111615419102</v>
      </c>
      <c r="G269" s="1">
        <v>45365</v>
      </c>
      <c r="H269" s="3">
        <v>261.64630528586201</v>
      </c>
      <c r="J269" s="1">
        <v>45386</v>
      </c>
      <c r="K269" s="3">
        <v>553.49809844733397</v>
      </c>
      <c r="M269" s="5">
        <v>45376</v>
      </c>
      <c r="N269" s="3">
        <v>16384.467000000001</v>
      </c>
    </row>
    <row r="270" spans="1:14" x14ac:dyDescent="0.3">
      <c r="A270" s="4">
        <v>45373</v>
      </c>
      <c r="B270" s="2">
        <v>39475.904000000002</v>
      </c>
      <c r="D270" s="1">
        <v>45365</v>
      </c>
      <c r="E270" s="3">
        <v>2168.40019431874</v>
      </c>
      <c r="G270" s="1">
        <v>45364</v>
      </c>
      <c r="H270" s="3">
        <v>261.91938540680798</v>
      </c>
      <c r="J270" s="1">
        <v>45385</v>
      </c>
      <c r="K270" s="3">
        <v>552.60962369843605</v>
      </c>
      <c r="M270" s="4">
        <v>45373</v>
      </c>
      <c r="N270" s="3">
        <v>16428.817999999999</v>
      </c>
    </row>
    <row r="271" spans="1:14" x14ac:dyDescent="0.3">
      <c r="A271" s="1">
        <v>45372</v>
      </c>
      <c r="B271" s="2">
        <v>39781.3678</v>
      </c>
      <c r="D271" s="1">
        <v>45364</v>
      </c>
      <c r="E271" s="3">
        <v>2183.49162118288</v>
      </c>
      <c r="G271" s="1">
        <v>45363</v>
      </c>
      <c r="H271" s="3">
        <v>262.713366738893</v>
      </c>
      <c r="J271" s="5">
        <v>45384</v>
      </c>
      <c r="K271" s="3">
        <v>547.62673902743495</v>
      </c>
      <c r="M271" s="1">
        <v>45372</v>
      </c>
      <c r="N271" s="3">
        <v>16401.835999999999</v>
      </c>
    </row>
    <row r="272" spans="1:14" x14ac:dyDescent="0.3">
      <c r="A272" s="1">
        <v>45371</v>
      </c>
      <c r="B272" s="2">
        <v>39512.1299</v>
      </c>
      <c r="D272" s="1">
        <v>45363</v>
      </c>
      <c r="E272" s="3">
        <v>2184.8916725250901</v>
      </c>
      <c r="G272" s="5">
        <v>45362</v>
      </c>
      <c r="H272" s="3">
        <v>264.19279978221601</v>
      </c>
      <c r="J272" s="4">
        <v>45379</v>
      </c>
      <c r="K272" s="3">
        <v>553.01820849154296</v>
      </c>
      <c r="M272" s="1">
        <v>45371</v>
      </c>
      <c r="N272" s="3">
        <v>16369.406999999999</v>
      </c>
    </row>
    <row r="273" spans="1:14" x14ac:dyDescent="0.3">
      <c r="A273" s="1">
        <v>45370</v>
      </c>
      <c r="B273" s="2">
        <v>39110.7624</v>
      </c>
      <c r="D273" s="5">
        <v>45362</v>
      </c>
      <c r="E273" s="3">
        <v>2120.7387235348201</v>
      </c>
      <c r="G273" s="4">
        <v>45359</v>
      </c>
      <c r="H273" s="3">
        <v>269.86428231455102</v>
      </c>
      <c r="J273" s="1">
        <v>45378</v>
      </c>
      <c r="K273" s="3">
        <v>554.02186857204595</v>
      </c>
      <c r="M273" s="1">
        <v>45370</v>
      </c>
      <c r="N273" s="3">
        <v>16166.790999999999</v>
      </c>
    </row>
    <row r="274" spans="1:14" x14ac:dyDescent="0.3">
      <c r="A274" s="5">
        <v>45369</v>
      </c>
      <c r="B274" s="2">
        <v>38790.4283</v>
      </c>
      <c r="D274" s="4">
        <v>45359</v>
      </c>
      <c r="E274" s="3">
        <v>2091.1461197140702</v>
      </c>
      <c r="G274" s="1">
        <v>45358</v>
      </c>
      <c r="H274" s="3">
        <v>267.50462744039902</v>
      </c>
      <c r="J274" s="1">
        <v>45377</v>
      </c>
      <c r="K274" s="3">
        <v>553.51108993242099</v>
      </c>
      <c r="M274" s="5">
        <v>45369</v>
      </c>
      <c r="N274" s="3">
        <v>16103.448</v>
      </c>
    </row>
    <row r="275" spans="1:14" x14ac:dyDescent="0.3">
      <c r="A275" s="4">
        <v>45366</v>
      </c>
      <c r="B275" s="2">
        <v>38714.766600000003</v>
      </c>
      <c r="D275" s="1">
        <v>45358</v>
      </c>
      <c r="E275" s="3">
        <v>2075.233674735</v>
      </c>
      <c r="G275" s="1">
        <v>45357</v>
      </c>
      <c r="H275" s="3">
        <v>268.39914306755497</v>
      </c>
      <c r="J275" s="5">
        <v>45376</v>
      </c>
      <c r="K275" s="3">
        <v>552.48415235411903</v>
      </c>
      <c r="M275" s="4">
        <v>45366</v>
      </c>
      <c r="N275" s="3">
        <v>15973.174000000001</v>
      </c>
    </row>
    <row r="276" spans="1:14" x14ac:dyDescent="0.3">
      <c r="A276" s="1">
        <v>45365</v>
      </c>
      <c r="B276" s="2">
        <v>38905.656900000002</v>
      </c>
      <c r="D276" s="1">
        <v>45357</v>
      </c>
      <c r="E276" s="3">
        <v>2100.6606859888602</v>
      </c>
      <c r="G276" s="1">
        <v>45356</v>
      </c>
      <c r="H276" s="3">
        <v>267.246267661974</v>
      </c>
      <c r="J276" s="4">
        <v>45373</v>
      </c>
      <c r="K276" s="3">
        <v>550.66450567260904</v>
      </c>
      <c r="M276" s="1">
        <v>45365</v>
      </c>
      <c r="N276" s="3">
        <v>16128.529</v>
      </c>
    </row>
    <row r="277" spans="1:14" x14ac:dyDescent="0.3">
      <c r="A277" s="1">
        <v>45364</v>
      </c>
      <c r="B277" s="2">
        <v>39043.321900000003</v>
      </c>
      <c r="D277" s="1">
        <v>45356</v>
      </c>
      <c r="E277" s="3">
        <v>2065.7770961145102</v>
      </c>
      <c r="G277" s="5">
        <v>45355</v>
      </c>
      <c r="H277" s="3">
        <v>266.48880473058801</v>
      </c>
      <c r="J277" s="1">
        <v>45372</v>
      </c>
      <c r="K277" s="3">
        <v>553.61040822754103</v>
      </c>
      <c r="M277" s="1">
        <v>45364</v>
      </c>
      <c r="N277" s="3">
        <v>16177.766</v>
      </c>
    </row>
    <row r="278" spans="1:14" x14ac:dyDescent="0.3">
      <c r="A278" s="1">
        <v>45363</v>
      </c>
      <c r="B278" s="2">
        <v>39005.491099999999</v>
      </c>
      <c r="D278" s="5">
        <v>45355</v>
      </c>
      <c r="E278" s="3">
        <v>2120.9720500466501</v>
      </c>
      <c r="G278" s="4">
        <v>45352</v>
      </c>
      <c r="H278" s="3">
        <v>265.87715675172501</v>
      </c>
      <c r="J278" s="1">
        <v>45371</v>
      </c>
      <c r="K278" s="3">
        <v>551.58747488863901</v>
      </c>
      <c r="M278" s="1">
        <v>45363</v>
      </c>
      <c r="N278" s="3">
        <v>16265.636</v>
      </c>
    </row>
    <row r="279" spans="1:14" x14ac:dyDescent="0.3">
      <c r="A279" s="5">
        <v>45362</v>
      </c>
      <c r="B279" s="2">
        <v>38769.662300000004</v>
      </c>
      <c r="D279" s="4">
        <v>45352</v>
      </c>
      <c r="E279" s="3">
        <v>2119.1083860254298</v>
      </c>
      <c r="G279" s="1">
        <v>45351</v>
      </c>
      <c r="H279" s="3">
        <v>261.142752366987</v>
      </c>
      <c r="J279" s="1">
        <v>45370</v>
      </c>
      <c r="K279" s="3">
        <v>548.93034474516401</v>
      </c>
      <c r="M279" s="5">
        <v>45362</v>
      </c>
      <c r="N279" s="3">
        <v>16019.273999999999</v>
      </c>
    </row>
    <row r="280" spans="1:14" x14ac:dyDescent="0.3">
      <c r="A280" s="4">
        <v>45359</v>
      </c>
      <c r="B280" s="2">
        <v>38722.693099999997</v>
      </c>
      <c r="D280" s="1">
        <v>45351</v>
      </c>
      <c r="E280" s="3">
        <v>2109.0639689352101</v>
      </c>
      <c r="G280" s="1">
        <v>45350</v>
      </c>
      <c r="H280" s="3">
        <v>260.22453043072699</v>
      </c>
      <c r="J280" s="5">
        <v>45369</v>
      </c>
      <c r="K280" s="3">
        <v>547.83232595555705</v>
      </c>
      <c r="M280" s="4">
        <v>45359</v>
      </c>
      <c r="N280" s="3">
        <v>16085.112999999999</v>
      </c>
    </row>
    <row r="281" spans="1:14" x14ac:dyDescent="0.3">
      <c r="A281" s="1">
        <v>45358</v>
      </c>
      <c r="B281" s="2">
        <v>38791.345399999998</v>
      </c>
      <c r="D281" s="1">
        <v>45350</v>
      </c>
      <c r="E281" s="3">
        <v>2112.5525364401701</v>
      </c>
      <c r="G281" s="1">
        <v>45349</v>
      </c>
      <c r="H281" s="3">
        <v>260.72770764118599</v>
      </c>
      <c r="J281" s="4">
        <v>45366</v>
      </c>
      <c r="K281" s="3">
        <v>549.57377548909903</v>
      </c>
      <c r="M281" s="1">
        <v>45358</v>
      </c>
      <c r="N281" s="3">
        <v>16273.375</v>
      </c>
    </row>
    <row r="282" spans="1:14" x14ac:dyDescent="0.3">
      <c r="A282" s="1">
        <v>45357</v>
      </c>
      <c r="B282" s="2">
        <v>38661.050000000003</v>
      </c>
      <c r="D282" s="1">
        <v>45349</v>
      </c>
      <c r="E282" s="3">
        <v>2146.0359657979898</v>
      </c>
      <c r="G282" s="5">
        <v>45348</v>
      </c>
      <c r="H282" s="3">
        <v>260.360408786238</v>
      </c>
      <c r="J282" s="1">
        <v>45365</v>
      </c>
      <c r="K282" s="3">
        <v>551.01574486142795</v>
      </c>
      <c r="M282" s="1">
        <v>45357</v>
      </c>
      <c r="N282" s="3">
        <v>16031.543</v>
      </c>
    </row>
    <row r="283" spans="1:14" x14ac:dyDescent="0.3">
      <c r="A283" s="1">
        <v>45356</v>
      </c>
      <c r="B283" s="2">
        <v>38585.191800000001</v>
      </c>
      <c r="D283" s="5">
        <v>45348</v>
      </c>
      <c r="E283" s="3">
        <v>2126.1714256499499</v>
      </c>
      <c r="G283" s="4">
        <v>45344</v>
      </c>
      <c r="H283" s="3">
        <v>259.77463291476198</v>
      </c>
      <c r="J283" s="1">
        <v>45364</v>
      </c>
      <c r="K283" s="3">
        <v>555.32082576238497</v>
      </c>
      <c r="M283" s="1">
        <v>45356</v>
      </c>
      <c r="N283" s="3">
        <v>15939.588</v>
      </c>
    </row>
    <row r="284" spans="1:14" x14ac:dyDescent="0.3">
      <c r="A284" s="5">
        <v>45355</v>
      </c>
      <c r="B284" s="2">
        <v>38989.834699999999</v>
      </c>
      <c r="D284" s="4">
        <v>45345</v>
      </c>
      <c r="E284" s="3">
        <v>2137.8179401314001</v>
      </c>
      <c r="G284" s="1">
        <v>45343</v>
      </c>
      <c r="H284" s="3">
        <v>254.605802502009</v>
      </c>
      <c r="J284" s="1">
        <v>45363</v>
      </c>
      <c r="K284" s="3">
        <v>553.31978763845996</v>
      </c>
      <c r="M284" s="5">
        <v>45355</v>
      </c>
      <c r="N284" s="3">
        <v>16207.509</v>
      </c>
    </row>
    <row r="285" spans="1:14" x14ac:dyDescent="0.3">
      <c r="A285" s="4">
        <v>45352</v>
      </c>
      <c r="B285" s="2">
        <v>39087.376100000001</v>
      </c>
      <c r="D285" s="1">
        <v>45344</v>
      </c>
      <c r="E285" s="3">
        <v>2140.4400296591798</v>
      </c>
      <c r="G285" s="1">
        <v>45342</v>
      </c>
      <c r="H285" s="3">
        <v>255.77445163012001</v>
      </c>
      <c r="J285" s="5">
        <v>45362</v>
      </c>
      <c r="K285" s="3">
        <v>547.92679595738798</v>
      </c>
      <c r="M285" s="4">
        <v>45352</v>
      </c>
      <c r="N285" s="3">
        <v>16274.941999999999</v>
      </c>
    </row>
    <row r="286" spans="1:14" x14ac:dyDescent="0.3">
      <c r="A286" s="1">
        <v>45351</v>
      </c>
      <c r="B286" s="2">
        <v>38996.385499999997</v>
      </c>
      <c r="D286" s="1">
        <v>45343</v>
      </c>
      <c r="E286" s="3">
        <v>2110.1279903847299</v>
      </c>
      <c r="G286" s="5">
        <v>45341</v>
      </c>
      <c r="H286" s="3">
        <v>256.281260409043</v>
      </c>
      <c r="J286" s="4">
        <v>45359</v>
      </c>
      <c r="K286" s="3">
        <v>550.41396432360398</v>
      </c>
      <c r="M286" s="1">
        <v>45351</v>
      </c>
      <c r="N286" s="3">
        <v>16091.922</v>
      </c>
    </row>
    <row r="287" spans="1:14" x14ac:dyDescent="0.3">
      <c r="A287" s="1">
        <v>45350</v>
      </c>
      <c r="B287" s="2">
        <v>38949.023200000003</v>
      </c>
      <c r="D287" s="1">
        <v>45342</v>
      </c>
      <c r="E287" s="3">
        <v>2077.5007352283101</v>
      </c>
      <c r="G287" s="4">
        <v>45338</v>
      </c>
      <c r="H287" s="3">
        <v>256.22288795685103</v>
      </c>
      <c r="J287" s="1">
        <v>45358</v>
      </c>
      <c r="K287" s="3">
        <v>550.75636506928697</v>
      </c>
      <c r="M287" s="1">
        <v>45350</v>
      </c>
      <c r="N287" s="3">
        <v>15947.737999999999</v>
      </c>
    </row>
    <row r="288" spans="1:14" x14ac:dyDescent="0.3">
      <c r="A288" s="1">
        <v>45349</v>
      </c>
      <c r="B288" s="2">
        <v>38972.409500000002</v>
      </c>
      <c r="D288" s="5">
        <v>45341</v>
      </c>
      <c r="E288" s="3">
        <v>2065.7234554009801</v>
      </c>
      <c r="G288" s="1">
        <v>45337</v>
      </c>
      <c r="H288" s="3">
        <v>254.53899006072101</v>
      </c>
      <c r="J288" s="1">
        <v>45357</v>
      </c>
      <c r="K288" s="3">
        <v>542.90166506843195</v>
      </c>
      <c r="M288" s="1">
        <v>45349</v>
      </c>
      <c r="N288" s="3">
        <v>16035.3</v>
      </c>
    </row>
    <row r="289" spans="1:14" x14ac:dyDescent="0.3">
      <c r="A289" s="5">
        <v>45348</v>
      </c>
      <c r="B289" s="2">
        <v>39069.2304</v>
      </c>
      <c r="D289" s="4">
        <v>45338</v>
      </c>
      <c r="E289" s="3">
        <v>2088.8945706505701</v>
      </c>
      <c r="G289" s="1">
        <v>45336</v>
      </c>
      <c r="H289" s="3">
        <v>250.43719694451801</v>
      </c>
      <c r="J289" s="1">
        <v>45356</v>
      </c>
      <c r="K289" s="3">
        <v>538.70368963234102</v>
      </c>
      <c r="M289" s="5">
        <v>45348</v>
      </c>
      <c r="N289" s="3">
        <v>15976.251</v>
      </c>
    </row>
    <row r="290" spans="1:14" x14ac:dyDescent="0.3">
      <c r="A290" s="4">
        <v>45345</v>
      </c>
      <c r="B290" s="2">
        <v>39131.5285</v>
      </c>
      <c r="D290" s="1">
        <v>45337</v>
      </c>
      <c r="E290" s="3">
        <v>2039.13777448109</v>
      </c>
      <c r="G290" s="5">
        <v>45335</v>
      </c>
      <c r="H290" s="3">
        <v>251.767159625961</v>
      </c>
      <c r="J290" s="5">
        <v>45355</v>
      </c>
      <c r="K290" s="3">
        <v>539.88842096123199</v>
      </c>
      <c r="M290" s="4">
        <v>45345</v>
      </c>
      <c r="N290" s="3">
        <v>15996.823</v>
      </c>
    </row>
    <row r="291" spans="1:14" x14ac:dyDescent="0.3">
      <c r="A291" s="1">
        <v>45344</v>
      </c>
      <c r="B291" s="2">
        <v>39069.113899999997</v>
      </c>
      <c r="D291" s="5">
        <v>45336</v>
      </c>
      <c r="E291" s="3">
        <v>2031.0787649331</v>
      </c>
      <c r="G291" s="4">
        <v>45331</v>
      </c>
      <c r="H291" s="3">
        <v>247.13610180842201</v>
      </c>
      <c r="J291" s="4">
        <v>45352</v>
      </c>
      <c r="K291" s="3">
        <v>539.23013567991495</v>
      </c>
      <c r="M291" s="1">
        <v>45344</v>
      </c>
      <c r="N291" s="3">
        <v>16041.620999999999</v>
      </c>
    </row>
    <row r="292" spans="1:14" x14ac:dyDescent="0.3">
      <c r="A292" s="1">
        <v>45343</v>
      </c>
      <c r="B292" s="2">
        <v>38612.242299999998</v>
      </c>
      <c r="D292" s="4">
        <v>45331</v>
      </c>
      <c r="E292" s="3">
        <v>2013.7064081742301</v>
      </c>
      <c r="G292" s="1">
        <v>45330</v>
      </c>
      <c r="H292" s="3">
        <v>246.89089813138901</v>
      </c>
      <c r="J292" s="1">
        <v>45351</v>
      </c>
      <c r="K292" s="3">
        <v>534.32648784124001</v>
      </c>
      <c r="M292" s="1">
        <v>45343</v>
      </c>
      <c r="N292" s="3">
        <v>15580.87</v>
      </c>
    </row>
    <row r="293" spans="1:14" x14ac:dyDescent="0.3">
      <c r="A293" s="5">
        <v>45342</v>
      </c>
      <c r="B293" s="2">
        <v>38563.800199999998</v>
      </c>
      <c r="D293" s="1">
        <v>45330</v>
      </c>
      <c r="E293" s="3">
        <v>2030.18411967779</v>
      </c>
      <c r="G293" s="1">
        <v>45329</v>
      </c>
      <c r="H293" s="3">
        <v>243.757052233781</v>
      </c>
      <c r="J293" s="1">
        <v>45350</v>
      </c>
      <c r="K293" s="3">
        <v>535.93758465622602</v>
      </c>
      <c r="M293" s="5">
        <v>45342</v>
      </c>
      <c r="N293" s="3">
        <v>15630.782999999999</v>
      </c>
    </row>
    <row r="294" spans="1:14" x14ac:dyDescent="0.3">
      <c r="A294" s="4">
        <v>45338</v>
      </c>
      <c r="B294" s="2">
        <v>38627.994200000001</v>
      </c>
      <c r="D294" s="1">
        <v>45329</v>
      </c>
      <c r="E294" s="3">
        <v>2056.7969919042398</v>
      </c>
      <c r="G294" s="1">
        <v>45328</v>
      </c>
      <c r="H294" s="3">
        <v>244.42787616600401</v>
      </c>
      <c r="J294" s="1">
        <v>45349</v>
      </c>
      <c r="K294" s="3">
        <v>538.21963412386003</v>
      </c>
      <c r="M294" s="4">
        <v>45338</v>
      </c>
      <c r="N294" s="3">
        <v>15775.654</v>
      </c>
    </row>
    <row r="295" spans="1:14" x14ac:dyDescent="0.3">
      <c r="A295" s="1">
        <v>45337</v>
      </c>
      <c r="B295" s="2">
        <v>38773.122799999997</v>
      </c>
      <c r="D295" s="1">
        <v>45328</v>
      </c>
      <c r="E295" s="3">
        <v>2062.9052464716601</v>
      </c>
      <c r="G295" s="5">
        <v>45327</v>
      </c>
      <c r="H295" s="3">
        <v>244.52922580210699</v>
      </c>
      <c r="J295" s="5">
        <v>45348</v>
      </c>
      <c r="K295" s="3">
        <v>537.39519041988694</v>
      </c>
      <c r="M295" s="1">
        <v>45337</v>
      </c>
      <c r="N295" s="3">
        <v>15906.173000000001</v>
      </c>
    </row>
    <row r="296" spans="1:14" x14ac:dyDescent="0.3">
      <c r="A296" s="1">
        <v>45336</v>
      </c>
      <c r="B296" s="2">
        <v>38424.273800000003</v>
      </c>
      <c r="D296" s="5">
        <v>45327</v>
      </c>
      <c r="E296" s="3">
        <v>1982.99686760852</v>
      </c>
      <c r="G296" s="4">
        <v>45324</v>
      </c>
      <c r="H296" s="3">
        <v>243.70169171667101</v>
      </c>
      <c r="J296" s="4">
        <v>45345</v>
      </c>
      <c r="K296" s="3">
        <v>537.922305520397</v>
      </c>
      <c r="M296" s="1">
        <v>45336</v>
      </c>
      <c r="N296" s="3">
        <v>15859.146000000001</v>
      </c>
    </row>
    <row r="297" spans="1:14" x14ac:dyDescent="0.3">
      <c r="A297" s="1">
        <v>45335</v>
      </c>
      <c r="B297" s="2">
        <v>38272.752200000003</v>
      </c>
      <c r="D297" s="4">
        <v>45324</v>
      </c>
      <c r="E297" s="3">
        <v>1986.36334573726</v>
      </c>
      <c r="G297" s="1">
        <v>45323</v>
      </c>
      <c r="H297" s="3">
        <v>245.94631880889099</v>
      </c>
      <c r="J297" s="1">
        <v>45344</v>
      </c>
      <c r="K297" s="3">
        <v>535.84570760638996</v>
      </c>
      <c r="M297" s="1">
        <v>45335</v>
      </c>
      <c r="N297" s="3">
        <v>15655.599</v>
      </c>
    </row>
    <row r="298" spans="1:14" x14ac:dyDescent="0.3">
      <c r="A298" s="5">
        <v>45334</v>
      </c>
      <c r="B298" s="2">
        <v>38797.376799999998</v>
      </c>
      <c r="D298" s="1">
        <v>45323</v>
      </c>
      <c r="E298" s="3">
        <v>1990.6657629546301</v>
      </c>
      <c r="G298" s="1">
        <v>45322</v>
      </c>
      <c r="H298" s="3">
        <v>247.05004084965901</v>
      </c>
      <c r="J298" s="1">
        <v>45343</v>
      </c>
      <c r="K298" s="3">
        <v>531.16921046653601</v>
      </c>
      <c r="M298" s="5">
        <v>45334</v>
      </c>
      <c r="N298" s="3">
        <v>15942.545</v>
      </c>
    </row>
    <row r="299" spans="1:14" x14ac:dyDescent="0.3">
      <c r="A299" s="4">
        <v>45331</v>
      </c>
      <c r="B299" s="2">
        <v>38671.690999999999</v>
      </c>
      <c r="D299" s="1">
        <v>45322</v>
      </c>
      <c r="E299" s="3">
        <v>1980.6945510360599</v>
      </c>
      <c r="G299" s="1">
        <v>45321</v>
      </c>
      <c r="H299" s="3">
        <v>244.348644986468</v>
      </c>
      <c r="J299" s="1">
        <v>45342</v>
      </c>
      <c r="K299" s="3">
        <v>531.39887865006006</v>
      </c>
      <c r="M299" s="4">
        <v>45331</v>
      </c>
      <c r="N299" s="3">
        <v>15990.664000000001</v>
      </c>
    </row>
    <row r="300" spans="1:14" x14ac:dyDescent="0.3">
      <c r="A300" s="1">
        <v>45330</v>
      </c>
      <c r="B300" s="2">
        <v>38726.328399999999</v>
      </c>
      <c r="D300" s="1">
        <v>45321</v>
      </c>
      <c r="E300" s="3">
        <v>2008.7046062141001</v>
      </c>
      <c r="G300" s="5">
        <v>45320</v>
      </c>
      <c r="H300" s="3">
        <v>244.26700115261301</v>
      </c>
      <c r="J300" s="5">
        <v>45341</v>
      </c>
      <c r="K300" s="3">
        <v>530.64985451018197</v>
      </c>
      <c r="M300" s="1">
        <v>45330</v>
      </c>
      <c r="N300" s="3">
        <v>15793.715</v>
      </c>
    </row>
    <row r="301" spans="1:14" x14ac:dyDescent="0.3">
      <c r="A301" s="1">
        <v>45329</v>
      </c>
      <c r="B301" s="2">
        <v>38677.359100000001</v>
      </c>
      <c r="D301" s="5">
        <v>45320</v>
      </c>
      <c r="E301" s="3">
        <v>2057.59701034095</v>
      </c>
      <c r="G301" s="4">
        <v>45317</v>
      </c>
      <c r="H301" s="3">
        <v>241.30041846653901</v>
      </c>
      <c r="J301" s="4">
        <v>45338</v>
      </c>
      <c r="K301" s="3">
        <v>529.63928632994498</v>
      </c>
      <c r="M301" s="1">
        <v>45329</v>
      </c>
      <c r="N301" s="3">
        <v>15756.644</v>
      </c>
    </row>
    <row r="302" spans="1:14" x14ac:dyDescent="0.3">
      <c r="A302" s="1">
        <v>45328</v>
      </c>
      <c r="B302" s="2">
        <v>38521.3557</v>
      </c>
      <c r="D302" s="4">
        <v>45317</v>
      </c>
      <c r="E302" s="3">
        <v>2041.3889742014701</v>
      </c>
      <c r="G302" s="1">
        <v>45316</v>
      </c>
      <c r="H302" s="3">
        <v>245.42140196410199</v>
      </c>
      <c r="J302" s="1">
        <v>45337</v>
      </c>
      <c r="K302" s="3">
        <v>526.20581202473295</v>
      </c>
      <c r="M302" s="1">
        <v>45328</v>
      </c>
      <c r="N302" s="3">
        <v>15608.998</v>
      </c>
    </row>
    <row r="303" spans="1:14" x14ac:dyDescent="0.3">
      <c r="A303" s="5">
        <v>45327</v>
      </c>
      <c r="B303" s="2">
        <v>38380.115700000002</v>
      </c>
      <c r="D303" s="1">
        <v>45316</v>
      </c>
      <c r="E303" s="3">
        <v>2073.7771182971801</v>
      </c>
      <c r="G303" s="1">
        <v>45315</v>
      </c>
      <c r="H303" s="3">
        <v>245.60325423728301</v>
      </c>
      <c r="J303" s="1">
        <v>45336</v>
      </c>
      <c r="K303" s="3">
        <v>520.42042042041896</v>
      </c>
      <c r="M303" s="5">
        <v>45327</v>
      </c>
      <c r="N303" s="3">
        <v>15597.677</v>
      </c>
    </row>
    <row r="304" spans="1:14" x14ac:dyDescent="0.3">
      <c r="A304" s="4">
        <v>45324</v>
      </c>
      <c r="B304" s="2">
        <v>38654.423199999997</v>
      </c>
      <c r="D304" s="1">
        <v>45315</v>
      </c>
      <c r="E304" s="3">
        <v>2033.82964298963</v>
      </c>
      <c r="G304" s="1">
        <v>45314</v>
      </c>
      <c r="H304" s="3">
        <v>246.14161499057099</v>
      </c>
      <c r="J304" s="1">
        <v>45335</v>
      </c>
      <c r="K304" s="3">
        <v>517.064864691205</v>
      </c>
      <c r="M304" s="4">
        <v>45324</v>
      </c>
      <c r="N304" s="3">
        <v>15628.954</v>
      </c>
    </row>
    <row r="305" spans="1:14" x14ac:dyDescent="0.3">
      <c r="A305" s="1">
        <v>45323</v>
      </c>
      <c r="B305" s="2">
        <v>38519.839800000002</v>
      </c>
      <c r="D305" s="1">
        <v>45314</v>
      </c>
      <c r="E305" s="3">
        <v>1962.9476214219001</v>
      </c>
      <c r="G305" s="5">
        <v>45313</v>
      </c>
      <c r="H305" s="3">
        <v>246.78877709501</v>
      </c>
      <c r="J305" s="5">
        <v>45334</v>
      </c>
      <c r="K305" s="3">
        <v>525.04254539971396</v>
      </c>
      <c r="M305" s="1">
        <v>45323</v>
      </c>
      <c r="N305" s="3">
        <v>15361.642</v>
      </c>
    </row>
    <row r="306" spans="1:14" x14ac:dyDescent="0.3">
      <c r="A306" s="1">
        <v>45322</v>
      </c>
      <c r="B306" s="2">
        <v>38150.2958</v>
      </c>
      <c r="D306" s="5">
        <v>45313</v>
      </c>
      <c r="E306" s="3">
        <v>1913.78172329104</v>
      </c>
      <c r="G306" s="4">
        <v>45310</v>
      </c>
      <c r="H306" s="3">
        <v>242.76542459835699</v>
      </c>
      <c r="J306" s="4">
        <v>45331</v>
      </c>
      <c r="K306" s="3">
        <v>522.74467098666105</v>
      </c>
      <c r="M306" s="1">
        <v>45322</v>
      </c>
      <c r="N306" s="3">
        <v>15164.012000000001</v>
      </c>
    </row>
    <row r="307" spans="1:14" x14ac:dyDescent="0.3">
      <c r="A307" s="1">
        <v>45321</v>
      </c>
      <c r="B307" s="2">
        <v>38467.311500000003</v>
      </c>
      <c r="D307" s="4">
        <v>45310</v>
      </c>
      <c r="E307" s="3">
        <v>1958.2590342180999</v>
      </c>
      <c r="G307" s="1">
        <v>45309</v>
      </c>
      <c r="H307" s="3">
        <v>239.393655079323</v>
      </c>
      <c r="J307" s="1">
        <v>45330</v>
      </c>
      <c r="K307" s="3">
        <v>522.92589359799399</v>
      </c>
      <c r="M307" s="1">
        <v>45321</v>
      </c>
      <c r="N307" s="3">
        <v>15509.897000000001</v>
      </c>
    </row>
    <row r="308" spans="1:14" x14ac:dyDescent="0.3">
      <c r="A308" s="5">
        <v>45320</v>
      </c>
      <c r="B308" s="2">
        <v>38333.453099999999</v>
      </c>
      <c r="D308" s="1">
        <v>45309</v>
      </c>
      <c r="E308" s="3">
        <v>1968.05825490998</v>
      </c>
      <c r="G308" s="1">
        <v>45308</v>
      </c>
      <c r="H308" s="3">
        <v>239.471819102273</v>
      </c>
      <c r="J308" s="1">
        <v>45329</v>
      </c>
      <c r="K308" s="3">
        <v>523.07145472954301</v>
      </c>
      <c r="M308" s="5">
        <v>45320</v>
      </c>
      <c r="N308" s="3">
        <v>15628.044</v>
      </c>
    </row>
    <row r="309" spans="1:14" x14ac:dyDescent="0.3">
      <c r="A309" s="4">
        <v>45317</v>
      </c>
      <c r="B309" s="2">
        <v>38109.433100000002</v>
      </c>
      <c r="D309" s="1">
        <v>45308</v>
      </c>
      <c r="E309" s="3">
        <v>1953.3179900268501</v>
      </c>
      <c r="G309" s="1">
        <v>45307</v>
      </c>
      <c r="H309" s="3">
        <v>242.011006930272</v>
      </c>
      <c r="J309" s="1">
        <v>45328</v>
      </c>
      <c r="K309" s="3">
        <v>523.45976405811405</v>
      </c>
      <c r="M309" s="4">
        <v>45317</v>
      </c>
      <c r="N309" s="3">
        <v>15455.362999999999</v>
      </c>
    </row>
    <row r="310" spans="1:14" x14ac:dyDescent="0.3">
      <c r="A310" s="1">
        <v>45316</v>
      </c>
      <c r="B310" s="2">
        <v>38049.1276</v>
      </c>
      <c r="D310" s="1">
        <v>45307</v>
      </c>
      <c r="E310" s="3">
        <v>2027.3345259391699</v>
      </c>
      <c r="G310" s="5">
        <v>45306</v>
      </c>
      <c r="H310" s="3">
        <v>246.35826528512499</v>
      </c>
      <c r="J310" s="5">
        <v>45327</v>
      </c>
      <c r="K310" s="3">
        <v>519.53255067077896</v>
      </c>
      <c r="M310" s="1">
        <v>45316</v>
      </c>
      <c r="N310" s="3">
        <v>15510.495999999999</v>
      </c>
    </row>
    <row r="311" spans="1:14" x14ac:dyDescent="0.3">
      <c r="A311" s="1">
        <v>45315</v>
      </c>
      <c r="B311" s="2">
        <v>37806.389900000002</v>
      </c>
      <c r="D311" s="5">
        <v>45306</v>
      </c>
      <c r="E311" s="3">
        <v>2072.7717773375098</v>
      </c>
      <c r="G311" s="4">
        <v>45303</v>
      </c>
      <c r="H311" s="3">
        <v>245.52870945478401</v>
      </c>
      <c r="J311" s="4">
        <v>45324</v>
      </c>
      <c r="K311" s="3">
        <v>521.869945001617</v>
      </c>
      <c r="M311" s="1">
        <v>45315</v>
      </c>
      <c r="N311" s="3">
        <v>15481.918</v>
      </c>
    </row>
    <row r="312" spans="1:14" x14ac:dyDescent="0.3">
      <c r="A312" s="1">
        <v>45314</v>
      </c>
      <c r="B312" s="2">
        <v>37905.449000000001</v>
      </c>
      <c r="D312" s="4">
        <v>45303</v>
      </c>
      <c r="E312" s="3">
        <v>2077.01985654192</v>
      </c>
      <c r="G312" s="1">
        <v>45302</v>
      </c>
      <c r="H312" s="3">
        <v>241.25729625549701</v>
      </c>
      <c r="J312" s="1">
        <v>45323</v>
      </c>
      <c r="K312" s="3">
        <v>526.05486034856006</v>
      </c>
      <c r="M312" s="1">
        <v>45314</v>
      </c>
      <c r="N312" s="3">
        <v>15425.942999999999</v>
      </c>
    </row>
    <row r="313" spans="1:14" x14ac:dyDescent="0.3">
      <c r="A313" s="5">
        <v>45313</v>
      </c>
      <c r="B313" s="2">
        <v>38001.805999999997</v>
      </c>
      <c r="D313" s="1">
        <v>45302</v>
      </c>
      <c r="E313" s="3">
        <v>2085.3265110329398</v>
      </c>
      <c r="G313" s="1">
        <v>45301</v>
      </c>
      <c r="H313" s="3">
        <v>236.33925753105899</v>
      </c>
      <c r="J313" s="1">
        <v>45322</v>
      </c>
      <c r="K313" s="3">
        <v>525.29852037726198</v>
      </c>
      <c r="M313" s="5">
        <v>45313</v>
      </c>
      <c r="N313" s="3">
        <v>15360.286</v>
      </c>
    </row>
    <row r="314" spans="1:14" x14ac:dyDescent="0.3">
      <c r="A314" s="4">
        <v>45310</v>
      </c>
      <c r="B314" s="2">
        <v>37863.795400000003</v>
      </c>
      <c r="D314" s="1">
        <v>45301</v>
      </c>
      <c r="E314" s="3">
        <v>2058.7126395620999</v>
      </c>
      <c r="G314" s="5">
        <v>45300</v>
      </c>
      <c r="H314" s="3">
        <v>233.70374472208201</v>
      </c>
      <c r="J314" s="1">
        <v>45321</v>
      </c>
      <c r="K314" s="3">
        <v>526.42247780512105</v>
      </c>
      <c r="M314" s="4">
        <v>45310</v>
      </c>
      <c r="N314" s="3">
        <v>15310.968000000001</v>
      </c>
    </row>
    <row r="315" spans="1:14" x14ac:dyDescent="0.3">
      <c r="A315" s="1">
        <v>45309</v>
      </c>
      <c r="B315" s="2">
        <v>37468.613299999997</v>
      </c>
      <c r="D315" s="1">
        <v>45300</v>
      </c>
      <c r="E315" s="3">
        <v>2071.47408421511</v>
      </c>
      <c r="G315" s="4">
        <v>45296</v>
      </c>
      <c r="H315" s="3">
        <v>230.74607673694001</v>
      </c>
      <c r="J315" s="5">
        <v>45320</v>
      </c>
      <c r="K315" s="3">
        <v>525.22451278829203</v>
      </c>
      <c r="M315" s="1">
        <v>45309</v>
      </c>
      <c r="N315" s="3">
        <v>15055.647999999999</v>
      </c>
    </row>
    <row r="316" spans="1:14" x14ac:dyDescent="0.3">
      <c r="A316" s="1">
        <v>45308</v>
      </c>
      <c r="B316" s="2">
        <v>37266.672400000003</v>
      </c>
      <c r="D316" s="5">
        <v>45299</v>
      </c>
      <c r="E316" s="3">
        <v>2078.32575417922</v>
      </c>
      <c r="G316" s="5">
        <v>45295</v>
      </c>
      <c r="H316" s="3">
        <v>230.177637947721</v>
      </c>
      <c r="J316" s="4">
        <v>45317</v>
      </c>
      <c r="K316" s="3">
        <v>525.06267024059105</v>
      </c>
      <c r="M316" s="1">
        <v>45308</v>
      </c>
      <c r="N316" s="3">
        <v>14855.621999999999</v>
      </c>
    </row>
    <row r="317" spans="1:14" x14ac:dyDescent="0.3">
      <c r="A317" s="5">
        <v>45307</v>
      </c>
      <c r="B317" s="2">
        <v>37361.118000000002</v>
      </c>
      <c r="D317" s="4">
        <v>45296</v>
      </c>
      <c r="E317" s="3">
        <v>2116.8744879147898</v>
      </c>
      <c r="G317" s="4">
        <v>45289</v>
      </c>
      <c r="H317" s="3">
        <v>237.23358854388999</v>
      </c>
      <c r="J317" s="1">
        <v>45316</v>
      </c>
      <c r="K317" s="3">
        <v>519.01301518438095</v>
      </c>
      <c r="M317" s="5">
        <v>45307</v>
      </c>
      <c r="N317" s="3">
        <v>14944.347</v>
      </c>
    </row>
    <row r="318" spans="1:14" x14ac:dyDescent="0.3">
      <c r="A318" s="4">
        <v>45303</v>
      </c>
      <c r="B318" s="2">
        <v>37592.981</v>
      </c>
      <c r="D318" s="1">
        <v>45295</v>
      </c>
      <c r="E318" s="3">
        <v>2131.8861182618002</v>
      </c>
      <c r="G318" s="1">
        <v>45288</v>
      </c>
      <c r="H318" s="3">
        <v>237.21352287999201</v>
      </c>
      <c r="J318" s="1">
        <v>45315</v>
      </c>
      <c r="K318" s="3">
        <v>519.219467601156</v>
      </c>
      <c r="M318" s="4">
        <v>45303</v>
      </c>
      <c r="N318" s="3">
        <v>14972.76</v>
      </c>
    </row>
    <row r="319" spans="1:14" x14ac:dyDescent="0.3">
      <c r="A319" s="1">
        <v>45302</v>
      </c>
      <c r="B319" s="2">
        <v>37711.021500000003</v>
      </c>
      <c r="D319" s="1">
        <v>45294</v>
      </c>
      <c r="E319" s="3">
        <v>2132.2688903405901</v>
      </c>
      <c r="G319" s="1">
        <v>45287</v>
      </c>
      <c r="H319" s="3">
        <v>237.47613339915301</v>
      </c>
      <c r="J319" s="1">
        <v>45314</v>
      </c>
      <c r="K319" s="3">
        <v>511.65945071996703</v>
      </c>
      <c r="M319" s="1">
        <v>45302</v>
      </c>
      <c r="N319" s="3">
        <v>14970.184999999999</v>
      </c>
    </row>
    <row r="320" spans="1:14" x14ac:dyDescent="0.3">
      <c r="A320" s="1">
        <v>45301</v>
      </c>
      <c r="B320" s="2">
        <v>37695.731</v>
      </c>
      <c r="D320" s="5">
        <v>45293</v>
      </c>
      <c r="E320" s="3">
        <v>2148.1095259420399</v>
      </c>
      <c r="G320" s="1">
        <v>45286</v>
      </c>
      <c r="H320" s="3">
        <v>233.92225031605599</v>
      </c>
      <c r="J320" s="5">
        <v>45313</v>
      </c>
      <c r="K320" s="3">
        <v>514.52074469821298</v>
      </c>
      <c r="M320" s="1">
        <v>45301</v>
      </c>
      <c r="N320" s="3">
        <v>14969.65</v>
      </c>
    </row>
    <row r="321" spans="1:14" x14ac:dyDescent="0.3">
      <c r="A321" s="1">
        <v>45300</v>
      </c>
      <c r="B321" s="2">
        <v>37525.162100000001</v>
      </c>
      <c r="D321" s="4">
        <v>45289</v>
      </c>
      <c r="E321" s="3">
        <v>2183.1557513510702</v>
      </c>
      <c r="G321" s="5">
        <v>45285</v>
      </c>
      <c r="H321" s="3">
        <v>233.62392862161201</v>
      </c>
      <c r="J321" s="4">
        <v>45310</v>
      </c>
      <c r="K321" s="3">
        <v>511.332926510329</v>
      </c>
      <c r="M321" s="1">
        <v>45300</v>
      </c>
      <c r="N321" s="3">
        <v>14857.709000000001</v>
      </c>
    </row>
    <row r="322" spans="1:14" x14ac:dyDescent="0.3">
      <c r="A322" s="5">
        <v>45299</v>
      </c>
      <c r="B322" s="2">
        <v>37683.010799999996</v>
      </c>
      <c r="D322" s="1">
        <v>45288</v>
      </c>
      <c r="E322" s="3">
        <v>2181.4322283373799</v>
      </c>
      <c r="G322" s="4">
        <v>45282</v>
      </c>
      <c r="H322" s="3">
        <v>232.91236570465401</v>
      </c>
      <c r="J322" s="1">
        <v>45309</v>
      </c>
      <c r="K322" s="3">
        <v>511.56999630282098</v>
      </c>
      <c r="M322" s="5">
        <v>45299</v>
      </c>
      <c r="N322" s="3">
        <v>14843.768</v>
      </c>
    </row>
    <row r="323" spans="1:14" x14ac:dyDescent="0.3">
      <c r="A323" s="4">
        <v>45296</v>
      </c>
      <c r="B323" s="2">
        <v>37466.108800000002</v>
      </c>
      <c r="D323" s="5">
        <v>45287</v>
      </c>
      <c r="E323" s="3">
        <v>2128.6879473488798</v>
      </c>
      <c r="G323" s="1">
        <v>45281</v>
      </c>
      <c r="H323" s="3">
        <v>233.21935256862099</v>
      </c>
      <c r="J323" s="1">
        <v>45308</v>
      </c>
      <c r="K323" s="3">
        <v>508.91701032610302</v>
      </c>
      <c r="M323" s="4">
        <v>45296</v>
      </c>
      <c r="N323" s="3">
        <v>14524.073</v>
      </c>
    </row>
    <row r="324" spans="1:14" x14ac:dyDescent="0.3">
      <c r="A324" s="1">
        <v>45295</v>
      </c>
      <c r="B324" s="2">
        <v>37440.339</v>
      </c>
      <c r="D324" s="4">
        <v>45282</v>
      </c>
      <c r="E324" s="3">
        <v>2091.5992524704402</v>
      </c>
      <c r="G324" s="1">
        <v>45280</v>
      </c>
      <c r="H324" s="3">
        <v>234.57745890219601</v>
      </c>
      <c r="J324" s="1">
        <v>45307</v>
      </c>
      <c r="K324" s="3">
        <v>514.40812509514797</v>
      </c>
      <c r="M324" s="1">
        <v>45295</v>
      </c>
      <c r="N324" s="3">
        <v>14510.3</v>
      </c>
    </row>
    <row r="325" spans="1:14" x14ac:dyDescent="0.3">
      <c r="A325" s="1">
        <v>45294</v>
      </c>
      <c r="B325" s="2">
        <v>37430.189200000001</v>
      </c>
      <c r="D325" s="1">
        <v>45281</v>
      </c>
      <c r="E325" s="3">
        <v>2128.6490017033202</v>
      </c>
      <c r="G325" s="1">
        <v>45279</v>
      </c>
      <c r="H325" s="3">
        <v>230.978931998338</v>
      </c>
      <c r="J325" s="5">
        <v>45306</v>
      </c>
      <c r="K325" s="3">
        <v>519.14255372724199</v>
      </c>
      <c r="M325" s="1">
        <v>45294</v>
      </c>
      <c r="N325" s="3">
        <v>14592.210999999999</v>
      </c>
    </row>
    <row r="326" spans="1:14" x14ac:dyDescent="0.3">
      <c r="A326" s="5">
        <v>45293</v>
      </c>
      <c r="B326" s="2">
        <v>37715.041899999997</v>
      </c>
      <c r="D326" s="1">
        <v>45280</v>
      </c>
      <c r="E326" s="3">
        <v>2127.98406619445</v>
      </c>
      <c r="G326" s="5">
        <v>45278</v>
      </c>
      <c r="H326" s="3">
        <v>229.50105086171499</v>
      </c>
      <c r="J326" s="4">
        <v>45303</v>
      </c>
      <c r="K326" s="3">
        <v>522.00190511644303</v>
      </c>
      <c r="M326" s="5">
        <v>45293</v>
      </c>
      <c r="N326" s="3">
        <v>14765.94</v>
      </c>
    </row>
    <row r="327" spans="1:14" x14ac:dyDescent="0.3">
      <c r="A327" s="4">
        <v>45289</v>
      </c>
      <c r="B327" s="2">
        <v>37689.5357</v>
      </c>
      <c r="D327" s="1">
        <v>45279</v>
      </c>
      <c r="E327" s="3">
        <v>2116.4869266378601</v>
      </c>
      <c r="G327" s="4">
        <v>45275</v>
      </c>
      <c r="H327" s="3">
        <v>231.941962715437</v>
      </c>
      <c r="J327" s="1">
        <v>45302</v>
      </c>
      <c r="K327" s="3">
        <v>518.62699927598305</v>
      </c>
      <c r="M327" s="4">
        <v>45289</v>
      </c>
      <c r="N327" s="3">
        <v>15011.352000000001</v>
      </c>
    </row>
    <row r="328" spans="1:14" x14ac:dyDescent="0.3">
      <c r="A328" s="1">
        <v>45288</v>
      </c>
      <c r="B328" s="2">
        <v>37710.0988</v>
      </c>
      <c r="D328" s="5">
        <v>45278</v>
      </c>
      <c r="E328" s="3">
        <v>2133.12851956849</v>
      </c>
      <c r="G328" s="1">
        <v>45274</v>
      </c>
      <c r="H328" s="3">
        <v>230.395784873482</v>
      </c>
      <c r="J328" s="1">
        <v>45301</v>
      </c>
      <c r="K328" s="3">
        <v>522.68264051168796</v>
      </c>
      <c r="M328" s="1">
        <v>45288</v>
      </c>
      <c r="N328" s="3">
        <v>15095.136</v>
      </c>
    </row>
    <row r="329" spans="1:14" x14ac:dyDescent="0.3">
      <c r="A329" s="1">
        <v>45287</v>
      </c>
      <c r="B329" s="2">
        <v>37656.515899999999</v>
      </c>
      <c r="D329" s="4">
        <v>45275</v>
      </c>
      <c r="E329" s="3">
        <v>2152.1550785004902</v>
      </c>
      <c r="G329" s="1">
        <v>45273</v>
      </c>
      <c r="H329" s="3">
        <v>230.44757838744701</v>
      </c>
      <c r="J329" s="1">
        <v>45300</v>
      </c>
      <c r="K329" s="3">
        <v>521.69255490091302</v>
      </c>
      <c r="M329" s="1">
        <v>45287</v>
      </c>
      <c r="N329" s="3">
        <v>15099.175999999999</v>
      </c>
    </row>
    <row r="330" spans="1:14" x14ac:dyDescent="0.3">
      <c r="A330" s="5">
        <v>45286</v>
      </c>
      <c r="B330" s="2">
        <v>37545.3298</v>
      </c>
      <c r="D330" s="1">
        <v>45274</v>
      </c>
      <c r="E330" s="3">
        <v>2100.8517560263299</v>
      </c>
      <c r="G330" s="1">
        <v>45272</v>
      </c>
      <c r="H330" s="3">
        <v>225.83854775492</v>
      </c>
      <c r="J330" s="5">
        <v>45299</v>
      </c>
      <c r="K330" s="3">
        <v>523.55665531626096</v>
      </c>
      <c r="M330" s="5">
        <v>45286</v>
      </c>
      <c r="N330" s="3">
        <v>15074.573</v>
      </c>
    </row>
    <row r="331" spans="1:14" x14ac:dyDescent="0.3">
      <c r="A331" s="4">
        <v>45282</v>
      </c>
      <c r="B331" s="2">
        <v>37385.965199999999</v>
      </c>
      <c r="D331" s="1">
        <v>45273</v>
      </c>
      <c r="E331" s="3">
        <v>2077.7587156080699</v>
      </c>
      <c r="G331" s="5">
        <v>45271</v>
      </c>
      <c r="H331" s="3">
        <v>224.355500821026</v>
      </c>
      <c r="J331" s="4">
        <v>45296</v>
      </c>
      <c r="K331" s="3">
        <v>521.20920360179105</v>
      </c>
      <c r="M331" s="4">
        <v>45282</v>
      </c>
      <c r="N331" s="3">
        <v>14992.973</v>
      </c>
    </row>
    <row r="332" spans="1:14" x14ac:dyDescent="0.3">
      <c r="A332" s="1">
        <v>45281</v>
      </c>
      <c r="B332" s="2">
        <v>37404.3534</v>
      </c>
      <c r="D332" s="1">
        <v>45272</v>
      </c>
      <c r="E332" s="3">
        <v>2096.9022525579799</v>
      </c>
      <c r="G332" s="4">
        <v>45268</v>
      </c>
      <c r="H332" s="3">
        <v>222.92044435244401</v>
      </c>
      <c r="J332" s="1">
        <v>45295</v>
      </c>
      <c r="K332" s="3">
        <v>522.72304476762702</v>
      </c>
      <c r="M332" s="1">
        <v>45281</v>
      </c>
      <c r="N332" s="3">
        <v>14963.866</v>
      </c>
    </row>
    <row r="333" spans="1:14" x14ac:dyDescent="0.3">
      <c r="A333" s="1">
        <v>45280</v>
      </c>
      <c r="B333" s="2">
        <v>37081.999199999998</v>
      </c>
      <c r="D333" s="5">
        <v>45271</v>
      </c>
      <c r="E333" s="3">
        <v>2075.8100680341799</v>
      </c>
      <c r="G333" s="1">
        <v>45267</v>
      </c>
      <c r="H333" s="3">
        <v>227.99271440466799</v>
      </c>
      <c r="J333" s="1">
        <v>45294</v>
      </c>
      <c r="K333" s="3">
        <v>518.09057848351404</v>
      </c>
      <c r="M333" s="1">
        <v>45280</v>
      </c>
      <c r="N333" s="3">
        <v>14777.942999999999</v>
      </c>
    </row>
    <row r="334" spans="1:14" x14ac:dyDescent="0.3">
      <c r="A334" s="1">
        <v>45279</v>
      </c>
      <c r="B334" s="2">
        <v>37557.918100000003</v>
      </c>
      <c r="D334" s="4">
        <v>45268</v>
      </c>
      <c r="E334" s="3">
        <v>2091.9507697036502</v>
      </c>
      <c r="G334" s="1">
        <v>45266</v>
      </c>
      <c r="H334" s="3">
        <v>227.044328287295</v>
      </c>
      <c r="J334" s="5">
        <v>45293</v>
      </c>
      <c r="K334" s="3">
        <v>523.82620499403595</v>
      </c>
      <c r="M334" s="1">
        <v>45279</v>
      </c>
      <c r="N334" s="3">
        <v>15003.223</v>
      </c>
    </row>
    <row r="335" spans="1:14" x14ac:dyDescent="0.3">
      <c r="A335" s="5">
        <v>45278</v>
      </c>
      <c r="B335" s="2">
        <v>37306.019200000002</v>
      </c>
      <c r="D335" s="1">
        <v>45267</v>
      </c>
      <c r="E335" s="3">
        <v>2092.5685536523501</v>
      </c>
      <c r="G335" s="1">
        <v>45265</v>
      </c>
      <c r="H335" s="3">
        <v>222.737478763155</v>
      </c>
      <c r="J335" s="4">
        <v>45289</v>
      </c>
      <c r="K335" s="3">
        <v>528.61068500105102</v>
      </c>
      <c r="M335" s="5">
        <v>45278</v>
      </c>
      <c r="N335" s="3">
        <v>14905.194</v>
      </c>
    </row>
    <row r="336" spans="1:14" x14ac:dyDescent="0.3">
      <c r="A336" s="4">
        <v>45275</v>
      </c>
      <c r="B336" s="2">
        <v>37305.162400000001</v>
      </c>
      <c r="D336" s="1">
        <v>45266</v>
      </c>
      <c r="E336" s="3">
        <v>2107.67497535559</v>
      </c>
      <c r="G336" s="5">
        <v>45264</v>
      </c>
      <c r="H336" s="3">
        <v>225.755910326101</v>
      </c>
      <c r="J336" s="1">
        <v>45288</v>
      </c>
      <c r="K336" s="3">
        <v>528.70919224984505</v>
      </c>
      <c r="M336" s="4">
        <v>45275</v>
      </c>
      <c r="N336" s="3">
        <v>14813.92</v>
      </c>
    </row>
    <row r="337" spans="1:14" x14ac:dyDescent="0.3">
      <c r="A337" s="1">
        <v>45274</v>
      </c>
      <c r="B337" s="2">
        <v>37248.350100000003</v>
      </c>
      <c r="D337" s="1">
        <v>45265</v>
      </c>
      <c r="E337" s="3">
        <v>2088.2820893231601</v>
      </c>
      <c r="G337" s="4">
        <v>45261</v>
      </c>
      <c r="H337" s="3">
        <v>227.719569511614</v>
      </c>
      <c r="J337" s="5">
        <v>45287</v>
      </c>
      <c r="K337" s="3">
        <v>531.41029911398198</v>
      </c>
      <c r="M337" s="1">
        <v>45274</v>
      </c>
      <c r="N337" s="3">
        <v>14761.558999999999</v>
      </c>
    </row>
    <row r="338" spans="1:14" x14ac:dyDescent="0.3">
      <c r="A338" s="1">
        <v>45273</v>
      </c>
      <c r="B338" s="2">
        <v>37090.237699999998</v>
      </c>
      <c r="D338" s="5">
        <v>45264</v>
      </c>
      <c r="E338" s="3">
        <v>2129.7947746871801</v>
      </c>
      <c r="G338" s="1">
        <v>45260</v>
      </c>
      <c r="H338" s="3">
        <v>225.972670220661</v>
      </c>
      <c r="J338" s="4">
        <v>45282</v>
      </c>
      <c r="K338" s="3">
        <v>525.83482885045305</v>
      </c>
      <c r="M338" s="1">
        <v>45273</v>
      </c>
      <c r="N338" s="3">
        <v>14733.964</v>
      </c>
    </row>
    <row r="339" spans="1:14" x14ac:dyDescent="0.3">
      <c r="A339" s="1">
        <v>45272</v>
      </c>
      <c r="B339" s="2">
        <v>36577.9378</v>
      </c>
      <c r="D339" s="4">
        <v>45261</v>
      </c>
      <c r="E339" s="3">
        <v>2153.78216858835</v>
      </c>
      <c r="G339" s="1">
        <v>45259</v>
      </c>
      <c r="H339" s="3">
        <v>226.305487639224</v>
      </c>
      <c r="J339" s="1">
        <v>45281</v>
      </c>
      <c r="K339" s="3">
        <v>525.01568640401501</v>
      </c>
      <c r="M339" s="1">
        <v>45272</v>
      </c>
      <c r="N339" s="3">
        <v>14533.397000000001</v>
      </c>
    </row>
    <row r="340" spans="1:14" x14ac:dyDescent="0.3">
      <c r="A340" s="5">
        <v>45271</v>
      </c>
      <c r="B340" s="2">
        <v>36404.9303</v>
      </c>
      <c r="D340" s="1">
        <v>45260</v>
      </c>
      <c r="E340" s="3">
        <v>2182.0193070954801</v>
      </c>
      <c r="G340" s="1">
        <v>45258</v>
      </c>
      <c r="H340" s="3">
        <v>226.52827502035001</v>
      </c>
      <c r="J340" s="1">
        <v>45280</v>
      </c>
      <c r="K340" s="3">
        <v>522.77301365068195</v>
      </c>
      <c r="M340" s="5">
        <v>45271</v>
      </c>
      <c r="N340" s="3">
        <v>14432.486000000001</v>
      </c>
    </row>
    <row r="341" spans="1:14" x14ac:dyDescent="0.3">
      <c r="A341" s="4">
        <v>45268</v>
      </c>
      <c r="B341" s="2">
        <v>36247.8724</v>
      </c>
      <c r="D341" s="1">
        <v>45259</v>
      </c>
      <c r="E341" s="3">
        <v>2177.4736680248998</v>
      </c>
      <c r="G341" s="5">
        <v>45257</v>
      </c>
      <c r="H341" s="3">
        <v>224.97928297571301</v>
      </c>
      <c r="J341" s="1">
        <v>45279</v>
      </c>
      <c r="K341" s="3">
        <v>523.78808674169602</v>
      </c>
      <c r="M341" s="4">
        <v>45268</v>
      </c>
      <c r="N341" s="3">
        <v>14403.972</v>
      </c>
    </row>
    <row r="342" spans="1:14" x14ac:dyDescent="0.3">
      <c r="A342" s="1">
        <v>45267</v>
      </c>
      <c r="B342" s="2">
        <v>36117.3753</v>
      </c>
      <c r="D342" s="1">
        <v>45258</v>
      </c>
      <c r="E342" s="3">
        <v>2225.9456408809301</v>
      </c>
      <c r="G342" s="4">
        <v>45254</v>
      </c>
      <c r="H342" s="3">
        <v>225.010238222705</v>
      </c>
      <c r="J342" s="5">
        <v>45278</v>
      </c>
      <c r="K342" s="3">
        <v>519.14633347167705</v>
      </c>
      <c r="M342" s="1">
        <v>45267</v>
      </c>
      <c r="N342" s="3">
        <v>14339.994000000001</v>
      </c>
    </row>
    <row r="343" spans="1:14" x14ac:dyDescent="0.3">
      <c r="A343" s="1">
        <v>45266</v>
      </c>
      <c r="B343" s="2">
        <v>36054.433499999999</v>
      </c>
      <c r="D343" s="5">
        <v>45257</v>
      </c>
      <c r="E343" s="3">
        <v>2249.3980233602801</v>
      </c>
      <c r="G343" s="1">
        <v>45252</v>
      </c>
      <c r="H343" s="3">
        <v>223.71316792615201</v>
      </c>
      <c r="J343" s="4">
        <v>45275</v>
      </c>
      <c r="K343" s="3">
        <v>519.21694228380898</v>
      </c>
      <c r="M343" s="1">
        <v>45266</v>
      </c>
      <c r="N343" s="3">
        <v>14146.712</v>
      </c>
    </row>
    <row r="344" spans="1:14" x14ac:dyDescent="0.3">
      <c r="A344" s="1">
        <v>45265</v>
      </c>
      <c r="B344" s="2">
        <v>36124.559200000003</v>
      </c>
      <c r="D344" s="4">
        <v>45254</v>
      </c>
      <c r="E344" s="3">
        <v>2253.86609847513</v>
      </c>
      <c r="G344" s="1">
        <v>45251</v>
      </c>
      <c r="H344" s="3">
        <v>224.77350225755501</v>
      </c>
      <c r="J344" s="1">
        <v>45274</v>
      </c>
      <c r="K344" s="3">
        <v>523.79539259649903</v>
      </c>
      <c r="M344" s="1">
        <v>45265</v>
      </c>
      <c r="N344" s="3">
        <v>14229.912</v>
      </c>
    </row>
    <row r="345" spans="1:14" x14ac:dyDescent="0.3">
      <c r="A345" s="5">
        <v>45264</v>
      </c>
      <c r="B345" s="2">
        <v>36204.439299999998</v>
      </c>
      <c r="D345" s="1">
        <v>45253</v>
      </c>
      <c r="E345" s="3">
        <v>2296.67376195727</v>
      </c>
      <c r="G345" s="5">
        <v>45250</v>
      </c>
      <c r="H345" s="3">
        <v>225.047384739829</v>
      </c>
      <c r="J345" s="1">
        <v>45273</v>
      </c>
      <c r="K345" s="3">
        <v>513.70540713920798</v>
      </c>
      <c r="M345" s="5">
        <v>45264</v>
      </c>
      <c r="N345" s="3">
        <v>14185.494000000001</v>
      </c>
    </row>
    <row r="346" spans="1:14" x14ac:dyDescent="0.3">
      <c r="A346" s="4">
        <v>45261</v>
      </c>
      <c r="B346" s="2">
        <v>36245.4997</v>
      </c>
      <c r="D346" s="1">
        <v>45252</v>
      </c>
      <c r="E346" s="3">
        <v>2274.7165358370498</v>
      </c>
      <c r="G346" s="4">
        <v>45247</v>
      </c>
      <c r="H346" s="3">
        <v>224.46999064295699</v>
      </c>
      <c r="J346" s="1">
        <v>45272</v>
      </c>
      <c r="K346" s="3">
        <v>510.160693279805</v>
      </c>
      <c r="M346" s="4">
        <v>45261</v>
      </c>
      <c r="N346" s="3">
        <v>14305.031999999999</v>
      </c>
    </row>
    <row r="347" spans="1:14" x14ac:dyDescent="0.3">
      <c r="A347" s="1">
        <v>45260</v>
      </c>
      <c r="B347" s="2">
        <v>35950.892699999997</v>
      </c>
      <c r="D347" s="1">
        <v>45251</v>
      </c>
      <c r="E347" s="3">
        <v>2274.8005336206702</v>
      </c>
      <c r="G347" s="1">
        <v>45246</v>
      </c>
      <c r="H347" s="3">
        <v>221.77964302302399</v>
      </c>
      <c r="J347" s="5">
        <v>45271</v>
      </c>
      <c r="K347" s="3">
        <v>509.74948347107602</v>
      </c>
      <c r="M347" s="1">
        <v>45260</v>
      </c>
      <c r="N347" s="3">
        <v>14226.218000000001</v>
      </c>
    </row>
    <row r="348" spans="1:14" x14ac:dyDescent="0.3">
      <c r="A348" s="1">
        <v>45259</v>
      </c>
      <c r="B348" s="2">
        <v>35430.4202</v>
      </c>
      <c r="D348" s="5">
        <v>45250</v>
      </c>
      <c r="E348" s="3">
        <v>2281.2577793176001</v>
      </c>
      <c r="G348" s="1">
        <v>45245</v>
      </c>
      <c r="H348" s="3">
        <v>221.47142385201499</v>
      </c>
      <c r="J348" s="4">
        <v>45268</v>
      </c>
      <c r="K348" s="3">
        <v>508.19989669421699</v>
      </c>
      <c r="M348" s="1">
        <v>45259</v>
      </c>
      <c r="N348" s="3">
        <v>14258.49</v>
      </c>
    </row>
    <row r="349" spans="1:14" x14ac:dyDescent="0.3">
      <c r="A349" s="1">
        <v>45258</v>
      </c>
      <c r="B349" s="2">
        <v>35416.974999999999</v>
      </c>
      <c r="D349" s="4">
        <v>45247</v>
      </c>
      <c r="E349" s="3">
        <v>2239.1807463854602</v>
      </c>
      <c r="G349" s="1">
        <v>45244</v>
      </c>
      <c r="H349" s="3">
        <v>217.42206410427801</v>
      </c>
      <c r="J349" s="1">
        <v>45267</v>
      </c>
      <c r="K349" s="3">
        <v>505.90863470068302</v>
      </c>
      <c r="M349" s="1">
        <v>45258</v>
      </c>
      <c r="N349" s="3">
        <v>14281.755999999999</v>
      </c>
    </row>
    <row r="350" spans="1:14" x14ac:dyDescent="0.3">
      <c r="A350" s="5">
        <v>45257</v>
      </c>
      <c r="B350" s="2">
        <v>35333.470099999999</v>
      </c>
      <c r="D350" s="1">
        <v>45246</v>
      </c>
      <c r="E350" s="3">
        <v>2285.9365986848002</v>
      </c>
      <c r="G350" s="5">
        <v>45243</v>
      </c>
      <c r="H350" s="3">
        <v>214.78551183178899</v>
      </c>
      <c r="J350" s="1">
        <v>45266</v>
      </c>
      <c r="K350" s="3">
        <v>505.87602238484902</v>
      </c>
      <c r="M350" s="5">
        <v>45257</v>
      </c>
      <c r="N350" s="3">
        <v>14241.022000000001</v>
      </c>
    </row>
    <row r="351" spans="1:14" x14ac:dyDescent="0.3">
      <c r="A351" s="4">
        <v>45254</v>
      </c>
      <c r="B351" s="2">
        <v>35390.150600000001</v>
      </c>
      <c r="D351" s="1">
        <v>45245</v>
      </c>
      <c r="E351" s="3">
        <v>2315.8312731371698</v>
      </c>
      <c r="G351" s="4">
        <v>45240</v>
      </c>
      <c r="H351" s="3">
        <v>214.97102310232299</v>
      </c>
      <c r="J351" s="1">
        <v>45265</v>
      </c>
      <c r="K351" s="3">
        <v>504.79840233173201</v>
      </c>
      <c r="M351" s="4">
        <v>45254</v>
      </c>
      <c r="N351" s="3">
        <v>14250.855</v>
      </c>
    </row>
    <row r="352" spans="1:14" x14ac:dyDescent="0.3">
      <c r="A352" s="1">
        <v>45252</v>
      </c>
      <c r="B352" s="2">
        <v>35273.032800000001</v>
      </c>
      <c r="D352" s="1">
        <v>45244</v>
      </c>
      <c r="E352" s="3">
        <v>2229.1663463263299</v>
      </c>
      <c r="G352" s="1">
        <v>45239</v>
      </c>
      <c r="H352" s="3">
        <v>215.716003700274</v>
      </c>
      <c r="J352" s="5">
        <v>45264</v>
      </c>
      <c r="K352" s="3">
        <v>504.71907677303801</v>
      </c>
      <c r="M352" s="1">
        <v>45252</v>
      </c>
      <c r="N352" s="3">
        <v>14265.857</v>
      </c>
    </row>
    <row r="353" spans="1:14" x14ac:dyDescent="0.3">
      <c r="A353" s="1">
        <v>45251</v>
      </c>
      <c r="B353" s="2">
        <v>35088.293700000002</v>
      </c>
      <c r="D353" s="5">
        <v>45243</v>
      </c>
      <c r="E353" s="3">
        <v>2231.81183642628</v>
      </c>
      <c r="G353" s="1">
        <v>45238</v>
      </c>
      <c r="H353" s="3">
        <v>213.06537722725901</v>
      </c>
      <c r="J353" s="4">
        <v>45261</v>
      </c>
      <c r="K353" s="3">
        <v>507.273973646125</v>
      </c>
      <c r="M353" s="1">
        <v>45251</v>
      </c>
      <c r="N353" s="3">
        <v>14199.982</v>
      </c>
    </row>
    <row r="354" spans="1:14" x14ac:dyDescent="0.3">
      <c r="A354" s="5">
        <v>45250</v>
      </c>
      <c r="B354" s="2">
        <v>35151.037799999998</v>
      </c>
      <c r="D354" s="4">
        <v>45240</v>
      </c>
      <c r="E354" s="3">
        <v>2202.83497234174</v>
      </c>
      <c r="G354" s="1">
        <v>45237</v>
      </c>
      <c r="H354" s="3">
        <v>214.65890647863401</v>
      </c>
      <c r="J354" s="1">
        <v>45260</v>
      </c>
      <c r="K354" s="3">
        <v>502.50922589564698</v>
      </c>
      <c r="M354" s="5">
        <v>45250</v>
      </c>
      <c r="N354" s="3">
        <v>14284.534</v>
      </c>
    </row>
    <row r="355" spans="1:14" x14ac:dyDescent="0.3">
      <c r="A355" s="4">
        <v>45247</v>
      </c>
      <c r="B355" s="2">
        <v>34947.284399999997</v>
      </c>
      <c r="D355" s="1">
        <v>45239</v>
      </c>
      <c r="E355" s="3">
        <v>2242.8231105190998</v>
      </c>
      <c r="G355" s="5">
        <v>45236</v>
      </c>
      <c r="H355" s="3">
        <v>217.95482108348801</v>
      </c>
      <c r="J355" s="1">
        <v>45259</v>
      </c>
      <c r="K355" s="3">
        <v>503.54267664026901</v>
      </c>
      <c r="M355" s="4">
        <v>45247</v>
      </c>
      <c r="N355" s="3">
        <v>14125.481</v>
      </c>
    </row>
    <row r="356" spans="1:14" x14ac:dyDescent="0.3">
      <c r="A356" s="1">
        <v>45246</v>
      </c>
      <c r="B356" s="2">
        <v>34945.471899999997</v>
      </c>
      <c r="D356" s="1">
        <v>45238</v>
      </c>
      <c r="E356" s="3">
        <v>2248.1010390541001</v>
      </c>
      <c r="G356" s="4">
        <v>45232</v>
      </c>
      <c r="H356" s="3">
        <v>212.37629619783499</v>
      </c>
      <c r="J356" s="1">
        <v>45258</v>
      </c>
      <c r="K356" s="3">
        <v>502.28591524529901</v>
      </c>
      <c r="M356" s="1">
        <v>45246</v>
      </c>
      <c r="N356" s="3">
        <v>14113.673000000001</v>
      </c>
    </row>
    <row r="357" spans="1:14" x14ac:dyDescent="0.3">
      <c r="A357" s="1">
        <v>45245</v>
      </c>
      <c r="B357" s="2">
        <v>34991.211799999997</v>
      </c>
      <c r="D357" s="1">
        <v>45237</v>
      </c>
      <c r="E357" s="3">
        <v>2259.8424391242102</v>
      </c>
      <c r="G357" s="1">
        <v>45231</v>
      </c>
      <c r="H357" s="3">
        <v>209.35177210996699</v>
      </c>
      <c r="J357" s="5">
        <v>45257</v>
      </c>
      <c r="K357" s="3">
        <v>502.09750380617697</v>
      </c>
      <c r="M357" s="1">
        <v>45245</v>
      </c>
      <c r="N357" s="3">
        <v>14103.835999999999</v>
      </c>
    </row>
    <row r="358" spans="1:14" x14ac:dyDescent="0.3">
      <c r="A358" s="1">
        <v>45244</v>
      </c>
      <c r="B358" s="2">
        <v>34827.695</v>
      </c>
      <c r="D358" s="5">
        <v>45236</v>
      </c>
      <c r="E358" s="3">
        <v>2297.2828866612099</v>
      </c>
      <c r="G358" s="1">
        <v>45230</v>
      </c>
      <c r="H358" s="3">
        <v>203.460473396179</v>
      </c>
      <c r="J358" s="4">
        <v>45254</v>
      </c>
      <c r="K358" s="3">
        <v>503.17231119278699</v>
      </c>
      <c r="M358" s="1">
        <v>45244</v>
      </c>
      <c r="N358" s="3">
        <v>14094.380999999999</v>
      </c>
    </row>
    <row r="359" spans="1:14" x14ac:dyDescent="0.3">
      <c r="A359" s="5">
        <v>45243</v>
      </c>
      <c r="B359" s="2">
        <v>34337.869599999998</v>
      </c>
      <c r="D359" s="4">
        <v>45233</v>
      </c>
      <c r="E359" s="3">
        <v>2257.6551935686002</v>
      </c>
      <c r="G359" s="5">
        <v>45229</v>
      </c>
      <c r="H359" s="3">
        <v>205.88169014085099</v>
      </c>
      <c r="J359" s="1">
        <v>45253</v>
      </c>
      <c r="K359" s="3">
        <v>499.91821958586303</v>
      </c>
      <c r="M359" s="5">
        <v>45243</v>
      </c>
      <c r="N359" s="3">
        <v>13767.743</v>
      </c>
    </row>
    <row r="360" spans="1:14" x14ac:dyDescent="0.3">
      <c r="A360" s="4">
        <v>45240</v>
      </c>
      <c r="B360" s="2">
        <v>34283.100400000003</v>
      </c>
      <c r="D360" s="1">
        <v>45232</v>
      </c>
      <c r="E360" s="3">
        <v>2202.1611880783098</v>
      </c>
      <c r="G360" s="4">
        <v>45226</v>
      </c>
      <c r="H360" s="3">
        <v>207.16370320856799</v>
      </c>
      <c r="J360" s="1">
        <v>45252</v>
      </c>
      <c r="K360" s="3">
        <v>497.79539046084699</v>
      </c>
      <c r="M360" s="4">
        <v>45240</v>
      </c>
      <c r="N360" s="3">
        <v>13798.108</v>
      </c>
    </row>
    <row r="361" spans="1:14" x14ac:dyDescent="0.3">
      <c r="A361" s="1">
        <v>45239</v>
      </c>
      <c r="B361" s="2">
        <v>33891.938600000001</v>
      </c>
      <c r="D361" s="1">
        <v>45231</v>
      </c>
      <c r="E361" s="3">
        <v>2185.95002236851</v>
      </c>
      <c r="G361" s="1">
        <v>45225</v>
      </c>
      <c r="H361" s="3">
        <v>203.49634259875799</v>
      </c>
      <c r="J361" s="1">
        <v>45251</v>
      </c>
      <c r="K361" s="3">
        <v>497.28910076690801</v>
      </c>
      <c r="M361" s="1">
        <v>45239</v>
      </c>
      <c r="N361" s="3">
        <v>13521.448</v>
      </c>
    </row>
    <row r="362" spans="1:14" x14ac:dyDescent="0.3">
      <c r="A362" s="1">
        <v>45238</v>
      </c>
      <c r="B362" s="2">
        <v>34112.267800000001</v>
      </c>
      <c r="D362" s="1">
        <v>45230</v>
      </c>
      <c r="E362" s="3">
        <v>2187.2617815100198</v>
      </c>
      <c r="G362" s="1">
        <v>45224</v>
      </c>
      <c r="H362" s="3">
        <v>208.174688769049</v>
      </c>
      <c r="J362" s="5">
        <v>45250</v>
      </c>
      <c r="K362" s="3">
        <v>499.05932796639797</v>
      </c>
      <c r="M362" s="1">
        <v>45238</v>
      </c>
      <c r="N362" s="3">
        <v>13650.414000000001</v>
      </c>
    </row>
    <row r="363" spans="1:14" x14ac:dyDescent="0.3">
      <c r="A363" s="1">
        <v>45237</v>
      </c>
      <c r="B363" s="2">
        <v>34152.603300000002</v>
      </c>
      <c r="D363" s="5">
        <v>45229</v>
      </c>
      <c r="E363" s="3">
        <v>2225.70646753446</v>
      </c>
      <c r="G363" s="1">
        <v>45223</v>
      </c>
      <c r="H363" s="3">
        <v>207.20665732774501</v>
      </c>
      <c r="J363" s="4">
        <v>45247</v>
      </c>
      <c r="K363" s="3">
        <v>497.16417259281798</v>
      </c>
      <c r="M363" s="1">
        <v>45237</v>
      </c>
      <c r="N363" s="3">
        <v>13639.856</v>
      </c>
    </row>
    <row r="364" spans="1:14" x14ac:dyDescent="0.3">
      <c r="A364" s="5">
        <v>45236</v>
      </c>
      <c r="B364" s="2">
        <v>34095.856800000001</v>
      </c>
      <c r="D364" s="4">
        <v>45226</v>
      </c>
      <c r="E364" s="3">
        <v>2224.5032858567602</v>
      </c>
      <c r="G364" s="5">
        <v>45222</v>
      </c>
      <c r="H364" s="3">
        <v>207.077822311293</v>
      </c>
      <c r="J364" s="1">
        <v>45246</v>
      </c>
      <c r="K364" s="3">
        <v>489.62741140984599</v>
      </c>
      <c r="M364" s="5">
        <v>45236</v>
      </c>
      <c r="N364" s="3">
        <v>13518.779</v>
      </c>
    </row>
    <row r="365" spans="1:14" x14ac:dyDescent="0.3">
      <c r="A365" s="4">
        <v>45233</v>
      </c>
      <c r="B365" s="2">
        <v>34061.321199999998</v>
      </c>
      <c r="D365" s="1">
        <v>45225</v>
      </c>
      <c r="E365" s="3">
        <v>2179.4225580830398</v>
      </c>
      <c r="G365" s="4">
        <v>45219</v>
      </c>
      <c r="H365" s="3">
        <v>208.61825947676101</v>
      </c>
      <c r="J365" s="1">
        <v>45245</v>
      </c>
      <c r="K365" s="3">
        <v>492.97180043383901</v>
      </c>
      <c r="M365" s="4">
        <v>45233</v>
      </c>
      <c r="N365" s="3">
        <v>13478.282999999999</v>
      </c>
    </row>
    <row r="366" spans="1:14" x14ac:dyDescent="0.3">
      <c r="A366" s="1">
        <v>45232</v>
      </c>
      <c r="B366" s="2">
        <v>33839.080699999999</v>
      </c>
      <c r="D366" s="1">
        <v>45224</v>
      </c>
      <c r="E366" s="3">
        <v>2184.46166238348</v>
      </c>
      <c r="G366" s="1">
        <v>45218</v>
      </c>
      <c r="H366" s="3">
        <v>209.84523968486599</v>
      </c>
      <c r="J366" s="1">
        <v>45244</v>
      </c>
      <c r="K366" s="3">
        <v>492.38468233246499</v>
      </c>
      <c r="M366" s="1">
        <v>45232</v>
      </c>
      <c r="N366" s="3">
        <v>13294.19</v>
      </c>
    </row>
    <row r="367" spans="1:14" x14ac:dyDescent="0.3">
      <c r="A367" s="1">
        <v>45231</v>
      </c>
      <c r="B367" s="2">
        <v>33274.582000000002</v>
      </c>
      <c r="D367" s="5">
        <v>45223</v>
      </c>
      <c r="E367" s="3">
        <v>2171.9966764668202</v>
      </c>
      <c r="G367" s="1">
        <v>45217</v>
      </c>
      <c r="H367" s="3">
        <v>213.72898879401001</v>
      </c>
      <c r="J367" s="5">
        <v>45243</v>
      </c>
      <c r="K367" s="3">
        <v>477.75020324333599</v>
      </c>
      <c r="M367" s="1">
        <v>45231</v>
      </c>
      <c r="N367" s="3">
        <v>13061.468999999999</v>
      </c>
    </row>
    <row r="368" spans="1:14" x14ac:dyDescent="0.3">
      <c r="A368" s="1">
        <v>45230</v>
      </c>
      <c r="B368" s="2">
        <v>33052.868699999999</v>
      </c>
      <c r="D368" s="4">
        <v>45219</v>
      </c>
      <c r="E368" s="3">
        <v>2194.8018916155402</v>
      </c>
      <c r="G368" s="1">
        <v>45216</v>
      </c>
      <c r="H368" s="3">
        <v>213.88711615487401</v>
      </c>
      <c r="J368" s="4">
        <v>45240</v>
      </c>
      <c r="K368" s="3">
        <v>473.50038451679302</v>
      </c>
      <c r="M368" s="1">
        <v>45230</v>
      </c>
      <c r="N368" s="3">
        <v>12851.237999999999</v>
      </c>
    </row>
    <row r="369" spans="1:14" x14ac:dyDescent="0.3">
      <c r="A369" s="5">
        <v>45229</v>
      </c>
      <c r="B369" s="2">
        <v>32928.962399999997</v>
      </c>
      <c r="D369" s="1">
        <v>45218</v>
      </c>
      <c r="E369" s="3">
        <v>2210.7611682750698</v>
      </c>
      <c r="G369" s="5">
        <v>45215</v>
      </c>
      <c r="H369" s="3">
        <v>211.766086956511</v>
      </c>
      <c r="J369" s="1">
        <v>45239</v>
      </c>
      <c r="K369" s="3">
        <v>477.622765476344</v>
      </c>
      <c r="M369" s="5">
        <v>45229</v>
      </c>
      <c r="N369" s="3">
        <v>12789.483</v>
      </c>
    </row>
    <row r="370" spans="1:14" x14ac:dyDescent="0.3">
      <c r="A370" s="4">
        <v>45226</v>
      </c>
      <c r="B370" s="2">
        <v>32417.585200000001</v>
      </c>
      <c r="D370" s="1">
        <v>45217</v>
      </c>
      <c r="E370" s="3">
        <v>2264.8053540410801</v>
      </c>
      <c r="G370" s="4">
        <v>45212</v>
      </c>
      <c r="H370" s="3">
        <v>216.088197927105</v>
      </c>
      <c r="J370" s="1">
        <v>45238</v>
      </c>
      <c r="K370" s="3">
        <v>475.464950694349</v>
      </c>
      <c r="M370" s="4">
        <v>45226</v>
      </c>
      <c r="N370" s="3">
        <v>12643.011</v>
      </c>
    </row>
    <row r="371" spans="1:14" x14ac:dyDescent="0.3">
      <c r="A371" s="1">
        <v>45225</v>
      </c>
      <c r="B371" s="2">
        <v>32784.2952</v>
      </c>
      <c r="D371" s="1">
        <v>45216</v>
      </c>
      <c r="E371" s="3">
        <v>2271.6436605316899</v>
      </c>
      <c r="G371" s="1">
        <v>45211</v>
      </c>
      <c r="H371" s="3">
        <v>216.920293724967</v>
      </c>
      <c r="J371" s="1">
        <v>45237</v>
      </c>
      <c r="K371" s="3">
        <v>473.76079257919901</v>
      </c>
      <c r="M371" s="1">
        <v>45225</v>
      </c>
      <c r="N371" s="3">
        <v>12595.605</v>
      </c>
    </row>
    <row r="372" spans="1:14" x14ac:dyDescent="0.3">
      <c r="A372" s="1">
        <v>45224</v>
      </c>
      <c r="B372" s="2">
        <v>33035.930500000002</v>
      </c>
      <c r="D372" s="5">
        <v>45215</v>
      </c>
      <c r="E372" s="3">
        <v>2256.8394657387098</v>
      </c>
      <c r="G372" s="1">
        <v>45210</v>
      </c>
      <c r="H372" s="3">
        <v>214.123432785777</v>
      </c>
      <c r="J372" s="5">
        <v>45236</v>
      </c>
      <c r="K372" s="3">
        <v>475.23224790253602</v>
      </c>
      <c r="M372" s="1">
        <v>45224</v>
      </c>
      <c r="N372" s="3">
        <v>12821.224</v>
      </c>
    </row>
    <row r="373" spans="1:14" x14ac:dyDescent="0.3">
      <c r="A373" s="1">
        <v>45223</v>
      </c>
      <c r="B373" s="2">
        <v>33141.382700000002</v>
      </c>
      <c r="D373" s="4">
        <v>45212</v>
      </c>
      <c r="E373" s="3">
        <v>2276.6538009304199</v>
      </c>
      <c r="G373" s="5">
        <v>45209</v>
      </c>
      <c r="H373" s="3">
        <v>213.493813046393</v>
      </c>
      <c r="J373" s="4">
        <v>45233</v>
      </c>
      <c r="K373" s="3">
        <v>476.62679040824003</v>
      </c>
      <c r="M373" s="1">
        <v>45223</v>
      </c>
      <c r="N373" s="3">
        <v>13139.875</v>
      </c>
    </row>
    <row r="374" spans="1:14" x14ac:dyDescent="0.3">
      <c r="A374" s="5">
        <v>45222</v>
      </c>
      <c r="B374" s="2">
        <v>32936.410000000003</v>
      </c>
      <c r="D374" s="1">
        <v>45211</v>
      </c>
      <c r="E374" s="3">
        <v>2331.1489448726302</v>
      </c>
      <c r="G374" s="4">
        <v>45205</v>
      </c>
      <c r="H374" s="3">
        <v>207.57212697562201</v>
      </c>
      <c r="J374" s="1">
        <v>45232</v>
      </c>
      <c r="K374" s="3">
        <v>470.96493277543198</v>
      </c>
      <c r="M374" s="5">
        <v>45222</v>
      </c>
      <c r="N374" s="3">
        <v>13018.329</v>
      </c>
    </row>
    <row r="375" spans="1:14" x14ac:dyDescent="0.3">
      <c r="A375" s="4">
        <v>45219</v>
      </c>
      <c r="B375" s="2">
        <v>33127.278400000003</v>
      </c>
      <c r="D375" s="1">
        <v>45210</v>
      </c>
      <c r="E375" s="3">
        <v>2288.2372499872199</v>
      </c>
      <c r="G375" s="1">
        <v>45204</v>
      </c>
      <c r="H375" s="3">
        <v>209.261683501692</v>
      </c>
      <c r="J375" s="1">
        <v>45231</v>
      </c>
      <c r="K375" s="3">
        <v>461.36856010567999</v>
      </c>
      <c r="M375" s="4">
        <v>45219</v>
      </c>
      <c r="N375" s="3">
        <v>12983.807000000001</v>
      </c>
    </row>
    <row r="376" spans="1:14" x14ac:dyDescent="0.3">
      <c r="A376" s="1">
        <v>45218</v>
      </c>
      <c r="B376" s="2">
        <v>33414.174299999999</v>
      </c>
      <c r="D376" s="1">
        <v>45209</v>
      </c>
      <c r="E376" s="3">
        <v>2259.2635698572599</v>
      </c>
      <c r="G376" s="1">
        <v>45203</v>
      </c>
      <c r="H376" s="3">
        <v>204.713519313305</v>
      </c>
      <c r="J376" s="1">
        <v>45230</v>
      </c>
      <c r="K376" s="3">
        <v>458.637392389534</v>
      </c>
      <c r="M376" s="1">
        <v>45218</v>
      </c>
      <c r="N376" s="3">
        <v>13186.174999999999</v>
      </c>
    </row>
    <row r="377" spans="1:14" x14ac:dyDescent="0.3">
      <c r="A377" s="1">
        <v>45217</v>
      </c>
      <c r="B377" s="2">
        <v>33665.084600000002</v>
      </c>
      <c r="D377" s="5">
        <v>45208</v>
      </c>
      <c r="E377" s="3">
        <v>2237.5301766531802</v>
      </c>
      <c r="G377" s="1">
        <v>45202</v>
      </c>
      <c r="H377" s="3">
        <v>209.622466782977</v>
      </c>
      <c r="J377" s="5">
        <v>45229</v>
      </c>
      <c r="K377" s="3">
        <v>457.547970793003</v>
      </c>
      <c r="M377" s="1">
        <v>45217</v>
      </c>
      <c r="N377" s="3">
        <v>13314.302</v>
      </c>
    </row>
    <row r="378" spans="1:14" x14ac:dyDescent="0.3">
      <c r="A378" s="1">
        <v>45216</v>
      </c>
      <c r="B378" s="2">
        <v>33997.654499999997</v>
      </c>
      <c r="D378" s="4">
        <v>45205</v>
      </c>
      <c r="E378" s="3">
        <v>2232.8323522276</v>
      </c>
      <c r="G378" s="5">
        <v>45201</v>
      </c>
      <c r="H378" s="3">
        <v>211.94447781113399</v>
      </c>
      <c r="J378" s="4">
        <v>45226</v>
      </c>
      <c r="K378" s="3">
        <v>453.80885475538997</v>
      </c>
      <c r="M378" s="1">
        <v>45216</v>
      </c>
      <c r="N378" s="3">
        <v>13533.746999999999</v>
      </c>
    </row>
    <row r="379" spans="1:14" x14ac:dyDescent="0.3">
      <c r="A379" s="5">
        <v>45215</v>
      </c>
      <c r="B379" s="2">
        <v>33984.538800000002</v>
      </c>
      <c r="D379" s="1">
        <v>45204</v>
      </c>
      <c r="E379" s="3">
        <v>2198.4508301404799</v>
      </c>
      <c r="G379" s="4">
        <v>45198</v>
      </c>
      <c r="H379" s="3">
        <v>213.30847003683201</v>
      </c>
      <c r="J379" s="1">
        <v>45225</v>
      </c>
      <c r="K379" s="3">
        <v>457.459053613104</v>
      </c>
      <c r="M379" s="5">
        <v>45215</v>
      </c>
      <c r="N379" s="3">
        <v>13567.984</v>
      </c>
    </row>
    <row r="380" spans="1:14" x14ac:dyDescent="0.3">
      <c r="A380" s="4">
        <v>45212</v>
      </c>
      <c r="B380" s="2">
        <v>33670.291299999997</v>
      </c>
      <c r="D380" s="1">
        <v>45203</v>
      </c>
      <c r="E380" s="3">
        <v>2196.5408885369002</v>
      </c>
      <c r="G380" s="1">
        <v>45197</v>
      </c>
      <c r="H380" s="3">
        <v>213.49400495679001</v>
      </c>
      <c r="J380" s="1">
        <v>45224</v>
      </c>
      <c r="K380" s="3">
        <v>459.776064223091</v>
      </c>
      <c r="M380" s="4">
        <v>45212</v>
      </c>
      <c r="N380" s="3">
        <v>13407.234</v>
      </c>
    </row>
    <row r="381" spans="1:14" x14ac:dyDescent="0.3">
      <c r="A381" s="1">
        <v>45211</v>
      </c>
      <c r="B381" s="2">
        <v>33631.142200000002</v>
      </c>
      <c r="D381" s="5">
        <v>45202</v>
      </c>
      <c r="E381" s="3">
        <v>2212.8728294177699</v>
      </c>
      <c r="G381" s="1">
        <v>45196</v>
      </c>
      <c r="H381" s="3">
        <v>216.34632092495499</v>
      </c>
      <c r="J381" s="1">
        <v>45223</v>
      </c>
      <c r="K381" s="3">
        <v>460.67106419473299</v>
      </c>
      <c r="M381" s="1">
        <v>45211</v>
      </c>
      <c r="N381" s="3">
        <v>13574.218999999999</v>
      </c>
    </row>
    <row r="382" spans="1:14" x14ac:dyDescent="0.3">
      <c r="A382" s="1">
        <v>45210</v>
      </c>
      <c r="B382" s="2">
        <v>33804.8747</v>
      </c>
      <c r="D382" s="4">
        <v>45198</v>
      </c>
      <c r="E382" s="3">
        <v>2274.33818177174</v>
      </c>
      <c r="G382" s="1">
        <v>45195</v>
      </c>
      <c r="H382" s="3">
        <v>216.80677624958301</v>
      </c>
      <c r="J382" s="5">
        <v>45222</v>
      </c>
      <c r="K382" s="3">
        <v>462.11781774733703</v>
      </c>
      <c r="M382" s="1">
        <v>45210</v>
      </c>
      <c r="N382" s="3">
        <v>13659.677</v>
      </c>
    </row>
    <row r="383" spans="1:14" x14ac:dyDescent="0.3">
      <c r="A383" s="1">
        <v>45209</v>
      </c>
      <c r="B383" s="2">
        <v>33739.296600000001</v>
      </c>
      <c r="D383" s="1">
        <v>45197</v>
      </c>
      <c r="E383" s="3">
        <v>2218.9761536791402</v>
      </c>
      <c r="G383" s="5">
        <v>45194</v>
      </c>
      <c r="H383" s="3">
        <v>219.49637291778399</v>
      </c>
      <c r="J383" s="4">
        <v>45219</v>
      </c>
      <c r="K383" s="3">
        <v>459.45001165229598</v>
      </c>
      <c r="M383" s="1">
        <v>45209</v>
      </c>
      <c r="N383" s="3">
        <v>13562.843999999999</v>
      </c>
    </row>
    <row r="384" spans="1:14" x14ac:dyDescent="0.3">
      <c r="A384" s="5">
        <v>45208</v>
      </c>
      <c r="B384" s="2">
        <v>33604.647299999997</v>
      </c>
      <c r="D384" s="1">
        <v>45196</v>
      </c>
      <c r="E384" s="3">
        <v>2252.1284894055002</v>
      </c>
      <c r="G384" s="4">
        <v>45191</v>
      </c>
      <c r="H384" s="3">
        <v>218.38922962864601</v>
      </c>
      <c r="J384" s="1">
        <v>45218</v>
      </c>
      <c r="K384" s="3">
        <v>465.18983993991202</v>
      </c>
      <c r="M384" s="5">
        <v>45208</v>
      </c>
      <c r="N384" s="3">
        <v>13484.239</v>
      </c>
    </row>
    <row r="385" spans="1:14" x14ac:dyDescent="0.3">
      <c r="A385" s="4">
        <v>45205</v>
      </c>
      <c r="B385" s="2">
        <v>33407.583500000001</v>
      </c>
      <c r="D385" s="1">
        <v>45195</v>
      </c>
      <c r="E385" s="3">
        <v>2233.3904459901801</v>
      </c>
      <c r="G385" s="1">
        <v>45190</v>
      </c>
      <c r="H385" s="3">
        <v>220.70084022224199</v>
      </c>
      <c r="J385" s="1">
        <v>45217</v>
      </c>
      <c r="K385" s="3">
        <v>468.82703693558699</v>
      </c>
      <c r="M385" s="4">
        <v>45205</v>
      </c>
      <c r="N385" s="3">
        <v>13431.341</v>
      </c>
    </row>
    <row r="386" spans="1:14" x14ac:dyDescent="0.3">
      <c r="A386" s="1">
        <v>45204</v>
      </c>
      <c r="B386" s="2">
        <v>33119.567300000002</v>
      </c>
      <c r="D386" s="5">
        <v>45194</v>
      </c>
      <c r="E386" s="3">
        <v>2268.4489994370201</v>
      </c>
      <c r="G386" s="1">
        <v>45189</v>
      </c>
      <c r="H386" s="3">
        <v>222.637227802886</v>
      </c>
      <c r="J386" s="1">
        <v>45216</v>
      </c>
      <c r="K386" s="3">
        <v>475.61942831762798</v>
      </c>
      <c r="M386" s="1">
        <v>45204</v>
      </c>
      <c r="N386" s="3">
        <v>13219.834000000001</v>
      </c>
    </row>
    <row r="387" spans="1:14" x14ac:dyDescent="0.3">
      <c r="A387" s="1">
        <v>45203</v>
      </c>
      <c r="B387" s="2">
        <v>33129.552300000003</v>
      </c>
      <c r="D387" s="4">
        <v>45191</v>
      </c>
      <c r="E387" s="3">
        <v>2309.1663576260598</v>
      </c>
      <c r="G387" s="5">
        <v>45188</v>
      </c>
      <c r="H387" s="3">
        <v>224.824766671178</v>
      </c>
      <c r="J387" s="5">
        <v>45215</v>
      </c>
      <c r="K387" s="3">
        <v>475.32069893891997</v>
      </c>
      <c r="M387" s="1">
        <v>45203</v>
      </c>
      <c r="N387" s="3">
        <v>13236.01</v>
      </c>
    </row>
    <row r="388" spans="1:14" x14ac:dyDescent="0.3">
      <c r="A388" s="1">
        <v>45202</v>
      </c>
      <c r="B388" s="2">
        <v>33002.383500000004</v>
      </c>
      <c r="D388" s="1">
        <v>45190</v>
      </c>
      <c r="E388" s="3">
        <v>2257.58071734544</v>
      </c>
      <c r="G388" s="4">
        <v>45184</v>
      </c>
      <c r="H388" s="3">
        <v>226.850832093093</v>
      </c>
      <c r="J388" s="4">
        <v>45212</v>
      </c>
      <c r="K388" s="3">
        <v>472.04094286284902</v>
      </c>
      <c r="M388" s="1">
        <v>45202</v>
      </c>
      <c r="N388" s="3">
        <v>13059.466</v>
      </c>
    </row>
    <row r="389" spans="1:14" x14ac:dyDescent="0.3">
      <c r="A389" s="5">
        <v>45201</v>
      </c>
      <c r="B389" s="2">
        <v>33433.3534</v>
      </c>
      <c r="D389" s="1">
        <v>45189</v>
      </c>
      <c r="E389" s="3">
        <v>2286.4593986500199</v>
      </c>
      <c r="G389" s="1">
        <v>45183</v>
      </c>
      <c r="H389" s="3">
        <v>224.91421984130901</v>
      </c>
      <c r="J389" s="1">
        <v>45211</v>
      </c>
      <c r="K389" s="3">
        <v>477.49018452048801</v>
      </c>
      <c r="M389" s="5">
        <v>45201</v>
      </c>
      <c r="N389" s="3">
        <v>13307.772999999999</v>
      </c>
    </row>
    <row r="390" spans="1:14" x14ac:dyDescent="0.3">
      <c r="A390" s="4">
        <v>45198</v>
      </c>
      <c r="B390" s="2">
        <v>33507.499499999998</v>
      </c>
      <c r="D390" s="1">
        <v>45188</v>
      </c>
      <c r="E390" s="3">
        <v>2301.3989590925898</v>
      </c>
      <c r="G390" s="1">
        <v>45182</v>
      </c>
      <c r="H390" s="3">
        <v>221.81430993556901</v>
      </c>
      <c r="J390" s="1">
        <v>45210</v>
      </c>
      <c r="K390" s="3">
        <v>481.11775260380603</v>
      </c>
      <c r="M390" s="4">
        <v>45198</v>
      </c>
      <c r="N390" s="3">
        <v>13219.322</v>
      </c>
    </row>
    <row r="391" spans="1:14" x14ac:dyDescent="0.3">
      <c r="A391" s="1">
        <v>45197</v>
      </c>
      <c r="B391" s="2">
        <v>33666.336900000002</v>
      </c>
      <c r="D391" s="5">
        <v>45187</v>
      </c>
      <c r="E391" s="3">
        <v>2293.4077740685302</v>
      </c>
      <c r="G391" s="1">
        <v>45181</v>
      </c>
      <c r="H391" s="3">
        <v>222.84722599944001</v>
      </c>
      <c r="J391" s="1">
        <v>45209</v>
      </c>
      <c r="K391" s="3">
        <v>479.764189454264</v>
      </c>
      <c r="M391" s="1">
        <v>45197</v>
      </c>
      <c r="N391" s="3">
        <v>13201.276</v>
      </c>
    </row>
    <row r="392" spans="1:14" x14ac:dyDescent="0.3">
      <c r="A392" s="1">
        <v>45196</v>
      </c>
      <c r="B392" s="2">
        <v>33550.273500000003</v>
      </c>
      <c r="D392" s="4">
        <v>45184</v>
      </c>
      <c r="E392" s="3">
        <v>2323.4841611613001</v>
      </c>
      <c r="G392" s="5">
        <v>45180</v>
      </c>
      <c r="H392" s="3">
        <v>221.50197844180499</v>
      </c>
      <c r="J392" s="5">
        <v>45208</v>
      </c>
      <c r="K392" s="3">
        <v>468.86489456112798</v>
      </c>
      <c r="M392" s="1">
        <v>45196</v>
      </c>
      <c r="N392" s="3">
        <v>13092.849</v>
      </c>
    </row>
    <row r="393" spans="1:14" x14ac:dyDescent="0.3">
      <c r="A393" s="1">
        <v>45195</v>
      </c>
      <c r="B393" s="2">
        <v>33618.883399999999</v>
      </c>
      <c r="D393" s="1">
        <v>45183</v>
      </c>
      <c r="E393" s="3">
        <v>2305.4711750954898</v>
      </c>
      <c r="G393" s="4">
        <v>45177</v>
      </c>
      <c r="H393" s="3">
        <v>220.59968878967399</v>
      </c>
      <c r="J393" s="4">
        <v>45205</v>
      </c>
      <c r="K393" s="3">
        <v>471.00482723577198</v>
      </c>
      <c r="M393" s="1">
        <v>45195</v>
      </c>
      <c r="N393" s="3">
        <v>13063.61</v>
      </c>
    </row>
    <row r="394" spans="1:14" x14ac:dyDescent="0.3">
      <c r="A394" s="5">
        <v>45194</v>
      </c>
      <c r="B394" s="2">
        <v>34006.881500000003</v>
      </c>
      <c r="D394" s="1">
        <v>45182</v>
      </c>
      <c r="E394" s="3">
        <v>2301.2918972104699</v>
      </c>
      <c r="G394" s="1">
        <v>45176</v>
      </c>
      <c r="H394" s="3">
        <v>223.987236064916</v>
      </c>
      <c r="J394" s="1">
        <v>45204</v>
      </c>
      <c r="K394" s="3">
        <v>465.49232635409498</v>
      </c>
      <c r="M394" s="5">
        <v>45194</v>
      </c>
      <c r="N394" s="3">
        <v>13271.32</v>
      </c>
    </row>
    <row r="395" spans="1:14" x14ac:dyDescent="0.3">
      <c r="A395" s="4">
        <v>45191</v>
      </c>
      <c r="B395" s="2">
        <v>33963.8439</v>
      </c>
      <c r="D395" s="1">
        <v>45181</v>
      </c>
      <c r="E395" s="3">
        <v>2303.0689033972499</v>
      </c>
      <c r="G395" s="1">
        <v>45175</v>
      </c>
      <c r="H395" s="3">
        <v>225.133897731118</v>
      </c>
      <c r="J395" s="1">
        <v>45203</v>
      </c>
      <c r="K395" s="3">
        <v>462.215500309839</v>
      </c>
      <c r="M395" s="4">
        <v>45191</v>
      </c>
      <c r="N395" s="3">
        <v>13211.807000000001</v>
      </c>
    </row>
    <row r="396" spans="1:14" x14ac:dyDescent="0.3">
      <c r="A396" s="1">
        <v>45190</v>
      </c>
      <c r="B396" s="2">
        <v>34070.416499999999</v>
      </c>
      <c r="D396" s="5">
        <v>45180</v>
      </c>
      <c r="E396" s="3">
        <v>2310.6374013636701</v>
      </c>
      <c r="G396" s="1">
        <v>45174</v>
      </c>
      <c r="H396" s="3">
        <v>223.65960327670001</v>
      </c>
      <c r="J396" s="1">
        <v>45202</v>
      </c>
      <c r="K396" s="3">
        <v>461.19070293123701</v>
      </c>
      <c r="M396" s="1">
        <v>45190</v>
      </c>
      <c r="N396" s="3">
        <v>13223.985000000001</v>
      </c>
    </row>
    <row r="397" spans="1:14" x14ac:dyDescent="0.3">
      <c r="A397" s="1">
        <v>45189</v>
      </c>
      <c r="B397" s="2">
        <v>34440.883199999997</v>
      </c>
      <c r="D397" s="4">
        <v>45176</v>
      </c>
      <c r="E397" s="3">
        <v>2321.9591534742499</v>
      </c>
      <c r="G397" s="5">
        <v>45173</v>
      </c>
      <c r="H397" s="3">
        <v>224.90222586372499</v>
      </c>
      <c r="J397" s="5">
        <v>45201</v>
      </c>
      <c r="K397" s="3">
        <v>466.80145826349298</v>
      </c>
      <c r="M397" s="1">
        <v>45189</v>
      </c>
      <c r="N397" s="3">
        <v>13469.128000000001</v>
      </c>
    </row>
    <row r="398" spans="1:14" x14ac:dyDescent="0.3">
      <c r="A398" s="1">
        <v>45188</v>
      </c>
      <c r="B398" s="2">
        <v>34517.731500000002</v>
      </c>
      <c r="D398" s="1">
        <v>45175</v>
      </c>
      <c r="E398" s="3">
        <v>2352.5935937978202</v>
      </c>
      <c r="G398" s="4">
        <v>45170</v>
      </c>
      <c r="H398" s="3">
        <v>223.692949463183</v>
      </c>
      <c r="J398" s="4">
        <v>45198</v>
      </c>
      <c r="K398" s="3">
        <v>475.88444829663899</v>
      </c>
      <c r="M398" s="1">
        <v>45188</v>
      </c>
      <c r="N398" s="3">
        <v>13678.186</v>
      </c>
    </row>
    <row r="399" spans="1:14" x14ac:dyDescent="0.3">
      <c r="A399" s="5">
        <v>45187</v>
      </c>
      <c r="B399" s="2">
        <v>34624.304100000001</v>
      </c>
      <c r="D399" s="1">
        <v>45174</v>
      </c>
      <c r="E399" s="3">
        <v>2353.9875266238901</v>
      </c>
      <c r="G399" s="1">
        <v>45169</v>
      </c>
      <c r="H399" s="3">
        <v>224.141688998831</v>
      </c>
      <c r="J399" s="1">
        <v>45197</v>
      </c>
      <c r="K399" s="3">
        <v>473.57084028467</v>
      </c>
      <c r="M399" s="5">
        <v>45187</v>
      </c>
      <c r="N399" s="3">
        <v>13710.236999999999</v>
      </c>
    </row>
    <row r="400" spans="1:14" x14ac:dyDescent="0.3">
      <c r="A400" s="4">
        <v>45184</v>
      </c>
      <c r="B400" s="2">
        <v>34618.240599999997</v>
      </c>
      <c r="D400" s="5">
        <v>45173</v>
      </c>
      <c r="E400" s="3">
        <v>2405.4634345600598</v>
      </c>
      <c r="G400" s="1">
        <v>45168</v>
      </c>
      <c r="H400" s="3">
        <v>221.098605032808</v>
      </c>
      <c r="J400" s="1">
        <v>45196</v>
      </c>
      <c r="K400" s="3">
        <v>469.25596925596898</v>
      </c>
      <c r="M400" s="4">
        <v>45184</v>
      </c>
      <c r="N400" s="3">
        <v>13708.334999999999</v>
      </c>
    </row>
    <row r="401" spans="1:14" x14ac:dyDescent="0.3">
      <c r="A401" s="1">
        <v>45183</v>
      </c>
      <c r="B401" s="2">
        <v>34907.113700000002</v>
      </c>
      <c r="D401" s="4">
        <v>45169</v>
      </c>
      <c r="E401" s="3">
        <v>2344.1422140607201</v>
      </c>
      <c r="G401" s="1">
        <v>45167</v>
      </c>
      <c r="H401" s="3">
        <v>220.929389182161</v>
      </c>
      <c r="J401" s="1">
        <v>45195</v>
      </c>
      <c r="K401" s="3">
        <v>473.22079761539999</v>
      </c>
      <c r="M401" s="1">
        <v>45183</v>
      </c>
      <c r="N401" s="3">
        <v>13926.052</v>
      </c>
    </row>
    <row r="402" spans="1:14" x14ac:dyDescent="0.3">
      <c r="A402" s="1">
        <v>45182</v>
      </c>
      <c r="B402" s="2">
        <v>34575.532500000001</v>
      </c>
      <c r="D402" s="1">
        <v>45168</v>
      </c>
      <c r="E402" s="3">
        <v>2355.40461322798</v>
      </c>
      <c r="G402" s="5">
        <v>45166</v>
      </c>
      <c r="H402" s="3">
        <v>219.53043537601499</v>
      </c>
      <c r="J402" s="5">
        <v>45194</v>
      </c>
      <c r="K402" s="3">
        <v>477.01447648497702</v>
      </c>
      <c r="M402" s="1">
        <v>45182</v>
      </c>
      <c r="N402" s="3">
        <v>13813.584999999999</v>
      </c>
    </row>
    <row r="403" spans="1:14" x14ac:dyDescent="0.3">
      <c r="A403" s="1">
        <v>45181</v>
      </c>
      <c r="B403" s="2">
        <v>34645.987699999998</v>
      </c>
      <c r="D403" s="1">
        <v>45167</v>
      </c>
      <c r="E403" s="3">
        <v>2355.70381698847</v>
      </c>
      <c r="G403" s="4">
        <v>45163</v>
      </c>
      <c r="H403" s="3">
        <v>215.99808756233401</v>
      </c>
      <c r="J403" s="4">
        <v>45191</v>
      </c>
      <c r="K403" s="3">
        <v>482.81298266918202</v>
      </c>
      <c r="M403" s="1">
        <v>45181</v>
      </c>
      <c r="N403" s="3">
        <v>13773.615</v>
      </c>
    </row>
    <row r="404" spans="1:14" x14ac:dyDescent="0.3">
      <c r="A404" s="5">
        <v>45180</v>
      </c>
      <c r="B404" s="2">
        <v>34663.716899999999</v>
      </c>
      <c r="D404" s="5">
        <v>45166</v>
      </c>
      <c r="E404" s="3">
        <v>2310.8848046088301</v>
      </c>
      <c r="G404" s="1">
        <v>45162</v>
      </c>
      <c r="H404" s="3">
        <v>221.34235963530401</v>
      </c>
      <c r="J404" s="1">
        <v>45190</v>
      </c>
      <c r="K404" s="3">
        <v>484.58849359452699</v>
      </c>
      <c r="M404" s="5">
        <v>45180</v>
      </c>
      <c r="N404" s="3">
        <v>13917.894</v>
      </c>
    </row>
    <row r="405" spans="1:14" x14ac:dyDescent="0.3">
      <c r="A405" s="4">
        <v>45177</v>
      </c>
      <c r="B405" s="2">
        <v>34576.587</v>
      </c>
      <c r="D405" s="4">
        <v>45163</v>
      </c>
      <c r="E405" s="3">
        <v>2289.2741945765401</v>
      </c>
      <c r="G405" s="1">
        <v>45161</v>
      </c>
      <c r="H405" s="3">
        <v>221.019540150528</v>
      </c>
      <c r="J405" s="1">
        <v>45189</v>
      </c>
      <c r="K405" s="3">
        <v>491.01975121779901</v>
      </c>
      <c r="M405" s="4">
        <v>45177</v>
      </c>
      <c r="N405" s="3">
        <v>13761.526</v>
      </c>
    </row>
    <row r="406" spans="1:14" x14ac:dyDescent="0.3">
      <c r="A406" s="1">
        <v>45176</v>
      </c>
      <c r="B406" s="2">
        <v>34500.727299999999</v>
      </c>
      <c r="D406" s="1">
        <v>45162</v>
      </c>
      <c r="E406" s="3">
        <v>2322.2995804802099</v>
      </c>
      <c r="G406" s="1">
        <v>45160</v>
      </c>
      <c r="H406" s="3">
        <v>218.376131066618</v>
      </c>
      <c r="J406" s="1">
        <v>45188</v>
      </c>
      <c r="K406" s="3">
        <v>487.42779658121702</v>
      </c>
      <c r="M406" s="1">
        <v>45176</v>
      </c>
      <c r="N406" s="3">
        <v>13748.832</v>
      </c>
    </row>
    <row r="407" spans="1:14" x14ac:dyDescent="0.3">
      <c r="A407" s="1">
        <v>45175</v>
      </c>
      <c r="B407" s="2">
        <v>34443.19</v>
      </c>
      <c r="D407" s="1">
        <v>45161</v>
      </c>
      <c r="E407" s="3">
        <v>2276.0040301495901</v>
      </c>
      <c r="G407" s="5">
        <v>45159</v>
      </c>
      <c r="H407" s="3">
        <v>215.951563248263</v>
      </c>
      <c r="J407" s="5">
        <v>45187</v>
      </c>
      <c r="K407" s="3">
        <v>488.23560853065402</v>
      </c>
      <c r="M407" s="1">
        <v>45175</v>
      </c>
      <c r="N407" s="3">
        <v>13872.471</v>
      </c>
    </row>
    <row r="408" spans="1:14" x14ac:dyDescent="0.3">
      <c r="A408" s="5">
        <v>45174</v>
      </c>
      <c r="B408" s="2">
        <v>34641.967299999997</v>
      </c>
      <c r="D408" s="1">
        <v>45160</v>
      </c>
      <c r="E408" s="3">
        <v>2270.2749952147001</v>
      </c>
      <c r="G408" s="4">
        <v>45156</v>
      </c>
      <c r="H408" s="3">
        <v>216.34972827955099</v>
      </c>
      <c r="J408" s="4">
        <v>45184</v>
      </c>
      <c r="K408" s="3">
        <v>492.18458653426302</v>
      </c>
      <c r="M408" s="5">
        <v>45174</v>
      </c>
      <c r="N408" s="3">
        <v>14020.951999999999</v>
      </c>
    </row>
    <row r="409" spans="1:14" x14ac:dyDescent="0.3">
      <c r="A409" s="4">
        <v>45170</v>
      </c>
      <c r="B409" s="2">
        <v>34837.713000000003</v>
      </c>
      <c r="D409" s="5">
        <v>45159</v>
      </c>
      <c r="E409" s="3">
        <v>2248.4708914377702</v>
      </c>
      <c r="G409" s="1">
        <v>45155</v>
      </c>
      <c r="H409" s="3">
        <v>216.86895700472101</v>
      </c>
      <c r="J409" s="1">
        <v>45183</v>
      </c>
      <c r="K409" s="3">
        <v>490.40180471609898</v>
      </c>
      <c r="M409" s="4">
        <v>45170</v>
      </c>
      <c r="N409" s="3">
        <v>14031.815000000001</v>
      </c>
    </row>
    <row r="410" spans="1:14" x14ac:dyDescent="0.3">
      <c r="A410" s="1">
        <v>45169</v>
      </c>
      <c r="B410" s="2">
        <v>34721.9133</v>
      </c>
      <c r="D410" s="4">
        <v>45156</v>
      </c>
      <c r="E410" s="3">
        <v>2291.7246485975902</v>
      </c>
      <c r="G410" s="1">
        <v>45154</v>
      </c>
      <c r="H410" s="3">
        <v>217.060608131187</v>
      </c>
      <c r="J410" s="1">
        <v>45182</v>
      </c>
      <c r="K410" s="3">
        <v>486.98693329328398</v>
      </c>
      <c r="M410" s="1">
        <v>45169</v>
      </c>
      <c r="N410" s="3">
        <v>14034.968999999999</v>
      </c>
    </row>
    <row r="411" spans="1:14" x14ac:dyDescent="0.3">
      <c r="A411" s="1">
        <v>45168</v>
      </c>
      <c r="B411" s="2">
        <v>34890.241399999999</v>
      </c>
      <c r="D411" s="1">
        <v>45155</v>
      </c>
      <c r="E411" s="3">
        <v>2340.7451401129101</v>
      </c>
      <c r="G411" s="1">
        <v>45153</v>
      </c>
      <c r="H411" s="3">
        <v>221.46657965239601</v>
      </c>
      <c r="J411" s="1">
        <v>45181</v>
      </c>
      <c r="K411" s="3">
        <v>489.64582930133503</v>
      </c>
      <c r="M411" s="1">
        <v>45168</v>
      </c>
      <c r="N411" s="3">
        <v>14019.311</v>
      </c>
    </row>
    <row r="412" spans="1:14" x14ac:dyDescent="0.3">
      <c r="A412" s="1">
        <v>45167</v>
      </c>
      <c r="B412" s="2">
        <v>34852.673999999999</v>
      </c>
      <c r="D412" s="1">
        <v>45154</v>
      </c>
      <c r="E412" s="3">
        <v>2340.60784063339</v>
      </c>
      <c r="G412" s="5">
        <v>45152</v>
      </c>
      <c r="H412" s="3">
        <v>220.28246530163801</v>
      </c>
      <c r="J412" s="5">
        <v>45180</v>
      </c>
      <c r="K412" s="3">
        <v>490.33221912920101</v>
      </c>
      <c r="M412" s="1">
        <v>45167</v>
      </c>
      <c r="N412" s="3">
        <v>13943.757</v>
      </c>
    </row>
    <row r="413" spans="1:14" x14ac:dyDescent="0.3">
      <c r="A413" s="5">
        <v>45166</v>
      </c>
      <c r="B413" s="2">
        <v>34559.978300000002</v>
      </c>
      <c r="D413" s="1">
        <v>45153</v>
      </c>
      <c r="E413" s="3">
        <v>2375.18982487536</v>
      </c>
      <c r="G413" s="4">
        <v>45148</v>
      </c>
      <c r="H413" s="3">
        <v>224.37400677123901</v>
      </c>
      <c r="J413" s="4">
        <v>45177</v>
      </c>
      <c r="K413" s="3">
        <v>486.43906405469397</v>
      </c>
      <c r="M413" s="5">
        <v>45166</v>
      </c>
      <c r="N413" s="3">
        <v>13705.130999999999</v>
      </c>
    </row>
    <row r="414" spans="1:14" x14ac:dyDescent="0.3">
      <c r="A414" s="4">
        <v>45163</v>
      </c>
      <c r="B414" s="2">
        <v>34346.8989</v>
      </c>
      <c r="D414" s="5">
        <v>45152</v>
      </c>
      <c r="E414" s="3">
        <v>2400.8632265490101</v>
      </c>
      <c r="G414" s="1">
        <v>45147</v>
      </c>
      <c r="H414" s="3">
        <v>224.07688561089799</v>
      </c>
      <c r="J414" s="1">
        <v>45176</v>
      </c>
      <c r="K414" s="3">
        <v>485.37986669091799</v>
      </c>
      <c r="M414" s="4">
        <v>45163</v>
      </c>
      <c r="N414" s="3">
        <v>13590.646000000001</v>
      </c>
    </row>
    <row r="415" spans="1:14" x14ac:dyDescent="0.3">
      <c r="A415" s="1">
        <v>45162</v>
      </c>
      <c r="B415" s="2">
        <v>34099.415800000002</v>
      </c>
      <c r="D415" s="4">
        <v>45149</v>
      </c>
      <c r="E415" s="3">
        <v>2440.1251071341899</v>
      </c>
      <c r="G415" s="1">
        <v>45146</v>
      </c>
      <c r="H415" s="3">
        <v>225.830299225792</v>
      </c>
      <c r="J415" s="1">
        <v>45175</v>
      </c>
      <c r="K415" s="3">
        <v>487.32608905527701</v>
      </c>
      <c r="M415" s="1">
        <v>45162</v>
      </c>
      <c r="N415" s="3">
        <v>13463.972</v>
      </c>
    </row>
    <row r="416" spans="1:14" x14ac:dyDescent="0.3">
      <c r="A416" s="1">
        <v>45161</v>
      </c>
      <c r="B416" s="2">
        <v>34472.980199999998</v>
      </c>
      <c r="D416" s="1">
        <v>45148</v>
      </c>
      <c r="E416" s="3">
        <v>2461.6976378355498</v>
      </c>
      <c r="G416" s="5">
        <v>45145</v>
      </c>
      <c r="H416" s="3">
        <v>226.36367464382499</v>
      </c>
      <c r="J416" s="1">
        <v>45174</v>
      </c>
      <c r="K416" s="3">
        <v>489.79460572016399</v>
      </c>
      <c r="M416" s="1">
        <v>45161</v>
      </c>
      <c r="N416" s="3">
        <v>13721.032999999999</v>
      </c>
    </row>
    <row r="417" spans="1:14" x14ac:dyDescent="0.3">
      <c r="A417" s="1">
        <v>45160</v>
      </c>
      <c r="B417" s="2">
        <v>34288.834300000002</v>
      </c>
      <c r="D417" s="1">
        <v>45147</v>
      </c>
      <c r="E417" s="3">
        <v>2460.8459384469802</v>
      </c>
      <c r="G417" s="4">
        <v>45142</v>
      </c>
      <c r="H417" s="3">
        <v>227.109347442668</v>
      </c>
      <c r="J417" s="5">
        <v>45173</v>
      </c>
      <c r="K417" s="3">
        <v>494.32235223004398</v>
      </c>
      <c r="M417" s="1">
        <v>45160</v>
      </c>
      <c r="N417" s="3">
        <v>13505.873</v>
      </c>
    </row>
    <row r="418" spans="1:14" x14ac:dyDescent="0.3">
      <c r="A418" s="5">
        <v>45159</v>
      </c>
      <c r="B418" s="2">
        <v>34463.6872</v>
      </c>
      <c r="D418" s="1">
        <v>45146</v>
      </c>
      <c r="E418" s="3">
        <v>2455.07096146709</v>
      </c>
      <c r="G418" s="1">
        <v>45141</v>
      </c>
      <c r="H418" s="3">
        <v>225.615827136251</v>
      </c>
      <c r="J418" s="4">
        <v>45170</v>
      </c>
      <c r="K418" s="3">
        <v>493.54161055750097</v>
      </c>
      <c r="M418" s="5">
        <v>45159</v>
      </c>
      <c r="N418" s="3">
        <v>13497.59</v>
      </c>
    </row>
    <row r="419" spans="1:14" x14ac:dyDescent="0.3">
      <c r="A419" s="4">
        <v>45156</v>
      </c>
      <c r="B419" s="2">
        <v>34500.661399999997</v>
      </c>
      <c r="D419" s="5">
        <v>45145</v>
      </c>
      <c r="E419" s="3">
        <v>2502.6476578411398</v>
      </c>
      <c r="G419" s="1">
        <v>45140</v>
      </c>
      <c r="H419" s="3">
        <v>228.21441529443501</v>
      </c>
      <c r="J419" s="1">
        <v>45169</v>
      </c>
      <c r="K419" s="3">
        <v>496.72600333904302</v>
      </c>
      <c r="M419" s="4">
        <v>45156</v>
      </c>
      <c r="N419" s="3">
        <v>13290.776</v>
      </c>
    </row>
    <row r="420" spans="1:14" x14ac:dyDescent="0.3">
      <c r="A420" s="1">
        <v>45155</v>
      </c>
      <c r="B420" s="2">
        <v>34474.825599999996</v>
      </c>
      <c r="D420" s="4">
        <v>45142</v>
      </c>
      <c r="E420" s="3">
        <v>2501.5311739854001</v>
      </c>
      <c r="G420" s="1">
        <v>45139</v>
      </c>
      <c r="H420" s="3">
        <v>233.579263187262</v>
      </c>
      <c r="J420" s="1">
        <v>45168</v>
      </c>
      <c r="K420" s="3">
        <v>501.55120054182697</v>
      </c>
      <c r="M420" s="1">
        <v>45155</v>
      </c>
      <c r="N420" s="3">
        <v>13316.932000000001</v>
      </c>
    </row>
    <row r="421" spans="1:14" x14ac:dyDescent="0.3">
      <c r="A421" s="1">
        <v>45154</v>
      </c>
      <c r="B421" s="2">
        <v>34765.741900000001</v>
      </c>
      <c r="D421" s="1">
        <v>45141</v>
      </c>
      <c r="E421" s="3">
        <v>2487.90945542588</v>
      </c>
      <c r="G421" s="5">
        <v>45138</v>
      </c>
      <c r="H421" s="3">
        <v>233.147455721108</v>
      </c>
      <c r="J421" s="1">
        <v>45167</v>
      </c>
      <c r="K421" s="3">
        <v>500.15771669730299</v>
      </c>
      <c r="M421" s="1">
        <v>45154</v>
      </c>
      <c r="N421" s="3">
        <v>13474.628000000001</v>
      </c>
    </row>
    <row r="422" spans="1:14" x14ac:dyDescent="0.3">
      <c r="A422" s="1">
        <v>45153</v>
      </c>
      <c r="B422" s="2">
        <v>34946.3946</v>
      </c>
      <c r="D422" s="1">
        <v>45140</v>
      </c>
      <c r="E422" s="3">
        <v>2501.7791678416702</v>
      </c>
      <c r="G422" s="4">
        <v>45135</v>
      </c>
      <c r="H422" s="3">
        <v>232.08806234500801</v>
      </c>
      <c r="J422" s="5">
        <v>45166</v>
      </c>
      <c r="K422" s="3">
        <v>492.61739158652898</v>
      </c>
      <c r="M422" s="1">
        <v>45153</v>
      </c>
      <c r="N422" s="3">
        <v>13631.047</v>
      </c>
    </row>
    <row r="423" spans="1:14" x14ac:dyDescent="0.3">
      <c r="A423" s="5">
        <v>45152</v>
      </c>
      <c r="B423" s="2">
        <v>35307.634299999998</v>
      </c>
      <c r="D423" s="1">
        <v>45139</v>
      </c>
      <c r="E423" s="3">
        <v>2567.7008750994501</v>
      </c>
      <c r="G423" s="1">
        <v>45134</v>
      </c>
      <c r="H423" s="3">
        <v>235.88037865749899</v>
      </c>
      <c r="J423" s="4">
        <v>45163</v>
      </c>
      <c r="K423" s="3">
        <v>487.499055004159</v>
      </c>
      <c r="M423" s="5">
        <v>45152</v>
      </c>
      <c r="N423" s="3">
        <v>13788.331</v>
      </c>
    </row>
    <row r="424" spans="1:14" x14ac:dyDescent="0.3">
      <c r="A424" s="4">
        <v>45149</v>
      </c>
      <c r="B424" s="2">
        <v>35281.403100000003</v>
      </c>
      <c r="D424" s="5">
        <v>45138</v>
      </c>
      <c r="E424" s="3">
        <v>2575.04841295286</v>
      </c>
      <c r="G424" s="1">
        <v>45133</v>
      </c>
      <c r="H424" s="3">
        <v>232.995792026234</v>
      </c>
      <c r="J424" s="1">
        <v>45162</v>
      </c>
      <c r="K424" s="3">
        <v>488.104631681348</v>
      </c>
      <c r="M424" s="4">
        <v>45149</v>
      </c>
      <c r="N424" s="3">
        <v>13644.849</v>
      </c>
    </row>
    <row r="425" spans="1:14" x14ac:dyDescent="0.3">
      <c r="A425" s="1">
        <v>45148</v>
      </c>
      <c r="B425" s="2">
        <v>35176.1486</v>
      </c>
      <c r="D425" s="4">
        <v>45135</v>
      </c>
      <c r="E425" s="3">
        <v>2554.7807793940401</v>
      </c>
      <c r="G425" s="1">
        <v>45132</v>
      </c>
      <c r="H425" s="3">
        <v>231.95535841021999</v>
      </c>
      <c r="J425" s="1">
        <v>45161</v>
      </c>
      <c r="K425" s="3">
        <v>492.39874036268998</v>
      </c>
      <c r="M425" s="1">
        <v>45148</v>
      </c>
      <c r="N425" s="3">
        <v>13721.029</v>
      </c>
    </row>
    <row r="426" spans="1:14" x14ac:dyDescent="0.3">
      <c r="A426" s="1">
        <v>45147</v>
      </c>
      <c r="B426" s="2">
        <v>35123.356599999999</v>
      </c>
      <c r="D426" s="1">
        <v>45134</v>
      </c>
      <c r="E426" s="3">
        <v>2517.09239583199</v>
      </c>
      <c r="G426" s="5">
        <v>45131</v>
      </c>
      <c r="H426" s="3">
        <v>231.20008484161801</v>
      </c>
      <c r="J426" s="1">
        <v>45160</v>
      </c>
      <c r="K426" s="3">
        <v>489.822917683291</v>
      </c>
      <c r="M426" s="1">
        <v>45147</v>
      </c>
      <c r="N426" s="3">
        <v>13705.079</v>
      </c>
    </row>
    <row r="427" spans="1:14" x14ac:dyDescent="0.3">
      <c r="A427" s="1">
        <v>45146</v>
      </c>
      <c r="B427" s="2">
        <v>35314.488700000002</v>
      </c>
      <c r="D427" s="1">
        <v>45133</v>
      </c>
      <c r="E427" s="3">
        <v>2482.42382289223</v>
      </c>
      <c r="G427" s="4">
        <v>45128</v>
      </c>
      <c r="H427" s="3">
        <v>227.83165244374601</v>
      </c>
      <c r="J427" s="5">
        <v>45159</v>
      </c>
      <c r="K427" s="3">
        <v>488.63524978490301</v>
      </c>
      <c r="M427" s="1">
        <v>45146</v>
      </c>
      <c r="N427" s="3">
        <v>13867.187</v>
      </c>
    </row>
    <row r="428" spans="1:14" x14ac:dyDescent="0.3">
      <c r="A428" s="5">
        <v>45145</v>
      </c>
      <c r="B428" s="2">
        <v>35473.128299999997</v>
      </c>
      <c r="D428" s="1">
        <v>45132</v>
      </c>
      <c r="E428" s="3">
        <v>2488.0490583912701</v>
      </c>
      <c r="G428" s="1">
        <v>45127</v>
      </c>
      <c r="H428" s="3">
        <v>231.95916327551799</v>
      </c>
      <c r="J428" s="4">
        <v>45156</v>
      </c>
      <c r="K428" s="3">
        <v>487.22824020252398</v>
      </c>
      <c r="M428" s="5">
        <v>45145</v>
      </c>
      <c r="N428" s="3">
        <v>13977.125</v>
      </c>
    </row>
    <row r="429" spans="1:14" x14ac:dyDescent="0.3">
      <c r="A429" s="4">
        <v>45142</v>
      </c>
      <c r="B429" s="2">
        <v>35065.621500000001</v>
      </c>
      <c r="D429" s="5">
        <v>45131</v>
      </c>
      <c r="E429" s="3">
        <v>2389.3702803020501</v>
      </c>
      <c r="G429" s="1">
        <v>45126</v>
      </c>
      <c r="H429" s="3">
        <v>235.52681320255101</v>
      </c>
      <c r="J429" s="1">
        <v>45155</v>
      </c>
      <c r="K429" s="3">
        <v>490.48788972474398</v>
      </c>
      <c r="M429" s="4">
        <v>45142</v>
      </c>
      <c r="N429" s="3">
        <v>13892.07</v>
      </c>
    </row>
    <row r="430" spans="1:14" x14ac:dyDescent="0.3">
      <c r="A430" s="1">
        <v>45141</v>
      </c>
      <c r="B430" s="2">
        <v>35215.890899999999</v>
      </c>
      <c r="D430" s="4">
        <v>45128</v>
      </c>
      <c r="E430" s="3">
        <v>2440.22770883971</v>
      </c>
      <c r="G430" s="5">
        <v>45125</v>
      </c>
      <c r="H430" s="3">
        <v>234.08897053526599</v>
      </c>
      <c r="J430" s="1">
        <v>45154</v>
      </c>
      <c r="K430" s="3">
        <v>495.08492638263698</v>
      </c>
      <c r="M430" s="1">
        <v>45141</v>
      </c>
      <c r="N430" s="3">
        <v>13959.715</v>
      </c>
    </row>
    <row r="431" spans="1:14" x14ac:dyDescent="0.3">
      <c r="A431" s="1">
        <v>45140</v>
      </c>
      <c r="B431" s="2">
        <v>35282.523500000003</v>
      </c>
      <c r="D431" s="1">
        <v>45127</v>
      </c>
      <c r="E431" s="3">
        <v>2422.4144771363099</v>
      </c>
      <c r="G431" s="4">
        <v>45121</v>
      </c>
      <c r="H431" s="3">
        <v>233.48417789950599</v>
      </c>
      <c r="J431" s="1">
        <v>45153</v>
      </c>
      <c r="K431" s="3">
        <v>496.75604357260403</v>
      </c>
      <c r="M431" s="1">
        <v>45140</v>
      </c>
      <c r="N431" s="3">
        <v>13973.447</v>
      </c>
    </row>
    <row r="432" spans="1:14" x14ac:dyDescent="0.3">
      <c r="A432" s="1">
        <v>45139</v>
      </c>
      <c r="B432" s="2">
        <v>35630.680500000002</v>
      </c>
      <c r="D432" s="1">
        <v>45126</v>
      </c>
      <c r="E432" s="3">
        <v>2426.9829683698199</v>
      </c>
      <c r="G432" s="1">
        <v>45120</v>
      </c>
      <c r="H432" s="3">
        <v>234.87162211112599</v>
      </c>
      <c r="J432" s="5">
        <v>45152</v>
      </c>
      <c r="K432" s="3">
        <v>501.43388326118401</v>
      </c>
      <c r="M432" s="1">
        <v>45139</v>
      </c>
      <c r="N432" s="3">
        <v>14283.913</v>
      </c>
    </row>
    <row r="433" spans="1:14" x14ac:dyDescent="0.3">
      <c r="A433" s="5">
        <v>45138</v>
      </c>
      <c r="B433" s="2">
        <v>35559.533199999998</v>
      </c>
      <c r="D433" s="5">
        <v>45125</v>
      </c>
      <c r="E433" s="3">
        <v>2433.91869752201</v>
      </c>
      <c r="G433" s="1">
        <v>45119</v>
      </c>
      <c r="H433" s="3">
        <v>230.64209386280999</v>
      </c>
      <c r="J433" s="4">
        <v>45149</v>
      </c>
      <c r="K433" s="3">
        <v>502.51712741042502</v>
      </c>
      <c r="M433" s="5">
        <v>45138</v>
      </c>
      <c r="N433" s="3">
        <v>14346.023999999999</v>
      </c>
    </row>
    <row r="434" spans="1:14" x14ac:dyDescent="0.3">
      <c r="A434" s="4">
        <v>45135</v>
      </c>
      <c r="B434" s="2">
        <v>35459.287700000001</v>
      </c>
      <c r="D434" s="4">
        <v>45121</v>
      </c>
      <c r="E434" s="3">
        <v>2484.5504108116402</v>
      </c>
      <c r="G434" s="1">
        <v>45118</v>
      </c>
      <c r="H434" s="3">
        <v>229.419177887015</v>
      </c>
      <c r="J434" s="1">
        <v>45148</v>
      </c>
      <c r="K434" s="3">
        <v>509.67798601275598</v>
      </c>
      <c r="M434" s="4">
        <v>45135</v>
      </c>
      <c r="N434" s="3">
        <v>14316.657999999999</v>
      </c>
    </row>
    <row r="435" spans="1:14" x14ac:dyDescent="0.3">
      <c r="A435" s="1">
        <v>45134</v>
      </c>
      <c r="B435" s="2">
        <v>35282.7212</v>
      </c>
      <c r="D435" s="1">
        <v>45120</v>
      </c>
      <c r="E435" s="3">
        <v>2473.9027601989201</v>
      </c>
      <c r="G435" s="5">
        <v>45117</v>
      </c>
      <c r="H435" s="3">
        <v>227.795131271684</v>
      </c>
      <c r="J435" s="1">
        <v>45147</v>
      </c>
      <c r="K435" s="3">
        <v>505.39321650774201</v>
      </c>
      <c r="M435" s="1">
        <v>45134</v>
      </c>
      <c r="N435" s="3">
        <v>14050.107</v>
      </c>
    </row>
    <row r="436" spans="1:14" x14ac:dyDescent="0.3">
      <c r="A436" s="1">
        <v>45133</v>
      </c>
      <c r="B436" s="2">
        <v>35520.120499999997</v>
      </c>
      <c r="D436" s="1">
        <v>45119</v>
      </c>
      <c r="E436" s="3">
        <v>2410.0370559672801</v>
      </c>
      <c r="G436" s="4">
        <v>45114</v>
      </c>
      <c r="H436" s="3">
        <v>227.97508270571001</v>
      </c>
      <c r="J436" s="1">
        <v>45146</v>
      </c>
      <c r="K436" s="3">
        <v>502.34962920769698</v>
      </c>
      <c r="M436" s="1">
        <v>45133</v>
      </c>
      <c r="N436" s="3">
        <v>14127.281999999999</v>
      </c>
    </row>
    <row r="437" spans="1:14" x14ac:dyDescent="0.3">
      <c r="A437" s="1">
        <v>45132</v>
      </c>
      <c r="B437" s="2">
        <v>35438.065499999997</v>
      </c>
      <c r="D437" s="1">
        <v>45118</v>
      </c>
      <c r="E437" s="3">
        <v>2384.0639333580302</v>
      </c>
      <c r="G437" s="1">
        <v>45113</v>
      </c>
      <c r="H437" s="3">
        <v>227.49562682217399</v>
      </c>
      <c r="J437" s="5">
        <v>45145</v>
      </c>
      <c r="K437" s="3">
        <v>505.73751554025</v>
      </c>
      <c r="M437" s="1">
        <v>45132</v>
      </c>
      <c r="N437" s="3">
        <v>14144.555</v>
      </c>
    </row>
    <row r="438" spans="1:14" x14ac:dyDescent="0.3">
      <c r="A438" s="5">
        <v>45131</v>
      </c>
      <c r="B438" s="2">
        <v>35411.241099999999</v>
      </c>
      <c r="D438" s="5">
        <v>45117</v>
      </c>
      <c r="E438" s="3">
        <v>2360.7808068678401</v>
      </c>
      <c r="G438" s="1">
        <v>45112</v>
      </c>
      <c r="H438" s="3">
        <v>230.49433075220301</v>
      </c>
      <c r="J438" s="4">
        <v>45142</v>
      </c>
      <c r="K438" s="3">
        <v>505.66461514747903</v>
      </c>
      <c r="M438" s="5">
        <v>45131</v>
      </c>
      <c r="N438" s="3">
        <v>14058.866</v>
      </c>
    </row>
    <row r="439" spans="1:14" x14ac:dyDescent="0.3">
      <c r="A439" s="4">
        <v>45128</v>
      </c>
      <c r="B439" s="2">
        <v>35227.688399999999</v>
      </c>
      <c r="D439" s="4">
        <v>45114</v>
      </c>
      <c r="E439" s="3">
        <v>2346.4845596596301</v>
      </c>
      <c r="G439" s="1">
        <v>45111</v>
      </c>
      <c r="H439" s="3">
        <v>231.37777777776401</v>
      </c>
      <c r="J439" s="1">
        <v>45141</v>
      </c>
      <c r="K439" s="3">
        <v>501.16006741524097</v>
      </c>
      <c r="M439" s="4">
        <v>45128</v>
      </c>
      <c r="N439" s="3">
        <v>14032.805</v>
      </c>
    </row>
    <row r="440" spans="1:14" x14ac:dyDescent="0.3">
      <c r="A440" s="1">
        <v>45127</v>
      </c>
      <c r="B440" s="2">
        <v>35225.183900000004</v>
      </c>
      <c r="D440" s="1">
        <v>45113</v>
      </c>
      <c r="E440" s="3">
        <v>2369.4401472825698</v>
      </c>
      <c r="G440" s="5">
        <v>45110</v>
      </c>
      <c r="H440" s="3">
        <v>233.32870178348799</v>
      </c>
      <c r="J440" s="1">
        <v>45140</v>
      </c>
      <c r="K440" s="3">
        <v>503.97524086569598</v>
      </c>
      <c r="M440" s="1">
        <v>45127</v>
      </c>
      <c r="N440" s="3">
        <v>14063.307000000001</v>
      </c>
    </row>
    <row r="441" spans="1:14" x14ac:dyDescent="0.3">
      <c r="A441" s="1">
        <v>45126</v>
      </c>
      <c r="B441" s="2">
        <v>35061.205699999999</v>
      </c>
      <c r="D441" s="1">
        <v>45112</v>
      </c>
      <c r="E441" s="3">
        <v>2443.0952928843599</v>
      </c>
      <c r="G441" s="4">
        <v>45107</v>
      </c>
      <c r="H441" s="3">
        <v>229.968403547675</v>
      </c>
      <c r="J441" s="1">
        <v>45139</v>
      </c>
      <c r="K441" s="3">
        <v>513.03564760921802</v>
      </c>
      <c r="M441" s="1">
        <v>45126</v>
      </c>
      <c r="N441" s="3">
        <v>14358.018</v>
      </c>
    </row>
    <row r="442" spans="1:14" x14ac:dyDescent="0.3">
      <c r="A442" s="1">
        <v>45125</v>
      </c>
      <c r="B442" s="2">
        <v>34951.930899999999</v>
      </c>
      <c r="D442" s="1">
        <v>45111</v>
      </c>
      <c r="E442" s="3">
        <v>2479.3992950911902</v>
      </c>
      <c r="G442" s="1">
        <v>45106</v>
      </c>
      <c r="H442" s="3">
        <v>229.56510326725601</v>
      </c>
      <c r="J442" s="5">
        <v>45138</v>
      </c>
      <c r="K442" s="3">
        <v>518.15493530621097</v>
      </c>
      <c r="M442" s="1">
        <v>45125</v>
      </c>
      <c r="N442" s="3">
        <v>14353.642</v>
      </c>
    </row>
    <row r="443" spans="1:14" x14ac:dyDescent="0.3">
      <c r="A443" s="5">
        <v>45124</v>
      </c>
      <c r="B443" s="2">
        <v>34585.352700000003</v>
      </c>
      <c r="D443" s="5">
        <v>45110</v>
      </c>
      <c r="E443" s="3">
        <v>2464.5871629901999</v>
      </c>
      <c r="G443" s="1">
        <v>45105</v>
      </c>
      <c r="H443" s="3">
        <v>229.779800636841</v>
      </c>
      <c r="J443" s="4">
        <v>45135</v>
      </c>
      <c r="K443" s="3">
        <v>518.56584237484299</v>
      </c>
      <c r="M443" s="5">
        <v>45124</v>
      </c>
      <c r="N443" s="3">
        <v>14244.948</v>
      </c>
    </row>
    <row r="444" spans="1:14" x14ac:dyDescent="0.3">
      <c r="A444" s="4">
        <v>45121</v>
      </c>
      <c r="B444" s="2">
        <v>34509.0317</v>
      </c>
      <c r="D444" s="4">
        <v>45107</v>
      </c>
      <c r="E444" s="3">
        <v>2414.0416028586101</v>
      </c>
      <c r="G444" s="1">
        <v>45104</v>
      </c>
      <c r="H444" s="3">
        <v>225.85083639896399</v>
      </c>
      <c r="J444" s="1">
        <v>45134</v>
      </c>
      <c r="K444" s="3">
        <v>517.63905500751798</v>
      </c>
      <c r="M444" s="4">
        <v>45121</v>
      </c>
      <c r="N444" s="3">
        <v>14113.703</v>
      </c>
    </row>
    <row r="445" spans="1:14" x14ac:dyDescent="0.3">
      <c r="A445" s="1">
        <v>45120</v>
      </c>
      <c r="B445" s="2">
        <v>34395.143300000003</v>
      </c>
      <c r="D445" s="1">
        <v>45106</v>
      </c>
      <c r="E445" s="3">
        <v>2415.58991630944</v>
      </c>
      <c r="G445" s="5">
        <v>45103</v>
      </c>
      <c r="H445" s="3">
        <v>227.866271777017</v>
      </c>
      <c r="J445" s="1">
        <v>45133</v>
      </c>
      <c r="K445" s="3">
        <v>515.87090481890505</v>
      </c>
      <c r="M445" s="1">
        <v>45120</v>
      </c>
      <c r="N445" s="3">
        <v>14138.57</v>
      </c>
    </row>
    <row r="446" spans="1:14" x14ac:dyDescent="0.3">
      <c r="A446" s="1">
        <v>45119</v>
      </c>
      <c r="B446" s="2">
        <v>34347.426200000002</v>
      </c>
      <c r="D446" s="1">
        <v>45105</v>
      </c>
      <c r="E446" s="3">
        <v>2447.7561442706701</v>
      </c>
      <c r="G446" s="4">
        <v>45100</v>
      </c>
      <c r="H446" s="3">
        <v>228.15659799553501</v>
      </c>
      <c r="J446" s="1">
        <v>45132</v>
      </c>
      <c r="K446" s="3">
        <v>517.19297469963396</v>
      </c>
      <c r="M446" s="1">
        <v>45119</v>
      </c>
      <c r="N446" s="3">
        <v>13918.963</v>
      </c>
    </row>
    <row r="447" spans="1:14" x14ac:dyDescent="0.3">
      <c r="A447" s="1">
        <v>45118</v>
      </c>
      <c r="B447" s="2">
        <v>34261.416799999999</v>
      </c>
      <c r="D447" s="1">
        <v>45104</v>
      </c>
      <c r="E447" s="3">
        <v>2444.42132407384</v>
      </c>
      <c r="G447" s="1">
        <v>45099</v>
      </c>
      <c r="H447" s="3">
        <v>232.44273635664999</v>
      </c>
      <c r="J447" s="5">
        <v>45131</v>
      </c>
      <c r="K447" s="3">
        <v>515.13274336283303</v>
      </c>
      <c r="M447" s="1">
        <v>45118</v>
      </c>
      <c r="N447" s="3">
        <v>13760.699000000001</v>
      </c>
    </row>
    <row r="448" spans="1:14" x14ac:dyDescent="0.3">
      <c r="A448" s="5">
        <v>45117</v>
      </c>
      <c r="B448" s="2">
        <v>33944.401100000003</v>
      </c>
      <c r="D448" s="5">
        <v>45103</v>
      </c>
      <c r="E448" s="3">
        <v>2400.2413762276301</v>
      </c>
      <c r="G448" s="1">
        <v>45098</v>
      </c>
      <c r="H448" s="3">
        <v>236.644629264157</v>
      </c>
      <c r="J448" s="4">
        <v>45128</v>
      </c>
      <c r="K448" s="3">
        <v>517.66328528207703</v>
      </c>
      <c r="M448" s="5">
        <v>45117</v>
      </c>
      <c r="N448" s="3">
        <v>13685.481</v>
      </c>
    </row>
    <row r="449" spans="1:14" x14ac:dyDescent="0.3">
      <c r="A449" s="4">
        <v>45114</v>
      </c>
      <c r="B449" s="2">
        <v>33734.880799999999</v>
      </c>
      <c r="D449" s="4">
        <v>45100</v>
      </c>
      <c r="E449" s="3">
        <v>2412.57375667322</v>
      </c>
      <c r="G449" s="1">
        <v>45097</v>
      </c>
      <c r="H449" s="3">
        <v>236.064126131211</v>
      </c>
      <c r="J449" s="1">
        <v>45127</v>
      </c>
      <c r="K449" s="3">
        <v>516.26364577189895</v>
      </c>
      <c r="M449" s="4">
        <v>45114</v>
      </c>
      <c r="N449" s="3">
        <v>13660.716</v>
      </c>
    </row>
    <row r="450" spans="1:14" x14ac:dyDescent="0.3">
      <c r="A450" s="1">
        <v>45113</v>
      </c>
      <c r="B450" s="2">
        <v>33922.256099999999</v>
      </c>
      <c r="D450" s="1">
        <v>45098</v>
      </c>
      <c r="E450" s="3">
        <v>2455.1720173231001</v>
      </c>
      <c r="G450" s="5">
        <v>45096</v>
      </c>
      <c r="H450" s="3">
        <v>235.03606141709801</v>
      </c>
      <c r="J450" s="1">
        <v>45126</v>
      </c>
      <c r="K450" s="3">
        <v>517.31204228348997</v>
      </c>
      <c r="M450" s="1">
        <v>45113</v>
      </c>
      <c r="N450" s="3">
        <v>13679.043</v>
      </c>
    </row>
    <row r="451" spans="1:14" x14ac:dyDescent="0.3">
      <c r="A451" s="1">
        <v>45112</v>
      </c>
      <c r="B451" s="2">
        <v>34288.636599999998</v>
      </c>
      <c r="D451" s="1">
        <v>45097</v>
      </c>
      <c r="E451" s="3">
        <v>2505.47299283131</v>
      </c>
      <c r="G451" s="4">
        <v>45093</v>
      </c>
      <c r="H451" s="3">
        <v>237.66802989704999</v>
      </c>
      <c r="J451" s="1">
        <v>45125</v>
      </c>
      <c r="K451" s="3">
        <v>517.24873426958197</v>
      </c>
      <c r="M451" s="1">
        <v>45112</v>
      </c>
      <c r="N451" s="3">
        <v>13791.654</v>
      </c>
    </row>
    <row r="452" spans="1:14" x14ac:dyDescent="0.3">
      <c r="A452" s="5">
        <v>45110</v>
      </c>
      <c r="B452" s="2">
        <v>34418.474600000001</v>
      </c>
      <c r="D452" s="5">
        <v>45096</v>
      </c>
      <c r="E452" s="3">
        <v>2547.5455766647501</v>
      </c>
      <c r="G452" s="1">
        <v>45092</v>
      </c>
      <c r="H452" s="3">
        <v>238.72167961789299</v>
      </c>
      <c r="J452" s="5">
        <v>45124</v>
      </c>
      <c r="K452" s="3">
        <v>514.43015222153599</v>
      </c>
      <c r="M452" s="5">
        <v>45110</v>
      </c>
      <c r="N452" s="3">
        <v>13816.772999999999</v>
      </c>
    </row>
    <row r="453" spans="1:14" x14ac:dyDescent="0.3">
      <c r="A453" s="4">
        <v>45107</v>
      </c>
      <c r="B453" s="2">
        <v>34407.599900000001</v>
      </c>
      <c r="D453" s="4">
        <v>45093</v>
      </c>
      <c r="E453" s="3">
        <v>2562.8054784710398</v>
      </c>
      <c r="G453" s="1">
        <v>45091</v>
      </c>
      <c r="H453" s="3">
        <v>239.14926118923299</v>
      </c>
      <c r="J453" s="4">
        <v>45121</v>
      </c>
      <c r="K453" s="3">
        <v>517.37378046726997</v>
      </c>
      <c r="M453" s="4">
        <v>45107</v>
      </c>
      <c r="N453" s="3">
        <v>13787.923000000001</v>
      </c>
    </row>
    <row r="454" spans="1:14" x14ac:dyDescent="0.3">
      <c r="A454" s="1">
        <v>45106</v>
      </c>
      <c r="B454" s="2">
        <v>34122.417600000001</v>
      </c>
      <c r="D454" s="1">
        <v>45092</v>
      </c>
      <c r="E454" s="3">
        <v>2535.2136446160598</v>
      </c>
      <c r="G454" s="1">
        <v>45090</v>
      </c>
      <c r="H454" s="3">
        <v>235.49425861206899</v>
      </c>
      <c r="J454" s="1">
        <v>45120</v>
      </c>
      <c r="K454" s="3">
        <v>517.82928334923599</v>
      </c>
      <c r="M454" s="1">
        <v>45106</v>
      </c>
      <c r="N454" s="3">
        <v>13591.331</v>
      </c>
    </row>
    <row r="455" spans="1:14" x14ac:dyDescent="0.3">
      <c r="A455" s="1">
        <v>45105</v>
      </c>
      <c r="B455" s="2">
        <v>33852.657700000003</v>
      </c>
      <c r="D455" s="1">
        <v>45091</v>
      </c>
      <c r="E455" s="3">
        <v>2478.3455919910198</v>
      </c>
      <c r="G455" s="5">
        <v>45089</v>
      </c>
      <c r="H455" s="3">
        <v>232.33524355301</v>
      </c>
      <c r="J455" s="1">
        <v>45119</v>
      </c>
      <c r="K455" s="3">
        <v>510.26562656488397</v>
      </c>
      <c r="M455" s="1">
        <v>45105</v>
      </c>
      <c r="N455" s="3">
        <v>13591.75</v>
      </c>
    </row>
    <row r="456" spans="1:14" x14ac:dyDescent="0.3">
      <c r="A456" s="1">
        <v>45104</v>
      </c>
      <c r="B456" s="2">
        <v>33926.7379</v>
      </c>
      <c r="D456" s="1">
        <v>45090</v>
      </c>
      <c r="E456" s="3">
        <v>2492.0431480181301</v>
      </c>
      <c r="G456" s="4">
        <v>45086</v>
      </c>
      <c r="H456" s="3">
        <v>231.55712645327901</v>
      </c>
      <c r="J456" s="1">
        <v>45118</v>
      </c>
      <c r="K456" s="3">
        <v>497.16046665199002</v>
      </c>
      <c r="M456" s="1">
        <v>45104</v>
      </c>
      <c r="N456" s="3">
        <v>13555.673000000001</v>
      </c>
    </row>
    <row r="457" spans="1:14" x14ac:dyDescent="0.3">
      <c r="A457" s="5">
        <v>45103</v>
      </c>
      <c r="B457" s="2">
        <v>33714.713100000001</v>
      </c>
      <c r="D457" s="5">
        <v>45089</v>
      </c>
      <c r="E457" s="3">
        <v>2476.61901723037</v>
      </c>
      <c r="G457" s="1">
        <v>45085</v>
      </c>
      <c r="H457" s="3">
        <v>227.782521056815</v>
      </c>
      <c r="J457" s="5">
        <v>45117</v>
      </c>
      <c r="K457" s="3">
        <v>493.27408515459399</v>
      </c>
      <c r="M457" s="5">
        <v>45103</v>
      </c>
      <c r="N457" s="3">
        <v>13335.778</v>
      </c>
    </row>
    <row r="458" spans="1:14" x14ac:dyDescent="0.3">
      <c r="A458" s="4">
        <v>45100</v>
      </c>
      <c r="B458" s="2">
        <v>33727.433199999999</v>
      </c>
      <c r="D458" s="4">
        <v>45086</v>
      </c>
      <c r="E458" s="3">
        <v>2473.5865183446399</v>
      </c>
      <c r="G458" s="1">
        <v>45084</v>
      </c>
      <c r="H458" s="3">
        <v>227.77631860680299</v>
      </c>
      <c r="J458" s="4">
        <v>45114</v>
      </c>
      <c r="K458" s="3">
        <v>490.93581040325603</v>
      </c>
      <c r="M458" s="4">
        <v>45100</v>
      </c>
      <c r="N458" s="3">
        <v>13492.516</v>
      </c>
    </row>
    <row r="459" spans="1:14" x14ac:dyDescent="0.3">
      <c r="A459" s="1">
        <v>45099</v>
      </c>
      <c r="B459" s="2">
        <v>33946.707900000001</v>
      </c>
      <c r="D459" s="1">
        <v>45085</v>
      </c>
      <c r="E459" s="3">
        <v>2462.7609616660802</v>
      </c>
      <c r="G459" s="1">
        <v>45083</v>
      </c>
      <c r="H459" s="3">
        <v>232.80656019478701</v>
      </c>
      <c r="J459" s="1">
        <v>45113</v>
      </c>
      <c r="K459" s="3">
        <v>486.88665585228802</v>
      </c>
      <c r="M459" s="1">
        <v>45099</v>
      </c>
      <c r="N459" s="3">
        <v>13630.609</v>
      </c>
    </row>
    <row r="460" spans="1:14" x14ac:dyDescent="0.3">
      <c r="A460" s="1">
        <v>45098</v>
      </c>
      <c r="B460" s="2">
        <v>33951.519099999998</v>
      </c>
      <c r="D460" s="1">
        <v>45084</v>
      </c>
      <c r="E460" s="3">
        <v>2454.9859729660802</v>
      </c>
      <c r="G460" s="5">
        <v>45082</v>
      </c>
      <c r="H460" s="3">
        <v>230.88311595242399</v>
      </c>
      <c r="J460" s="1">
        <v>45112</v>
      </c>
      <c r="K460" s="3">
        <v>496.91287693826803</v>
      </c>
      <c r="M460" s="1">
        <v>45098</v>
      </c>
      <c r="N460" s="3">
        <v>13502.199000000001</v>
      </c>
    </row>
    <row r="461" spans="1:14" x14ac:dyDescent="0.3">
      <c r="A461" s="5">
        <v>45097</v>
      </c>
      <c r="B461" s="2">
        <v>34053.873699999996</v>
      </c>
      <c r="D461" s="1">
        <v>45083</v>
      </c>
      <c r="E461" s="3">
        <v>2435.20081601429</v>
      </c>
      <c r="G461" s="4">
        <v>45079</v>
      </c>
      <c r="H461" s="3">
        <v>225.26954409033101</v>
      </c>
      <c r="J461" s="1">
        <v>45111</v>
      </c>
      <c r="K461" s="3">
        <v>501.756637697553</v>
      </c>
      <c r="M461" s="5">
        <v>45097</v>
      </c>
      <c r="N461" s="3">
        <v>13667.294</v>
      </c>
    </row>
    <row r="462" spans="1:14" x14ac:dyDescent="0.3">
      <c r="A462" s="4">
        <v>45093</v>
      </c>
      <c r="B462" s="2">
        <v>34299.115899999997</v>
      </c>
      <c r="D462" s="5">
        <v>45082</v>
      </c>
      <c r="E462" s="3">
        <v>2437.9305945394199</v>
      </c>
      <c r="G462" s="1">
        <v>45078</v>
      </c>
      <c r="H462" s="3">
        <v>224.42546292959199</v>
      </c>
      <c r="J462" s="5">
        <v>45110</v>
      </c>
      <c r="K462" s="3">
        <v>502.97323542568898</v>
      </c>
      <c r="M462" s="4">
        <v>45093</v>
      </c>
      <c r="N462" s="3">
        <v>13689.571</v>
      </c>
    </row>
    <row r="463" spans="1:14" x14ac:dyDescent="0.3">
      <c r="A463" s="1">
        <v>45092</v>
      </c>
      <c r="B463" s="2">
        <v>34408.061199999996</v>
      </c>
      <c r="D463" s="4">
        <v>45079</v>
      </c>
      <c r="E463" s="3">
        <v>2417.8551834130799</v>
      </c>
      <c r="G463" s="1">
        <v>45077</v>
      </c>
      <c r="H463" s="3">
        <v>221.672742930959</v>
      </c>
      <c r="J463" s="4">
        <v>45107</v>
      </c>
      <c r="K463" s="3">
        <v>503.96578622939597</v>
      </c>
      <c r="M463" s="1">
        <v>45092</v>
      </c>
      <c r="N463" s="3">
        <v>13782.821</v>
      </c>
    </row>
    <row r="464" spans="1:14" x14ac:dyDescent="0.3">
      <c r="A464" s="1">
        <v>45091</v>
      </c>
      <c r="B464" s="2">
        <v>33979.3321</v>
      </c>
      <c r="D464" s="1">
        <v>45078</v>
      </c>
      <c r="E464" s="3">
        <v>2326.6718606314498</v>
      </c>
      <c r="G464" s="1">
        <v>45076</v>
      </c>
      <c r="H464" s="3">
        <v>224.108734530356</v>
      </c>
      <c r="J464" s="1">
        <v>45106</v>
      </c>
      <c r="K464" s="3">
        <v>496.09438656338801</v>
      </c>
      <c r="M464" s="1">
        <v>45091</v>
      </c>
      <c r="N464" s="3">
        <v>13626.477000000001</v>
      </c>
    </row>
    <row r="465" spans="1:14" x14ac:dyDescent="0.3">
      <c r="A465" s="1">
        <v>45090</v>
      </c>
      <c r="B465" s="2">
        <v>34212.117899999997</v>
      </c>
      <c r="D465" s="1">
        <v>45077</v>
      </c>
      <c r="E465" s="3">
        <v>2328.8295997343398</v>
      </c>
      <c r="G465" s="5">
        <v>45075</v>
      </c>
      <c r="H465" s="3">
        <v>222.397749928797</v>
      </c>
      <c r="J465" s="1">
        <v>45105</v>
      </c>
      <c r="K465" s="3">
        <v>497.594134270219</v>
      </c>
      <c r="M465" s="1">
        <v>45090</v>
      </c>
      <c r="N465" s="3">
        <v>13573.32</v>
      </c>
    </row>
    <row r="466" spans="1:14" x14ac:dyDescent="0.3">
      <c r="A466" s="5">
        <v>45089</v>
      </c>
      <c r="B466" s="2">
        <v>34066.330199999997</v>
      </c>
      <c r="D466" s="1">
        <v>45076</v>
      </c>
      <c r="E466" s="3">
        <v>2373.69704241713</v>
      </c>
      <c r="G466" s="4">
        <v>45072</v>
      </c>
      <c r="H466" s="3">
        <v>219.85713269803699</v>
      </c>
      <c r="J466" s="1">
        <v>45104</v>
      </c>
      <c r="K466" s="3">
        <v>496.33420640226302</v>
      </c>
      <c r="M466" s="5">
        <v>45089</v>
      </c>
      <c r="N466" s="3">
        <v>13461.921</v>
      </c>
    </row>
    <row r="467" spans="1:14" x14ac:dyDescent="0.3">
      <c r="A467" s="4">
        <v>45086</v>
      </c>
      <c r="B467" s="2">
        <v>33876.779900000001</v>
      </c>
      <c r="D467" s="5">
        <v>45075</v>
      </c>
      <c r="E467" s="3">
        <v>2369.8705910908402</v>
      </c>
      <c r="G467" s="1">
        <v>45071</v>
      </c>
      <c r="H467" s="3">
        <v>219.92952516956899</v>
      </c>
      <c r="J467" s="5">
        <v>45103</v>
      </c>
      <c r="K467" s="3">
        <v>493.60477161456203</v>
      </c>
      <c r="M467" s="4">
        <v>45086</v>
      </c>
      <c r="N467" s="3">
        <v>13259.143</v>
      </c>
    </row>
    <row r="468" spans="1:14" x14ac:dyDescent="0.3">
      <c r="A468" s="1">
        <v>45085</v>
      </c>
      <c r="B468" s="2">
        <v>33833.610399999998</v>
      </c>
      <c r="D468" s="4">
        <v>45071</v>
      </c>
      <c r="E468" s="3">
        <v>2392.8063614433299</v>
      </c>
      <c r="G468" s="1">
        <v>45070</v>
      </c>
      <c r="H468" s="3">
        <v>220.010612361976</v>
      </c>
      <c r="J468" s="4">
        <v>45100</v>
      </c>
      <c r="K468" s="3">
        <v>493.42305849557903</v>
      </c>
      <c r="M468" s="1">
        <v>45085</v>
      </c>
      <c r="N468" s="3">
        <v>13238.523999999999</v>
      </c>
    </row>
    <row r="469" spans="1:14" x14ac:dyDescent="0.3">
      <c r="A469" s="1">
        <v>45084</v>
      </c>
      <c r="B469" s="2">
        <v>33665.018700000001</v>
      </c>
      <c r="D469" s="1">
        <v>45070</v>
      </c>
      <c r="E469" s="3">
        <v>2441.6510199128802</v>
      </c>
      <c r="G469" s="1">
        <v>45069</v>
      </c>
      <c r="H469" s="3">
        <v>223.392769519415</v>
      </c>
      <c r="J469" s="1">
        <v>45099</v>
      </c>
      <c r="K469" s="3">
        <v>498.17034423822702</v>
      </c>
      <c r="M469" s="1">
        <v>45084</v>
      </c>
      <c r="N469" s="3">
        <v>13104.895</v>
      </c>
    </row>
    <row r="470" spans="1:14" x14ac:dyDescent="0.3">
      <c r="A470" s="1">
        <v>45083</v>
      </c>
      <c r="B470" s="2">
        <v>33573.275300000001</v>
      </c>
      <c r="D470" s="1">
        <v>45069</v>
      </c>
      <c r="E470" s="3">
        <v>2479.4561625132401</v>
      </c>
      <c r="G470" s="5">
        <v>45068</v>
      </c>
      <c r="H470" s="3">
        <v>224.291630591624</v>
      </c>
      <c r="J470" s="1">
        <v>45098</v>
      </c>
      <c r="K470" s="3">
        <v>501.97710946595998</v>
      </c>
      <c r="M470" s="1">
        <v>45083</v>
      </c>
      <c r="N470" s="3">
        <v>13276.418</v>
      </c>
    </row>
    <row r="471" spans="1:14" x14ac:dyDescent="0.3">
      <c r="A471" s="5">
        <v>45082</v>
      </c>
      <c r="B471" s="2">
        <v>33562.861900000004</v>
      </c>
      <c r="D471" s="5">
        <v>45068</v>
      </c>
      <c r="E471" s="3">
        <v>2513.7862316526398</v>
      </c>
      <c r="G471" s="4">
        <v>45065</v>
      </c>
      <c r="H471" s="3">
        <v>223.329829648409</v>
      </c>
      <c r="J471" s="1">
        <v>45097</v>
      </c>
      <c r="K471" s="3">
        <v>501.39178464998002</v>
      </c>
      <c r="M471" s="5">
        <v>45082</v>
      </c>
      <c r="N471" s="3">
        <v>13229.429</v>
      </c>
    </row>
    <row r="472" spans="1:14" x14ac:dyDescent="0.3">
      <c r="A472" s="4">
        <v>45079</v>
      </c>
      <c r="B472" s="2">
        <v>33762.759700000002</v>
      </c>
      <c r="D472" s="4">
        <v>45065</v>
      </c>
      <c r="E472" s="3">
        <v>2488.8128262872301</v>
      </c>
      <c r="G472" s="1">
        <v>45064</v>
      </c>
      <c r="H472" s="3">
        <v>220.41619205536699</v>
      </c>
      <c r="J472" s="5">
        <v>45096</v>
      </c>
      <c r="K472" s="3">
        <v>504.64186635793499</v>
      </c>
      <c r="M472" s="4">
        <v>45079</v>
      </c>
      <c r="N472" s="3">
        <v>13240.766</v>
      </c>
    </row>
    <row r="473" spans="1:14" x14ac:dyDescent="0.3">
      <c r="A473" s="1">
        <v>45078</v>
      </c>
      <c r="B473" s="2">
        <v>33061.568500000001</v>
      </c>
      <c r="D473" s="1">
        <v>45064</v>
      </c>
      <c r="E473" s="3">
        <v>2520.53893133673</v>
      </c>
      <c r="G473" s="1">
        <v>45063</v>
      </c>
      <c r="H473" s="3">
        <v>218.59221326359599</v>
      </c>
      <c r="J473" s="4">
        <v>45093</v>
      </c>
      <c r="K473" s="3">
        <v>510.35357400564197</v>
      </c>
      <c r="M473" s="1">
        <v>45078</v>
      </c>
      <c r="N473" s="3">
        <v>13100.982</v>
      </c>
    </row>
    <row r="474" spans="1:14" x14ac:dyDescent="0.3">
      <c r="A474" s="1">
        <v>45077</v>
      </c>
      <c r="B474" s="2">
        <v>32908.267399999997</v>
      </c>
      <c r="D474" s="1">
        <v>45063</v>
      </c>
      <c r="E474" s="3">
        <v>2498.12518358642</v>
      </c>
      <c r="G474" s="1">
        <v>45062</v>
      </c>
      <c r="H474" s="3">
        <v>218.838380875567</v>
      </c>
      <c r="J474" s="1">
        <v>45092</v>
      </c>
      <c r="K474" s="3">
        <v>508.20874285839398</v>
      </c>
      <c r="M474" s="1">
        <v>45077</v>
      </c>
      <c r="N474" s="3">
        <v>12935.285</v>
      </c>
    </row>
    <row r="475" spans="1:14" x14ac:dyDescent="0.3">
      <c r="A475" s="5">
        <v>45076</v>
      </c>
      <c r="B475" s="2">
        <v>33042.784899999999</v>
      </c>
      <c r="D475" s="1">
        <v>45062</v>
      </c>
      <c r="E475" s="3">
        <v>2548.8964021433999</v>
      </c>
      <c r="G475" s="5">
        <v>45061</v>
      </c>
      <c r="H475" s="3">
        <v>217.66468297699799</v>
      </c>
      <c r="J475" s="1">
        <v>45091</v>
      </c>
      <c r="K475" s="3">
        <v>503.57421367299202</v>
      </c>
      <c r="M475" s="5">
        <v>45076</v>
      </c>
      <c r="N475" s="3">
        <v>13017.425999999999</v>
      </c>
    </row>
    <row r="476" spans="1:14" x14ac:dyDescent="0.3">
      <c r="A476" s="4">
        <v>45072</v>
      </c>
      <c r="B476" s="2">
        <v>33093.336000000003</v>
      </c>
      <c r="D476" s="5">
        <v>45061</v>
      </c>
      <c r="E476" s="3">
        <v>2547.8254768131701</v>
      </c>
      <c r="G476" s="4">
        <v>45058</v>
      </c>
      <c r="H476" s="3">
        <v>216.55220691178499</v>
      </c>
      <c r="J476" s="1">
        <v>45090</v>
      </c>
      <c r="K476" s="3">
        <v>499.913672170067</v>
      </c>
      <c r="M476" s="4">
        <v>45072</v>
      </c>
      <c r="N476" s="3">
        <v>12975.688</v>
      </c>
    </row>
    <row r="477" spans="1:14" x14ac:dyDescent="0.3">
      <c r="A477" s="1">
        <v>45071</v>
      </c>
      <c r="B477" s="2">
        <v>32764.654699999999</v>
      </c>
      <c r="D477" s="4">
        <v>45058</v>
      </c>
      <c r="E477" s="3">
        <v>2502.80409584168</v>
      </c>
      <c r="G477" s="1">
        <v>45057</v>
      </c>
      <c r="H477" s="3">
        <v>216.491155046834</v>
      </c>
      <c r="J477" s="5">
        <v>45089</v>
      </c>
      <c r="K477" s="3">
        <v>495.605778643115</v>
      </c>
      <c r="M477" s="1">
        <v>45071</v>
      </c>
      <c r="N477" s="3">
        <v>12698.093999999999</v>
      </c>
    </row>
    <row r="478" spans="1:14" x14ac:dyDescent="0.3">
      <c r="A478" s="1">
        <v>45070</v>
      </c>
      <c r="B478" s="2">
        <v>32799.915300000001</v>
      </c>
      <c r="D478" s="1">
        <v>45057</v>
      </c>
      <c r="E478" s="3">
        <v>2519.7547092756099</v>
      </c>
      <c r="G478" s="1">
        <v>45056</v>
      </c>
      <c r="H478" s="3">
        <v>216.77966354025699</v>
      </c>
      <c r="J478" s="4">
        <v>45086</v>
      </c>
      <c r="K478" s="3">
        <v>494.37393201431701</v>
      </c>
      <c r="M478" s="1">
        <v>45070</v>
      </c>
      <c r="N478" s="3">
        <v>12484.162</v>
      </c>
    </row>
    <row r="479" spans="1:14" x14ac:dyDescent="0.3">
      <c r="A479" s="1">
        <v>45069</v>
      </c>
      <c r="B479" s="2">
        <v>33055.504999999997</v>
      </c>
      <c r="D479" s="1">
        <v>45056</v>
      </c>
      <c r="E479" s="3">
        <v>2523.4246312966802</v>
      </c>
      <c r="G479" s="1">
        <v>45055</v>
      </c>
      <c r="H479" s="3">
        <v>216.27705051401901</v>
      </c>
      <c r="J479" s="1">
        <v>45085</v>
      </c>
      <c r="K479" s="3">
        <v>496.67946008883598</v>
      </c>
      <c r="M479" s="1">
        <v>45069</v>
      </c>
      <c r="N479" s="3">
        <v>12560.245000000001</v>
      </c>
    </row>
    <row r="480" spans="1:14" x14ac:dyDescent="0.3">
      <c r="A480" s="5">
        <v>45068</v>
      </c>
      <c r="B480" s="2">
        <v>33286.5772</v>
      </c>
      <c r="D480" s="1">
        <v>45055</v>
      </c>
      <c r="E480" s="3">
        <v>2533.74228434423</v>
      </c>
      <c r="G480" s="5">
        <v>45054</v>
      </c>
      <c r="H480" s="3">
        <v>214.31655315367499</v>
      </c>
      <c r="J480" s="1">
        <v>45084</v>
      </c>
      <c r="K480" s="3">
        <v>492.91857430148502</v>
      </c>
      <c r="M480" s="5">
        <v>45068</v>
      </c>
      <c r="N480" s="3">
        <v>12720.776</v>
      </c>
    </row>
    <row r="481" spans="1:14" x14ac:dyDescent="0.3">
      <c r="A481" s="4">
        <v>45065</v>
      </c>
      <c r="B481" s="2">
        <v>33426.630899999996</v>
      </c>
      <c r="D481" s="5">
        <v>45054</v>
      </c>
      <c r="E481" s="3">
        <v>2586.0371781314102</v>
      </c>
      <c r="G481" s="4">
        <v>45048</v>
      </c>
      <c r="H481" s="3">
        <v>213.56441807661301</v>
      </c>
      <c r="J481" s="1">
        <v>45083</v>
      </c>
      <c r="K481" s="3">
        <v>493.58008060981098</v>
      </c>
      <c r="M481" s="4">
        <v>45065</v>
      </c>
      <c r="N481" s="3">
        <v>12657.897000000001</v>
      </c>
    </row>
    <row r="482" spans="1:14" x14ac:dyDescent="0.3">
      <c r="A482" s="1">
        <v>45064</v>
      </c>
      <c r="B482" s="2">
        <v>33535.905700000003</v>
      </c>
      <c r="D482" s="4">
        <v>45051</v>
      </c>
      <c r="E482" s="3">
        <v>2554.8984376991002</v>
      </c>
      <c r="G482" s="5">
        <v>45047</v>
      </c>
      <c r="H482" s="3">
        <v>211.835757928438</v>
      </c>
      <c r="J482" s="5">
        <v>45082</v>
      </c>
      <c r="K482" s="3">
        <v>492.67832849506601</v>
      </c>
      <c r="M482" s="1">
        <v>45064</v>
      </c>
      <c r="N482" s="3">
        <v>12688.838</v>
      </c>
    </row>
    <row r="483" spans="1:14" x14ac:dyDescent="0.3">
      <c r="A483" s="1">
        <v>45063</v>
      </c>
      <c r="B483" s="2">
        <v>33420.765099999997</v>
      </c>
      <c r="D483" s="1">
        <v>45050</v>
      </c>
      <c r="E483" s="3">
        <v>2542.1138480751401</v>
      </c>
      <c r="G483" s="4">
        <v>45044</v>
      </c>
      <c r="H483" s="3">
        <v>211.74376284120501</v>
      </c>
      <c r="J483" s="4">
        <v>45079</v>
      </c>
      <c r="K483" s="3">
        <v>494.77549622079999</v>
      </c>
      <c r="M483" s="1">
        <v>45063</v>
      </c>
      <c r="N483" s="3">
        <v>12500.566000000001</v>
      </c>
    </row>
    <row r="484" spans="1:14" x14ac:dyDescent="0.3">
      <c r="A484" s="1">
        <v>45062</v>
      </c>
      <c r="B484" s="2">
        <v>33012.137799999997</v>
      </c>
      <c r="D484" s="1">
        <v>45049</v>
      </c>
      <c r="E484" s="3">
        <v>2509.4791016446202</v>
      </c>
      <c r="G484" s="1">
        <v>45043</v>
      </c>
      <c r="H484" s="3">
        <v>212.465880244884</v>
      </c>
      <c r="J484" s="1">
        <v>45078</v>
      </c>
      <c r="K484" s="3">
        <v>489.91692493113101</v>
      </c>
      <c r="M484" s="1">
        <v>45062</v>
      </c>
      <c r="N484" s="3">
        <v>12343.053</v>
      </c>
    </row>
    <row r="485" spans="1:14" x14ac:dyDescent="0.3">
      <c r="A485" s="5">
        <v>45061</v>
      </c>
      <c r="B485" s="2">
        <v>33348.5962</v>
      </c>
      <c r="D485" s="5">
        <v>45048</v>
      </c>
      <c r="E485" s="3">
        <v>2539.4359020089901</v>
      </c>
      <c r="G485" s="1">
        <v>45042</v>
      </c>
      <c r="H485" s="3">
        <v>212.60264851115801</v>
      </c>
      <c r="J485" s="1">
        <v>45077</v>
      </c>
      <c r="K485" s="3">
        <v>482.84043906245</v>
      </c>
      <c r="M485" s="5">
        <v>45061</v>
      </c>
      <c r="N485" s="3">
        <v>12365.209000000001</v>
      </c>
    </row>
    <row r="486" spans="1:14" x14ac:dyDescent="0.3">
      <c r="A486" s="4">
        <v>45058</v>
      </c>
      <c r="B486" s="2">
        <v>33300.6155</v>
      </c>
      <c r="D486" s="4">
        <v>45044</v>
      </c>
      <c r="E486" s="3">
        <v>2534.5015606089601</v>
      </c>
      <c r="G486" s="1">
        <v>45041</v>
      </c>
      <c r="H486" s="3">
        <v>214.045845486491</v>
      </c>
      <c r="J486" s="1">
        <v>45076</v>
      </c>
      <c r="K486" s="3">
        <v>490.09885050068999</v>
      </c>
      <c r="M486" s="4">
        <v>45058</v>
      </c>
      <c r="N486" s="3">
        <v>12284.743</v>
      </c>
    </row>
    <row r="487" spans="1:14" x14ac:dyDescent="0.3">
      <c r="A487" s="1">
        <v>45057</v>
      </c>
      <c r="B487" s="2">
        <v>33309.512999999999</v>
      </c>
      <c r="D487" s="1">
        <v>45043</v>
      </c>
      <c r="E487" s="3">
        <v>2527.5851965093302</v>
      </c>
      <c r="G487" s="5">
        <v>45040</v>
      </c>
      <c r="H487" s="3">
        <v>213.03471911786201</v>
      </c>
      <c r="J487" s="5">
        <v>45075</v>
      </c>
      <c r="K487" s="3">
        <v>493.362879225813</v>
      </c>
      <c r="M487" s="1">
        <v>45057</v>
      </c>
      <c r="N487" s="3">
        <v>12328.507</v>
      </c>
    </row>
    <row r="488" spans="1:14" x14ac:dyDescent="0.3">
      <c r="A488" s="1">
        <v>45056</v>
      </c>
      <c r="B488" s="2">
        <v>33531.325100000002</v>
      </c>
      <c r="D488" s="1">
        <v>45042</v>
      </c>
      <c r="E488" s="3">
        <v>2517.0420669095702</v>
      </c>
      <c r="G488" s="4">
        <v>45037</v>
      </c>
      <c r="H488" s="3">
        <v>212.92858740216499</v>
      </c>
      <c r="J488" s="4">
        <v>45072</v>
      </c>
      <c r="K488" s="3">
        <v>494.81495780115398</v>
      </c>
      <c r="M488" s="1">
        <v>45056</v>
      </c>
      <c r="N488" s="3">
        <v>12306.441999999999</v>
      </c>
    </row>
    <row r="489" spans="1:14" x14ac:dyDescent="0.3">
      <c r="A489" s="1">
        <v>45055</v>
      </c>
      <c r="B489" s="2">
        <v>33561.807399999998</v>
      </c>
      <c r="D489" s="1">
        <v>45041</v>
      </c>
      <c r="E489" s="3">
        <v>2499.2203424378399</v>
      </c>
      <c r="G489" s="1">
        <v>45036</v>
      </c>
      <c r="H489" s="3">
        <v>213.49601430381401</v>
      </c>
      <c r="J489" s="1">
        <v>45071</v>
      </c>
      <c r="K489" s="3">
        <v>488.98083436950901</v>
      </c>
      <c r="M489" s="1">
        <v>45055</v>
      </c>
      <c r="N489" s="3">
        <v>12179.553</v>
      </c>
    </row>
    <row r="490" spans="1:14" x14ac:dyDescent="0.3">
      <c r="A490" s="5">
        <v>45054</v>
      </c>
      <c r="B490" s="2">
        <v>33618.685700000002</v>
      </c>
      <c r="D490" s="5">
        <v>45040</v>
      </c>
      <c r="E490" s="3">
        <v>2542.95906537056</v>
      </c>
      <c r="G490" s="1">
        <v>45035</v>
      </c>
      <c r="H490" s="3">
        <v>212.38963545919199</v>
      </c>
      <c r="J490" s="1">
        <v>45070</v>
      </c>
      <c r="K490" s="3">
        <v>491.87992390451501</v>
      </c>
      <c r="M490" s="5">
        <v>45054</v>
      </c>
      <c r="N490" s="3">
        <v>12256.916999999999</v>
      </c>
    </row>
    <row r="491" spans="1:14" x14ac:dyDescent="0.3">
      <c r="A491" s="4">
        <v>45051</v>
      </c>
      <c r="B491" s="2">
        <v>33674.3776</v>
      </c>
      <c r="D491" s="4">
        <v>45037</v>
      </c>
      <c r="E491" s="3">
        <v>2558.2325581395398</v>
      </c>
      <c r="G491" s="1">
        <v>45034</v>
      </c>
      <c r="H491" s="3">
        <v>213.728316802156</v>
      </c>
      <c r="J491" s="1">
        <v>45069</v>
      </c>
      <c r="K491" s="3">
        <v>501.89516302709001</v>
      </c>
      <c r="M491" s="4">
        <v>45051</v>
      </c>
      <c r="N491" s="3">
        <v>12235.413</v>
      </c>
    </row>
    <row r="492" spans="1:14" x14ac:dyDescent="0.3">
      <c r="A492" s="1">
        <v>45050</v>
      </c>
      <c r="B492" s="2">
        <v>33127.739800000003</v>
      </c>
      <c r="D492" s="1">
        <v>45036</v>
      </c>
      <c r="E492" s="3">
        <v>2598.4725336322999</v>
      </c>
      <c r="G492" s="5">
        <v>45033</v>
      </c>
      <c r="H492" s="3">
        <v>212.068868064865</v>
      </c>
      <c r="J492" s="5">
        <v>45068</v>
      </c>
      <c r="K492" s="3">
        <v>506.940690609527</v>
      </c>
      <c r="M492" s="1">
        <v>45050</v>
      </c>
      <c r="N492" s="3">
        <v>11966.397999999999</v>
      </c>
    </row>
    <row r="493" spans="1:14" x14ac:dyDescent="0.3">
      <c r="A493" s="1">
        <v>45049</v>
      </c>
      <c r="B493" s="2">
        <v>33414.2402</v>
      </c>
      <c r="D493" s="1">
        <v>45035</v>
      </c>
      <c r="E493" s="3">
        <v>2594.7513249082899</v>
      </c>
      <c r="G493" s="4">
        <v>45030</v>
      </c>
      <c r="H493" s="3">
        <v>213.003438738124</v>
      </c>
      <c r="J493" s="4">
        <v>45065</v>
      </c>
      <c r="K493" s="3">
        <v>506.45422630299799</v>
      </c>
      <c r="M493" s="1">
        <v>45049</v>
      </c>
      <c r="N493" s="3">
        <v>12025.328</v>
      </c>
    </row>
    <row r="494" spans="1:14" x14ac:dyDescent="0.3">
      <c r="A494" s="1">
        <v>45048</v>
      </c>
      <c r="B494" s="2">
        <v>33684.527399999999</v>
      </c>
      <c r="D494" s="1">
        <v>45034</v>
      </c>
      <c r="E494" s="3">
        <v>2630.6717283022799</v>
      </c>
      <c r="G494" s="1">
        <v>45029</v>
      </c>
      <c r="H494" s="3">
        <v>212.40924864212801</v>
      </c>
      <c r="J494" s="1">
        <v>45064</v>
      </c>
      <c r="K494" s="3">
        <v>501.60996780064397</v>
      </c>
      <c r="M494" s="1">
        <v>45048</v>
      </c>
      <c r="N494" s="3">
        <v>12080.505999999999</v>
      </c>
    </row>
    <row r="495" spans="1:14" x14ac:dyDescent="0.3">
      <c r="A495" s="5">
        <v>45047</v>
      </c>
      <c r="B495" s="2">
        <v>34051.698700000001</v>
      </c>
      <c r="D495" s="5">
        <v>45033</v>
      </c>
      <c r="E495" s="3">
        <v>2647.71569077103</v>
      </c>
      <c r="G495" s="1">
        <v>45028</v>
      </c>
      <c r="H495" s="3">
        <v>210.95778245191701</v>
      </c>
      <c r="J495" s="1">
        <v>45063</v>
      </c>
      <c r="K495" s="3">
        <v>502.91028517542901</v>
      </c>
      <c r="M495" s="5">
        <v>45047</v>
      </c>
      <c r="N495" s="3">
        <v>12212.598</v>
      </c>
    </row>
    <row r="496" spans="1:14" x14ac:dyDescent="0.3">
      <c r="A496" s="4">
        <v>45044</v>
      </c>
      <c r="B496" s="2">
        <v>34098.1636</v>
      </c>
      <c r="D496" s="4">
        <v>45030</v>
      </c>
      <c r="E496" s="3">
        <v>2604.13449532401</v>
      </c>
      <c r="G496" s="1">
        <v>45027</v>
      </c>
      <c r="H496" s="3">
        <v>208.92906846240399</v>
      </c>
      <c r="J496" s="1">
        <v>45062</v>
      </c>
      <c r="K496" s="3">
        <v>504.70822065100498</v>
      </c>
      <c r="M496" s="4">
        <v>45044</v>
      </c>
      <c r="N496" s="3">
        <v>12226.584000000001</v>
      </c>
    </row>
    <row r="497" spans="1:14" x14ac:dyDescent="0.3">
      <c r="A497" s="1">
        <v>45043</v>
      </c>
      <c r="B497" s="2">
        <v>33826.162799999998</v>
      </c>
      <c r="D497" s="1">
        <v>45029</v>
      </c>
      <c r="E497" s="3">
        <v>2591.7525510528999</v>
      </c>
      <c r="G497" s="5">
        <v>45026</v>
      </c>
      <c r="H497" s="3">
        <v>206.83877245509601</v>
      </c>
      <c r="J497" s="5">
        <v>45061</v>
      </c>
      <c r="K497" s="3">
        <v>507.36581176138299</v>
      </c>
      <c r="M497" s="1">
        <v>45043</v>
      </c>
      <c r="N497" s="3">
        <v>12142.237999999999</v>
      </c>
    </row>
    <row r="498" spans="1:14" x14ac:dyDescent="0.3">
      <c r="A498" s="1">
        <v>45042</v>
      </c>
      <c r="B498" s="2">
        <v>33301.867700000003</v>
      </c>
      <c r="D498" s="1">
        <v>45028</v>
      </c>
      <c r="E498" s="3">
        <v>2587.3092308084201</v>
      </c>
      <c r="G498" s="4">
        <v>45023</v>
      </c>
      <c r="H498" s="3">
        <v>208.26693408006301</v>
      </c>
      <c r="J498" s="4">
        <v>45058</v>
      </c>
      <c r="K498" s="3">
        <v>504.962954123862</v>
      </c>
      <c r="M498" s="1">
        <v>45042</v>
      </c>
      <c r="N498" s="3">
        <v>11854.351000000001</v>
      </c>
    </row>
    <row r="499" spans="1:14" x14ac:dyDescent="0.3">
      <c r="A499" s="1">
        <v>45041</v>
      </c>
      <c r="B499" s="2">
        <v>33530.830800000003</v>
      </c>
      <c r="D499" s="5">
        <v>45027</v>
      </c>
      <c r="E499" s="3">
        <v>2609.7841873264201</v>
      </c>
      <c r="G499" s="1">
        <v>45022</v>
      </c>
      <c r="H499" s="3">
        <v>208.50508500304599</v>
      </c>
      <c r="J499" s="1">
        <v>45057</v>
      </c>
      <c r="K499" s="3">
        <v>505.99727148704198</v>
      </c>
      <c r="M499" s="1">
        <v>45041</v>
      </c>
      <c r="N499" s="3">
        <v>11799.156999999999</v>
      </c>
    </row>
    <row r="500" spans="1:14" x14ac:dyDescent="0.3">
      <c r="A500" s="5">
        <v>45040</v>
      </c>
      <c r="B500" s="2">
        <v>33875.395799999998</v>
      </c>
      <c r="D500" s="4">
        <v>45022</v>
      </c>
      <c r="E500" s="3">
        <v>2590.0277714081799</v>
      </c>
      <c r="G500" s="1">
        <v>45021</v>
      </c>
      <c r="H500" s="3">
        <v>211.813723250316</v>
      </c>
      <c r="J500" s="1">
        <v>45056</v>
      </c>
      <c r="K500" s="3">
        <v>509.07493823771603</v>
      </c>
      <c r="M500" s="5">
        <v>45040</v>
      </c>
      <c r="N500" s="3">
        <v>12037.204</v>
      </c>
    </row>
    <row r="501" spans="1:14" x14ac:dyDescent="0.3">
      <c r="A501" s="4">
        <v>45037</v>
      </c>
      <c r="B501" s="2">
        <v>33808.960899999998</v>
      </c>
      <c r="D501" s="1">
        <v>45020</v>
      </c>
      <c r="E501" s="3">
        <v>2582.9806479558802</v>
      </c>
      <c r="G501" s="1">
        <v>45020</v>
      </c>
      <c r="H501" s="3">
        <v>214.80309818512501</v>
      </c>
      <c r="J501" s="1">
        <v>45055</v>
      </c>
      <c r="K501" s="3">
        <v>510.08866627941501</v>
      </c>
      <c r="M501" s="4">
        <v>45037</v>
      </c>
      <c r="N501" s="3">
        <v>12072.456</v>
      </c>
    </row>
    <row r="502" spans="1:14" x14ac:dyDescent="0.3">
      <c r="A502" s="1">
        <v>45036</v>
      </c>
      <c r="B502" s="2">
        <v>33786.618300000002</v>
      </c>
      <c r="D502" s="5">
        <v>45019</v>
      </c>
      <c r="E502" s="3">
        <v>2599.9617824657898</v>
      </c>
      <c r="G502" s="5">
        <v>45019</v>
      </c>
      <c r="H502" s="3">
        <v>212.88535609092699</v>
      </c>
      <c r="J502" s="5">
        <v>45054</v>
      </c>
      <c r="K502" s="3">
        <v>513.82103085523102</v>
      </c>
      <c r="M502" s="1">
        <v>45036</v>
      </c>
      <c r="N502" s="3">
        <v>12059.558000000001</v>
      </c>
    </row>
    <row r="503" spans="1:14" x14ac:dyDescent="0.3">
      <c r="A503" s="1">
        <v>45035</v>
      </c>
      <c r="B503" s="2">
        <v>33897.013500000001</v>
      </c>
      <c r="D503" s="4">
        <v>45016</v>
      </c>
      <c r="E503" s="3">
        <v>2598.9056627810701</v>
      </c>
      <c r="G503" s="4">
        <v>45016</v>
      </c>
      <c r="H503" s="3">
        <v>211.171624369292</v>
      </c>
      <c r="J503" s="4">
        <v>45051</v>
      </c>
      <c r="K503" s="3">
        <v>512.630964316009</v>
      </c>
      <c r="M503" s="1">
        <v>45035</v>
      </c>
      <c r="N503" s="3">
        <v>12157.226000000001</v>
      </c>
    </row>
    <row r="504" spans="1:14" x14ac:dyDescent="0.3">
      <c r="A504" s="1">
        <v>45034</v>
      </c>
      <c r="B504" s="2">
        <v>33976.6299</v>
      </c>
      <c r="J504" s="1">
        <v>45050</v>
      </c>
      <c r="K504" s="3">
        <v>506.88189565944901</v>
      </c>
      <c r="M504" s="1">
        <v>45034</v>
      </c>
      <c r="N504" s="3">
        <v>12153.412</v>
      </c>
    </row>
    <row r="505" spans="1:14" x14ac:dyDescent="0.3">
      <c r="A505" s="5">
        <v>45033</v>
      </c>
      <c r="B505" s="2">
        <v>33987.175199999998</v>
      </c>
      <c r="J505" s="1">
        <v>45049</v>
      </c>
      <c r="K505" s="3">
        <v>511.49031230646699</v>
      </c>
      <c r="M505" s="5">
        <v>45033</v>
      </c>
      <c r="N505" s="3">
        <v>12157.724</v>
      </c>
    </row>
    <row r="506" spans="1:14" x14ac:dyDescent="0.3">
      <c r="A506" s="4">
        <v>45030</v>
      </c>
      <c r="B506" s="2">
        <v>33886.4683</v>
      </c>
      <c r="J506" s="1">
        <v>45048</v>
      </c>
      <c r="K506" s="3">
        <v>507.143878482574</v>
      </c>
      <c r="M506" s="4">
        <v>45030</v>
      </c>
      <c r="N506" s="3">
        <v>12123.465</v>
      </c>
    </row>
    <row r="507" spans="1:14" x14ac:dyDescent="0.3">
      <c r="A507" s="1">
        <v>45029</v>
      </c>
      <c r="B507" s="2">
        <v>34029.685599999997</v>
      </c>
      <c r="J507" s="5">
        <v>45047</v>
      </c>
      <c r="K507" s="3">
        <v>512.41274858422105</v>
      </c>
      <c r="M507" s="1">
        <v>45029</v>
      </c>
      <c r="N507" s="3">
        <v>12166.272000000001</v>
      </c>
    </row>
    <row r="508" spans="1:14" x14ac:dyDescent="0.3">
      <c r="A508" s="1">
        <v>45028</v>
      </c>
      <c r="B508" s="2">
        <v>33646.498699999996</v>
      </c>
      <c r="J508" s="4">
        <v>45044</v>
      </c>
      <c r="K508" s="3">
        <v>514.23785594639799</v>
      </c>
      <c r="M508" s="1">
        <v>45028</v>
      </c>
      <c r="N508" s="3">
        <v>11929.337</v>
      </c>
    </row>
    <row r="509" spans="1:14" x14ac:dyDescent="0.3">
      <c r="A509" s="1">
        <v>45027</v>
      </c>
      <c r="B509" s="2">
        <v>33684.790999999997</v>
      </c>
      <c r="J509" s="1">
        <v>45043</v>
      </c>
      <c r="K509" s="3">
        <v>511.688684030611</v>
      </c>
      <c r="M509" s="1">
        <v>45027</v>
      </c>
      <c r="N509" s="3">
        <v>12031.877</v>
      </c>
    </row>
    <row r="510" spans="1:14" x14ac:dyDescent="0.3">
      <c r="A510" s="5">
        <v>45026</v>
      </c>
      <c r="B510" s="2">
        <v>33586.522700000001</v>
      </c>
      <c r="J510" s="1">
        <v>45042</v>
      </c>
      <c r="K510" s="3">
        <v>511.38220357695099</v>
      </c>
      <c r="M510" s="5">
        <v>45026</v>
      </c>
      <c r="N510" s="3">
        <v>12084.355</v>
      </c>
    </row>
    <row r="511" spans="1:14" x14ac:dyDescent="0.3">
      <c r="A511" s="4">
        <v>45022</v>
      </c>
      <c r="B511" s="2">
        <v>33485.2886</v>
      </c>
      <c r="J511" s="1">
        <v>45041</v>
      </c>
      <c r="K511" s="3">
        <v>512.48066183166895</v>
      </c>
      <c r="M511" s="4">
        <v>45022</v>
      </c>
      <c r="N511" s="3">
        <v>12087.957</v>
      </c>
    </row>
    <row r="512" spans="1:14" x14ac:dyDescent="0.3">
      <c r="A512" s="1">
        <v>45021</v>
      </c>
      <c r="B512" s="2">
        <v>33482.718200000003</v>
      </c>
      <c r="J512" s="5">
        <v>45040</v>
      </c>
      <c r="K512" s="3">
        <v>517.78695402552705</v>
      </c>
      <c r="M512" s="1">
        <v>45021</v>
      </c>
      <c r="N512" s="3">
        <v>11996.861999999999</v>
      </c>
    </row>
    <row r="513" spans="1:14" x14ac:dyDescent="0.3">
      <c r="A513" s="1">
        <v>45020</v>
      </c>
      <c r="B513" s="2">
        <v>33402.376799999998</v>
      </c>
      <c r="J513" s="4">
        <v>45037</v>
      </c>
      <c r="K513" s="3">
        <v>515.28835272531501</v>
      </c>
      <c r="M513" s="1">
        <v>45020</v>
      </c>
      <c r="N513" s="3">
        <v>12126.326999999999</v>
      </c>
    </row>
    <row r="514" spans="1:14" x14ac:dyDescent="0.3">
      <c r="A514" s="5">
        <v>45019</v>
      </c>
      <c r="B514" s="2">
        <v>33601.154199999997</v>
      </c>
      <c r="J514" s="1">
        <v>45036</v>
      </c>
      <c r="K514" s="3">
        <v>512.62845047870906</v>
      </c>
      <c r="M514" s="5">
        <v>45019</v>
      </c>
      <c r="N514" s="3">
        <v>12189.453</v>
      </c>
    </row>
    <row r="515" spans="1:14" x14ac:dyDescent="0.3">
      <c r="A515" s="4">
        <v>45016</v>
      </c>
      <c r="B515" s="2">
        <v>33274.153599999998</v>
      </c>
      <c r="J515" s="1">
        <v>45035</v>
      </c>
      <c r="K515" s="3">
        <v>512.78877435891695</v>
      </c>
      <c r="M515" s="4">
        <v>45016</v>
      </c>
      <c r="N515" s="3">
        <v>12221.906999999999</v>
      </c>
    </row>
    <row r="516" spans="1:14" x14ac:dyDescent="0.3">
      <c r="J516" s="1">
        <v>45034</v>
      </c>
      <c r="K516" s="3">
        <v>514.12522353508905</v>
      </c>
    </row>
    <row r="517" spans="1:14" x14ac:dyDescent="0.3">
      <c r="J517" s="5">
        <v>45033</v>
      </c>
      <c r="K517" s="3">
        <v>510.06828735318197</v>
      </c>
    </row>
    <row r="518" spans="1:14" x14ac:dyDescent="0.3">
      <c r="J518" s="4">
        <v>45030</v>
      </c>
      <c r="K518" s="3">
        <v>513.60151360151394</v>
      </c>
    </row>
    <row r="519" spans="1:14" x14ac:dyDescent="0.3">
      <c r="J519" s="1">
        <v>45029</v>
      </c>
      <c r="K519" s="3">
        <v>512.67297646526094</v>
      </c>
    </row>
    <row r="520" spans="1:14" x14ac:dyDescent="0.3">
      <c r="J520" s="1">
        <v>45028</v>
      </c>
      <c r="K520" s="3">
        <v>508.10989010989101</v>
      </c>
    </row>
    <row r="521" spans="1:14" x14ac:dyDescent="0.3">
      <c r="J521" s="5">
        <v>45027</v>
      </c>
      <c r="K521" s="3">
        <v>503.813046182047</v>
      </c>
    </row>
    <row r="522" spans="1:14" x14ac:dyDescent="0.3">
      <c r="J522" s="4">
        <v>45022</v>
      </c>
      <c r="K522" s="3">
        <v>501.16298116297997</v>
      </c>
    </row>
    <row r="523" spans="1:14" x14ac:dyDescent="0.3">
      <c r="J523" s="1">
        <v>45021</v>
      </c>
      <c r="K523" s="3">
        <v>497.819402952529</v>
      </c>
    </row>
    <row r="524" spans="1:14" x14ac:dyDescent="0.3">
      <c r="J524" s="1">
        <v>45020</v>
      </c>
      <c r="K524" s="3">
        <v>500.87615542997497</v>
      </c>
    </row>
    <row r="525" spans="1:14" x14ac:dyDescent="0.3">
      <c r="J525" s="5">
        <v>45019</v>
      </c>
      <c r="K525" s="3">
        <v>498.68714931633798</v>
      </c>
    </row>
    <row r="526" spans="1:14" x14ac:dyDescent="0.3">
      <c r="J526" s="4">
        <v>45016</v>
      </c>
      <c r="K526" s="3">
        <v>496.25510790275098</v>
      </c>
    </row>
    <row r="527" spans="1:14" x14ac:dyDescent="0.3"/>
    <row r="528" spans="1:14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56B2-4D1A-4476-837D-0864F0952E43}">
  <dimension ref="A1:U518"/>
  <sheetViews>
    <sheetView workbookViewId="0">
      <selection activeCell="AE700" sqref="AE700"/>
    </sheetView>
  </sheetViews>
  <sheetFormatPr defaultRowHeight="15" customHeight="1" x14ac:dyDescent="0.3"/>
  <cols>
    <col min="1" max="1" width="17.44140625" customWidth="1"/>
    <col min="2" max="2" width="17.5546875" customWidth="1"/>
    <col min="3" max="3" width="8.6640625" customWidth="1"/>
    <col min="4" max="4" width="17.5546875" customWidth="1"/>
    <col min="5" max="5" width="17.44140625" customWidth="1"/>
    <col min="7" max="8" width="17.5546875" customWidth="1"/>
    <col min="10" max="10" width="17.44140625" customWidth="1"/>
    <col min="11" max="11" width="17.5546875" customWidth="1"/>
    <col min="13" max="14" width="17.44140625" customWidth="1"/>
    <col min="16" max="16" width="23.5546875" bestFit="1" customWidth="1"/>
    <col min="17" max="17" width="14" bestFit="1" customWidth="1"/>
    <col min="18" max="18" width="18" bestFit="1" customWidth="1"/>
    <col min="19" max="19" width="19" bestFit="1" customWidth="1"/>
    <col min="20" max="20" width="18.109375" bestFit="1" customWidth="1"/>
    <col min="21" max="21" width="17.6640625" customWidth="1"/>
  </cols>
  <sheetData>
    <row r="1" spans="1:21" x14ac:dyDescent="0.3"/>
    <row r="2" spans="1:21" x14ac:dyDescent="0.3">
      <c r="B2" t="s">
        <v>0</v>
      </c>
      <c r="D2" s="7" t="s">
        <v>1</v>
      </c>
      <c r="E2" s="8" t="s">
        <v>2</v>
      </c>
    </row>
    <row r="3" spans="1:21" x14ac:dyDescent="0.3">
      <c r="D3" s="9" t="s">
        <v>3</v>
      </c>
    </row>
    <row r="4" spans="1:21" x14ac:dyDescent="0.3"/>
    <row r="5" spans="1:21" x14ac:dyDescent="0.3">
      <c r="P5" t="s">
        <v>4</v>
      </c>
      <c r="Q5" t="s">
        <v>5</v>
      </c>
      <c r="R5" t="s">
        <v>6</v>
      </c>
      <c r="S5" t="s">
        <v>7</v>
      </c>
      <c r="T5" t="s">
        <v>8</v>
      </c>
      <c r="U5" t="s">
        <v>9</v>
      </c>
    </row>
    <row r="6" spans="1:21" x14ac:dyDescent="0.3">
      <c r="A6" t="s">
        <v>10</v>
      </c>
      <c r="B6" t="s">
        <v>5</v>
      </c>
      <c r="D6" t="s">
        <v>10</v>
      </c>
      <c r="E6" t="s">
        <v>6</v>
      </c>
      <c r="G6" t="s">
        <v>10</v>
      </c>
      <c r="H6" t="s">
        <v>7</v>
      </c>
      <c r="J6" t="s">
        <v>10</v>
      </c>
      <c r="K6" t="s">
        <v>8</v>
      </c>
      <c r="M6" t="s">
        <v>10</v>
      </c>
      <c r="N6" t="s">
        <v>9</v>
      </c>
      <c r="P6">
        <v>1</v>
      </c>
      <c r="Q6" s="10">
        <f>(B8-B12)/B12</f>
        <v>-2.3469787255231536E-2</v>
      </c>
      <c r="R6">
        <f>(E8-E12)/E12</f>
        <v>-2.0489088653958529E-2</v>
      </c>
      <c r="S6">
        <f>(H8-H12)/H12</f>
        <v>-7.1821868463490205E-3</v>
      </c>
      <c r="T6" s="10">
        <f>(K8-K12)/K12</f>
        <v>-9.9724781243390893E-3</v>
      </c>
      <c r="U6" s="10">
        <f>(N8-N12)/N12</f>
        <v>-4.7590377111632491E-2</v>
      </c>
    </row>
    <row r="7" spans="1:21" x14ac:dyDescent="0.3">
      <c r="A7" s="5">
        <v>45747</v>
      </c>
      <c r="B7" s="2">
        <v>42001.760999999999</v>
      </c>
      <c r="D7" s="5">
        <v>45747</v>
      </c>
      <c r="E7" s="3">
        <v>2971.5919899231399</v>
      </c>
      <c r="G7" s="5">
        <v>45747</v>
      </c>
      <c r="H7" s="3">
        <v>237.529576525522</v>
      </c>
      <c r="J7" s="5">
        <v>45747</v>
      </c>
      <c r="K7" s="3">
        <v>577.54172661092105</v>
      </c>
      <c r="M7" s="5">
        <v>45747</v>
      </c>
      <c r="N7" s="3">
        <v>17299.287</v>
      </c>
      <c r="P7">
        <v>2</v>
      </c>
      <c r="Q7" s="10">
        <f>(B13-B17)/B17</f>
        <v>3.4347128329698996E-3</v>
      </c>
      <c r="R7">
        <f>(E13-E17)/E17</f>
        <v>-1.9358863243556752E-2</v>
      </c>
      <c r="S7">
        <f>(H13-H16)/H16</f>
        <v>6.8269957487741024E-3</v>
      </c>
      <c r="T7" s="10">
        <f>(K13-K17)/K17</f>
        <v>-1.2080020974512794E-2</v>
      </c>
      <c r="U7" s="11">
        <f>(N13-N17)/N17</f>
        <v>-1.3820800931502325E-3</v>
      </c>
    </row>
    <row r="8" spans="1:21" x14ac:dyDescent="0.3">
      <c r="A8" s="4">
        <v>45744</v>
      </c>
      <c r="B8" s="2">
        <v>41583.896000000001</v>
      </c>
      <c r="D8" s="4">
        <v>45744</v>
      </c>
      <c r="E8" s="3">
        <v>3011.98282290621</v>
      </c>
      <c r="G8" s="4">
        <v>45744</v>
      </c>
      <c r="H8" s="3">
        <v>247.78272478471899</v>
      </c>
      <c r="J8" s="4">
        <v>45744</v>
      </c>
      <c r="K8" s="3">
        <v>586.92968969922902</v>
      </c>
      <c r="M8" s="4">
        <v>45744</v>
      </c>
      <c r="N8" s="3">
        <v>17322.991000000002</v>
      </c>
      <c r="P8">
        <v>3</v>
      </c>
      <c r="Q8" s="10">
        <f>(B18-B22)/B22</f>
        <v>-1.0105054365093617E-2</v>
      </c>
      <c r="R8">
        <f>(E18-E22)/E22</f>
        <v>6.8504166794362718E-3</v>
      </c>
      <c r="S8">
        <f>(H17-H21)/H21</f>
        <v>-8.4864220748712485E-3</v>
      </c>
      <c r="T8" s="10">
        <f>(K18-K22)/K22</f>
        <v>5.0762424077906119E-3</v>
      </c>
      <c r="U8" s="10">
        <f>(N18-N22)/N22</f>
        <v>1.6359042176978509E-2</v>
      </c>
    </row>
    <row r="9" spans="1:21" x14ac:dyDescent="0.3">
      <c r="A9" s="1">
        <v>45743</v>
      </c>
      <c r="B9" s="2">
        <v>42299.700299999997</v>
      </c>
      <c r="D9" s="1">
        <v>45743</v>
      </c>
      <c r="E9" s="3">
        <v>3032.4870746199499</v>
      </c>
      <c r="G9" s="1">
        <v>45743</v>
      </c>
      <c r="H9" s="3">
        <v>250.24806355509901</v>
      </c>
      <c r="J9" s="1">
        <v>45743</v>
      </c>
      <c r="K9" s="3">
        <v>590.06955845502398</v>
      </c>
      <c r="M9" s="1">
        <v>45743</v>
      </c>
      <c r="N9" s="3">
        <v>17804.032999999999</v>
      </c>
      <c r="P9">
        <v>4</v>
      </c>
      <c r="Q9" s="10">
        <f>(B23-B27)/B27</f>
        <v>-9.0186774893541138E-3</v>
      </c>
      <c r="R9">
        <f>(E23-E27)/E27</f>
        <v>5.4155852281279088E-2</v>
      </c>
      <c r="S9">
        <f>(H22-H26)/H26</f>
        <v>-1.4079351861324696E-2</v>
      </c>
      <c r="T9" s="10">
        <f>(K23-K27)/K27</f>
        <v>1.5054057179652658E-2</v>
      </c>
      <c r="U9" s="10">
        <f>(N23-N27)/N27</f>
        <v>-8.3906483589188553E-3</v>
      </c>
    </row>
    <row r="10" spans="1:21" x14ac:dyDescent="0.3">
      <c r="A10" s="1">
        <v>45742</v>
      </c>
      <c r="B10" s="2">
        <v>42454.786099999998</v>
      </c>
      <c r="D10" s="1">
        <v>45742</v>
      </c>
      <c r="E10" s="3">
        <v>3019.9354432170499</v>
      </c>
      <c r="G10" s="1">
        <v>45742</v>
      </c>
      <c r="H10" s="3">
        <v>252.53878337096401</v>
      </c>
      <c r="J10" s="1">
        <v>45742</v>
      </c>
      <c r="K10" s="3">
        <v>589.99419392297204</v>
      </c>
      <c r="M10" s="1">
        <v>45742</v>
      </c>
      <c r="N10" s="3">
        <v>17899.014999999999</v>
      </c>
      <c r="P10">
        <v>5</v>
      </c>
      <c r="Q10" s="10">
        <f>(B28-B32)/B32</f>
        <v>8.7363595334369829E-3</v>
      </c>
      <c r="R10">
        <f>(E28-E32)/E32</f>
        <v>-1.7578820007086687E-2</v>
      </c>
      <c r="S10">
        <f>(H27-H30)/H30</f>
        <v>-3.8498616645748419E-2</v>
      </c>
      <c r="T10" s="10">
        <f>(K28-K32)/K32</f>
        <v>-1.8975893415875487E-3</v>
      </c>
      <c r="U10" s="10">
        <f>(N28-N32)/N32</f>
        <v>-2.2795028238042126E-2</v>
      </c>
    </row>
    <row r="11" spans="1:21" x14ac:dyDescent="0.3">
      <c r="A11" s="1">
        <v>45741</v>
      </c>
      <c r="B11" s="2">
        <v>42587.497300000003</v>
      </c>
      <c r="D11" s="1">
        <v>45741</v>
      </c>
      <c r="E11" s="3">
        <v>3002.5917398742099</v>
      </c>
      <c r="G11" s="1">
        <v>45741</v>
      </c>
      <c r="H11" s="3">
        <v>252.03829219480801</v>
      </c>
      <c r="J11" s="1">
        <v>45741</v>
      </c>
      <c r="K11" s="3">
        <v>596.29869429157304</v>
      </c>
      <c r="M11" s="1">
        <v>45741</v>
      </c>
      <c r="N11" s="3">
        <v>18271.855</v>
      </c>
      <c r="P11">
        <v>6</v>
      </c>
      <c r="Q11" s="10">
        <f>(B33-B36)/B36</f>
        <v>-2.5323476219827001E-2</v>
      </c>
      <c r="R11">
        <f>(E33-E37)/E37</f>
        <v>3.9530165807272075E-2</v>
      </c>
      <c r="S11">
        <f>(H31-H35)/H35</f>
        <v>4.5111434456535163E-3</v>
      </c>
      <c r="T11" s="10">
        <f>(K33-K37)/K37</f>
        <v>-5.1105076492835586E-3</v>
      </c>
      <c r="U11" s="10">
        <f>(N33-N36)/N36</f>
        <v>-2.5809553600444485E-2</v>
      </c>
    </row>
    <row r="12" spans="1:21" x14ac:dyDescent="0.3">
      <c r="A12" s="5">
        <v>45740</v>
      </c>
      <c r="B12" s="2">
        <v>42583.3174</v>
      </c>
      <c r="D12" s="5">
        <v>45740</v>
      </c>
      <c r="E12" s="3">
        <v>3074.9864937871398</v>
      </c>
      <c r="G12" s="5">
        <v>45740</v>
      </c>
      <c r="H12" s="3">
        <v>249.57522065165799</v>
      </c>
      <c r="J12" s="5">
        <v>45740</v>
      </c>
      <c r="K12" s="3">
        <v>592.84179149611805</v>
      </c>
      <c r="M12" s="5">
        <v>45740</v>
      </c>
      <c r="N12" s="3">
        <v>18188.593000000001</v>
      </c>
      <c r="P12">
        <v>7</v>
      </c>
      <c r="Q12" s="10">
        <f>(B37-B41)/B41</f>
        <v>1.7015381726895797E-3</v>
      </c>
      <c r="R12">
        <f>(E38-E42)/E42</f>
        <v>5.1627967602166813E-2</v>
      </c>
      <c r="S12">
        <f>(H36-H39)/H39</f>
        <v>6.7234729303902868E-3</v>
      </c>
      <c r="T12" s="10">
        <f>(K38-K42)/K42</f>
        <v>3.0051645427756631E-2</v>
      </c>
      <c r="U12" s="10">
        <f>(N37-N41)/N41</f>
        <v>1.5851614084619953E-2</v>
      </c>
    </row>
    <row r="13" spans="1:21" x14ac:dyDescent="0.3">
      <c r="A13" s="4">
        <v>45737</v>
      </c>
      <c r="B13" s="2">
        <v>41985.3488</v>
      </c>
      <c r="D13" s="4">
        <v>45737</v>
      </c>
      <c r="E13" s="3">
        <v>3047.57567571044</v>
      </c>
      <c r="G13" s="4">
        <v>45737</v>
      </c>
      <c r="H13" s="3">
        <v>252.34116937912799</v>
      </c>
      <c r="J13" s="4">
        <v>45737</v>
      </c>
      <c r="K13" s="3">
        <v>594.41134168892802</v>
      </c>
      <c r="M13" s="4">
        <v>45737</v>
      </c>
      <c r="N13" s="3">
        <v>17784.050999999999</v>
      </c>
      <c r="P13">
        <v>8</v>
      </c>
      <c r="Q13" s="10">
        <f>(B42-B46)/B46</f>
        <v>-2.6678703669456654E-3</v>
      </c>
      <c r="R13">
        <f>(E43-E47)/E47</f>
        <v>4.5603443020550971E-2</v>
      </c>
      <c r="S13">
        <f>(H40-H44)/H44</f>
        <v>2.9209777793486994E-2</v>
      </c>
      <c r="T13" s="10">
        <f>(K43-K47)/K47</f>
        <v>1.3093778725007461E-2</v>
      </c>
      <c r="U13" s="10">
        <f>(N42-N46)/N46</f>
        <v>6.7784295085253892E-3</v>
      </c>
    </row>
    <row r="14" spans="1:21" x14ac:dyDescent="0.3">
      <c r="A14" s="1">
        <v>45736</v>
      </c>
      <c r="B14" s="2">
        <v>41953.323600000003</v>
      </c>
      <c r="D14" s="1">
        <v>45736</v>
      </c>
      <c r="E14" s="3">
        <v>3116.0679823997102</v>
      </c>
      <c r="G14" s="1">
        <v>45735</v>
      </c>
      <c r="H14" s="3">
        <v>253.91364003227301</v>
      </c>
      <c r="J14" s="1">
        <v>45736</v>
      </c>
      <c r="K14" s="3">
        <v>600.04123398113995</v>
      </c>
      <c r="M14" s="1">
        <v>45736</v>
      </c>
      <c r="N14" s="3">
        <v>17691.626</v>
      </c>
      <c r="P14">
        <v>9</v>
      </c>
      <c r="Q14" s="10">
        <f>(B47-B51)/B51</f>
        <v>-3.7777404115511876E-3</v>
      </c>
      <c r="R14">
        <f>(E48-E49)/E49</f>
        <v>1.1093821912701556E-3</v>
      </c>
      <c r="S14">
        <f>(H45-H49)/H49</f>
        <v>-4.2781156921912278E-3</v>
      </c>
      <c r="T14" s="10">
        <f>(K48-K52)/K52</f>
        <v>6.059213302138316E-3</v>
      </c>
      <c r="U14" s="10">
        <f>(N47-N51)/N51</f>
        <v>1.4766283280065375E-2</v>
      </c>
    </row>
    <row r="15" spans="1:21" x14ac:dyDescent="0.3">
      <c r="A15" s="1">
        <v>45735</v>
      </c>
      <c r="B15" s="2">
        <v>41964.633800000003</v>
      </c>
      <c r="D15" s="1">
        <v>45735</v>
      </c>
      <c r="E15" s="3">
        <v>3187.76172030835</v>
      </c>
      <c r="G15" s="1">
        <v>45734</v>
      </c>
      <c r="H15" s="3">
        <v>253.55366474606899</v>
      </c>
      <c r="J15" s="1">
        <v>45735</v>
      </c>
      <c r="K15" s="3">
        <v>605.40687850874895</v>
      </c>
      <c r="M15" s="1">
        <v>45735</v>
      </c>
      <c r="N15" s="3">
        <v>17750.79</v>
      </c>
      <c r="P15">
        <v>10</v>
      </c>
      <c r="Q15" s="10">
        <f>(B52-B55)/B55</f>
        <v>9.0501648056143247E-3</v>
      </c>
      <c r="R15">
        <f>(E50-E54)/E54</f>
        <v>6.1786527318639329E-3</v>
      </c>
      <c r="S15">
        <f>(H50-H54)/H54</f>
        <v>2.389659404005591E-2</v>
      </c>
      <c r="T15" s="10">
        <f>(K53-K57)/K57</f>
        <v>1.9511191887012658E-2</v>
      </c>
      <c r="U15" s="10">
        <f>(N52-N55)/N55</f>
        <v>9.9976823145109268E-3</v>
      </c>
    </row>
    <row r="16" spans="1:21" x14ac:dyDescent="0.3">
      <c r="A16" s="1">
        <v>45734</v>
      </c>
      <c r="B16" s="2">
        <v>41581.314299999998</v>
      </c>
      <c r="D16" s="1">
        <v>45734</v>
      </c>
      <c r="E16" s="3">
        <v>3184.48340219589</v>
      </c>
      <c r="G16" s="5">
        <v>45733</v>
      </c>
      <c r="H16" s="3">
        <v>250.63011862476199</v>
      </c>
      <c r="J16" s="1">
        <v>45734</v>
      </c>
      <c r="K16" s="3">
        <v>606.56796121817001</v>
      </c>
      <c r="M16" s="1">
        <v>45734</v>
      </c>
      <c r="N16" s="3">
        <v>17504.116999999998</v>
      </c>
      <c r="P16">
        <v>11</v>
      </c>
      <c r="Q16" s="10">
        <f>(B56-B60)/B60</f>
        <v>2.8151146919970019E-2</v>
      </c>
      <c r="R16">
        <f>(E55-E59)/E59</f>
        <v>3.760004257754377E-2</v>
      </c>
      <c r="S16">
        <f>(H55-H58)/H58</f>
        <v>1.0020653532312357E-2</v>
      </c>
      <c r="T16" s="10">
        <f>(K58-K62)/K62</f>
        <v>3.207672178334646E-2</v>
      </c>
      <c r="U16" s="10">
        <f>(N56-N60)/N60</f>
        <v>2.8399732985500685E-2</v>
      </c>
    </row>
    <row r="17" spans="1:21" x14ac:dyDescent="0.3">
      <c r="A17" s="5">
        <v>45733</v>
      </c>
      <c r="B17" s="2">
        <v>41841.6348</v>
      </c>
      <c r="D17" s="5">
        <v>45733</v>
      </c>
      <c r="E17" s="3">
        <v>3107.73794967501</v>
      </c>
      <c r="G17" s="4">
        <v>45730</v>
      </c>
      <c r="H17" s="3">
        <v>249.31435876732601</v>
      </c>
      <c r="J17" s="5">
        <v>45733</v>
      </c>
      <c r="K17" s="3">
        <v>601.67964441337904</v>
      </c>
      <c r="M17" s="5">
        <v>45733</v>
      </c>
      <c r="N17" s="3">
        <v>17808.664000000001</v>
      </c>
      <c r="P17">
        <v>12</v>
      </c>
      <c r="Q17" s="10">
        <f>(B61-B64)/B64</f>
        <v>-1.7985861114403371E-2</v>
      </c>
      <c r="R17">
        <f>(E60-E64)/E64</f>
        <v>-3.3186097397733379E-2</v>
      </c>
      <c r="S17">
        <f>(H59-H63)/H63</f>
        <v>-3.5367073141802218E-3</v>
      </c>
      <c r="T17" s="10">
        <f>(K63-K67)/K67</f>
        <v>-1.6975990246654148E-2</v>
      </c>
      <c r="U17" s="10">
        <f>(N61-N64)/N64</f>
        <v>-3.5406678717689141E-2</v>
      </c>
    </row>
    <row r="18" spans="1:21" x14ac:dyDescent="0.3">
      <c r="A18" s="4">
        <v>45730</v>
      </c>
      <c r="B18" s="2">
        <v>41488.189100000003</v>
      </c>
      <c r="D18" s="4">
        <v>45730</v>
      </c>
      <c r="E18" s="3">
        <v>3082.5416838205001</v>
      </c>
      <c r="G18" s="1">
        <v>45729</v>
      </c>
      <c r="H18" s="3">
        <v>248.90081861850999</v>
      </c>
      <c r="J18" s="4">
        <v>45730</v>
      </c>
      <c r="K18" s="3">
        <v>594.64751958224804</v>
      </c>
      <c r="M18" s="4">
        <v>45730</v>
      </c>
      <c r="N18" s="3">
        <v>17754.085999999999</v>
      </c>
      <c r="P18">
        <v>13</v>
      </c>
      <c r="Q18" s="10">
        <f>(B65-B68)/B68</f>
        <v>3.7207241725173575E-3</v>
      </c>
      <c r="R18">
        <f>(E65-E68)/E68</f>
        <v>-1.549893012312324E-2</v>
      </c>
      <c r="S18" s="9">
        <v>0</v>
      </c>
      <c r="T18" s="10">
        <f>(K68-K71)/K71</f>
        <v>-2.9614052804197355E-3</v>
      </c>
      <c r="U18" s="10">
        <f>(N65-N68)/N68</f>
        <v>6.9222296032926843E-3</v>
      </c>
    </row>
    <row r="19" spans="1:21" x14ac:dyDescent="0.3">
      <c r="A19" s="1">
        <v>45729</v>
      </c>
      <c r="B19" s="2">
        <v>40813.568899999998</v>
      </c>
      <c r="D19" s="1">
        <v>45729</v>
      </c>
      <c r="E19" s="3">
        <v>3018.9855501370198</v>
      </c>
      <c r="G19" s="1">
        <v>45728</v>
      </c>
      <c r="H19" s="3">
        <v>248.358111298491</v>
      </c>
      <c r="J19" s="1">
        <v>45729</v>
      </c>
      <c r="K19" s="3">
        <v>586.484932012287</v>
      </c>
      <c r="M19" s="1">
        <v>45729</v>
      </c>
      <c r="N19" s="3">
        <v>17303.013999999999</v>
      </c>
      <c r="P19">
        <v>14</v>
      </c>
      <c r="Q19" s="10">
        <f>(B69-B72)/B72</f>
        <v>1.9870253795499855E-3</v>
      </c>
      <c r="R19">
        <f>(E69-E71)/E71</f>
        <v>1.1481886850869441E-2</v>
      </c>
      <c r="S19">
        <f>(H65-H69)/H69</f>
        <v>2.4293474529650617E-2</v>
      </c>
      <c r="T19" s="10">
        <f>(K72-K74)/K74</f>
        <v>1.0625234592786477E-2</v>
      </c>
      <c r="U19" s="10">
        <f>(N69-N72)/N72</f>
        <v>-2.1681886841233514E-3</v>
      </c>
    </row>
    <row r="20" spans="1:21" x14ac:dyDescent="0.3">
      <c r="A20" s="1">
        <v>45728</v>
      </c>
      <c r="B20" s="2">
        <v>41350.929199999999</v>
      </c>
      <c r="D20" s="1">
        <v>45728</v>
      </c>
      <c r="E20" s="3">
        <v>3037.7147932193002</v>
      </c>
      <c r="G20" s="1">
        <v>45727</v>
      </c>
      <c r="H20" s="3">
        <v>248.98903701699501</v>
      </c>
      <c r="J20" s="1">
        <v>45728</v>
      </c>
      <c r="K20" s="3">
        <v>589.20542994306595</v>
      </c>
      <c r="M20" s="1">
        <v>45728</v>
      </c>
      <c r="N20" s="3">
        <v>17648.45</v>
      </c>
      <c r="P20">
        <v>15</v>
      </c>
      <c r="Q20" s="10">
        <f>(B73-B77)/B77</f>
        <v>-2.0065690705528026E-2</v>
      </c>
      <c r="R20">
        <f>(E72-E76)/E76</f>
        <v>-3.9062647318852334E-3</v>
      </c>
      <c r="S20">
        <f>(H70-H74)/H74</f>
        <v>-3.3321978891078498E-2</v>
      </c>
      <c r="T20" s="10">
        <f>(K75-K79)/K79</f>
        <v>-3.3946092484220564E-2</v>
      </c>
      <c r="U20" s="10">
        <f>(N73-N77)/N77</f>
        <v>-2.9805554119430807E-2</v>
      </c>
    </row>
    <row r="21" spans="1:21" x14ac:dyDescent="0.3">
      <c r="A21" s="1">
        <v>45727</v>
      </c>
      <c r="B21" s="2">
        <v>41433.481899999999</v>
      </c>
      <c r="D21" s="1">
        <v>45727</v>
      </c>
      <c r="E21" s="3">
        <v>3060.6069185627598</v>
      </c>
      <c r="G21" s="5">
        <v>45726</v>
      </c>
      <c r="H21" s="3">
        <v>251.44825478744201</v>
      </c>
      <c r="J21" s="1">
        <v>45727</v>
      </c>
      <c r="K21" s="3">
        <v>586.17564852825899</v>
      </c>
      <c r="M21" s="1">
        <v>45727</v>
      </c>
      <c r="N21" s="3">
        <v>17436.095000000001</v>
      </c>
      <c r="P21">
        <v>16</v>
      </c>
      <c r="Q21" s="10">
        <f>(B78-B82)/B82</f>
        <v>-1.292450020690084E-2</v>
      </c>
      <c r="R21">
        <f>(E77-E81)/E81</f>
        <v>-2.1806593077391797E-2</v>
      </c>
      <c r="S21">
        <f>(H75-H79)/H79</f>
        <v>-8.1579695515337208E-3</v>
      </c>
      <c r="T21" s="10">
        <f>(K80-K84)/K84</f>
        <v>-1.3844660098635341E-2</v>
      </c>
      <c r="U21" s="10">
        <f>(N78-N82)/N82</f>
        <v>9.6284635366923055E-3</v>
      </c>
    </row>
    <row r="22" spans="1:21" x14ac:dyDescent="0.3">
      <c r="A22" s="5">
        <v>45726</v>
      </c>
      <c r="B22" s="2">
        <v>41911.709199999998</v>
      </c>
      <c r="D22" s="5">
        <v>45726</v>
      </c>
      <c r="E22" s="3">
        <v>3061.5686627876999</v>
      </c>
      <c r="G22" s="4">
        <v>45723</v>
      </c>
      <c r="H22" s="3">
        <v>249.187124231589</v>
      </c>
      <c r="J22" s="5">
        <v>45726</v>
      </c>
      <c r="K22" s="3">
        <v>591.64419025336099</v>
      </c>
      <c r="M22" s="5">
        <v>45726</v>
      </c>
      <c r="N22" s="3">
        <v>17468.321</v>
      </c>
      <c r="P22">
        <v>17</v>
      </c>
      <c r="Q22" s="10">
        <f>(B83-B87)/B87</f>
        <v>-3.1144815916678394E-3</v>
      </c>
      <c r="R22">
        <f>(E82-E86)/E86</f>
        <v>1.6454435805591184E-2</v>
      </c>
      <c r="S22">
        <f>(H80-H84)/H84</f>
        <v>1.2035033785993401E-2</v>
      </c>
      <c r="T22" s="10">
        <f>(K85-K89)/K89</f>
        <v>2.0210314859636005E-2</v>
      </c>
      <c r="U22" s="10">
        <f>(N83-N87)/N87</f>
        <v>2.3491404945014331E-2</v>
      </c>
    </row>
    <row r="23" spans="1:21" x14ac:dyDescent="0.3">
      <c r="A23" s="4">
        <v>45723</v>
      </c>
      <c r="B23" s="2">
        <v>42801.716099999998</v>
      </c>
      <c r="D23" s="4">
        <v>45723</v>
      </c>
      <c r="E23" s="3">
        <v>3118.5312930335499</v>
      </c>
      <c r="G23" s="1">
        <v>45722</v>
      </c>
      <c r="H23" s="3">
        <v>254.849138222362</v>
      </c>
      <c r="J23" s="4">
        <v>45723</v>
      </c>
      <c r="K23" s="3">
        <v>599.38907483833304</v>
      </c>
      <c r="M23" s="4">
        <v>45723</v>
      </c>
      <c r="N23" s="3">
        <v>18196.221000000001</v>
      </c>
      <c r="P23">
        <v>18</v>
      </c>
      <c r="Q23" s="10">
        <f>(B88-B91)/B91</f>
        <v>3.8912169792687606E-3</v>
      </c>
      <c r="R23">
        <f>(E87-E91)/E91</f>
        <v>1.4287429119464991E-2</v>
      </c>
      <c r="S23">
        <f>(H85-H89)/H89</f>
        <v>1.4590939411742247E-2</v>
      </c>
      <c r="T23" s="10">
        <f>(K90-K94)/K94</f>
        <v>1.0631290075803192E-2</v>
      </c>
      <c r="U23" s="10">
        <f>(N88-N91)/N91</f>
        <v>8.5716302450271516E-3</v>
      </c>
    </row>
    <row r="24" spans="1:21" x14ac:dyDescent="0.3">
      <c r="A24" s="1">
        <v>45722</v>
      </c>
      <c r="B24" s="2">
        <v>42579.076099999998</v>
      </c>
      <c r="D24" s="1">
        <v>45722</v>
      </c>
      <c r="E24" s="3">
        <v>3135.61805993387</v>
      </c>
      <c r="G24" s="1">
        <v>45721</v>
      </c>
      <c r="H24" s="3">
        <v>251.33154218161999</v>
      </c>
      <c r="J24" s="1">
        <v>45722</v>
      </c>
      <c r="K24" s="3">
        <v>599.42419047002602</v>
      </c>
      <c r="M24" s="1">
        <v>45722</v>
      </c>
      <c r="N24" s="3">
        <v>18069.255000000001</v>
      </c>
      <c r="P24">
        <v>19</v>
      </c>
      <c r="Q24" s="10">
        <f>(B92-B96)/B96</f>
        <v>2.0901569052815486E-2</v>
      </c>
      <c r="R24">
        <f>(E92-E96)/E96</f>
        <v>-1.7769941185386579E-2</v>
      </c>
      <c r="S24">
        <f>(H90-H94)/H94</f>
        <v>1.065735512993566E-3</v>
      </c>
      <c r="T24" s="10">
        <f>(K95-K99)/K99</f>
        <v>-6.1630096680752398E-3</v>
      </c>
      <c r="U24" s="10">
        <f>(N92-N96)/N96</f>
        <v>1.1273264528167286E-2</v>
      </c>
    </row>
    <row r="25" spans="1:21" x14ac:dyDescent="0.3">
      <c r="A25" s="1">
        <v>45721</v>
      </c>
      <c r="B25" s="2">
        <v>43006.5916</v>
      </c>
      <c r="D25" s="1">
        <v>45721</v>
      </c>
      <c r="E25" s="3">
        <v>3036.3043226479099</v>
      </c>
      <c r="G25" s="1">
        <v>45720</v>
      </c>
      <c r="H25" s="3">
        <v>249.20680907877301</v>
      </c>
      <c r="J25" s="1">
        <v>45721</v>
      </c>
      <c r="K25" s="3">
        <v>600.02373810397296</v>
      </c>
      <c r="M25" s="1">
        <v>45721</v>
      </c>
      <c r="N25" s="3">
        <v>18552.734</v>
      </c>
      <c r="P25">
        <v>20</v>
      </c>
      <c r="Q25" s="10">
        <f>(B97-B101)/B101</f>
        <v>-1.91484893308678E-2</v>
      </c>
      <c r="R25">
        <f>(E97-E101)/E101</f>
        <v>-5.0144371651233435E-2</v>
      </c>
      <c r="S25">
        <f>(H95-H99)/H99</f>
        <v>-2.6512986580963835E-2</v>
      </c>
      <c r="T25" s="10">
        <f>(K100-K104)/K104</f>
        <v>-2.8476476908778876E-2</v>
      </c>
      <c r="U25" s="10">
        <f>(N97-N101)/N101</f>
        <v>-3.2056044213818254E-2</v>
      </c>
    </row>
    <row r="26" spans="1:21" x14ac:dyDescent="0.3">
      <c r="A26" s="1">
        <v>45720</v>
      </c>
      <c r="B26" s="2">
        <v>42520.987999999998</v>
      </c>
      <c r="D26" s="1">
        <v>45720</v>
      </c>
      <c r="E26" s="3">
        <v>2952.0768458707598</v>
      </c>
      <c r="G26" s="5">
        <v>45719</v>
      </c>
      <c r="H26" s="3">
        <v>252.74561872908399</v>
      </c>
      <c r="J26" s="1">
        <v>45720</v>
      </c>
      <c r="K26" s="3">
        <v>585.45369553900605</v>
      </c>
      <c r="M26" s="1">
        <v>45720</v>
      </c>
      <c r="N26" s="3">
        <v>18285.163</v>
      </c>
      <c r="P26">
        <v>21</v>
      </c>
      <c r="Q26" s="10">
        <f>(B102-B106)/B106</f>
        <v>5.2504173655658327E-2</v>
      </c>
      <c r="R26">
        <f>(E102-E106)/E106</f>
        <v>7.500718421701723E-3</v>
      </c>
      <c r="S26">
        <f>(H100-H103)/H103</f>
        <v>1.9724751696445598E-2</v>
      </c>
      <c r="T26" s="10">
        <f>(K105-K109)/K109</f>
        <v>-1.9611950727161844E-2</v>
      </c>
      <c r="U26" s="10">
        <f>(N102-N106)/N106</f>
        <v>6.0879756549840632E-2</v>
      </c>
    </row>
    <row r="27" spans="1:21" x14ac:dyDescent="0.3">
      <c r="A27" s="5">
        <v>45719</v>
      </c>
      <c r="B27" s="2">
        <v>43191.243999999999</v>
      </c>
      <c r="D27" s="5">
        <v>45719</v>
      </c>
      <c r="E27" s="3">
        <v>2958.3209031992701</v>
      </c>
      <c r="G27" s="4">
        <v>45716</v>
      </c>
      <c r="H27" s="3">
        <v>246.71646746348401</v>
      </c>
      <c r="J27" s="5">
        <v>45719</v>
      </c>
      <c r="K27" s="3">
        <v>590.49965920410898</v>
      </c>
      <c r="M27" s="5">
        <v>45719</v>
      </c>
      <c r="N27" s="3">
        <v>18350.190999999999</v>
      </c>
      <c r="P27">
        <v>22</v>
      </c>
      <c r="Q27" s="10">
        <f>(B107-B111)/B111</f>
        <v>-7.912178512985318E-3</v>
      </c>
      <c r="R27">
        <f>(E107-E111)/E111</f>
        <v>-5.2153373805461653E-3</v>
      </c>
      <c r="S27">
        <f>(H104-H108)/H108</f>
        <v>-1.2361835361627382E-2</v>
      </c>
      <c r="T27" s="10">
        <f>(K110-K114)/K114</f>
        <v>-1.7294179537076876E-2</v>
      </c>
      <c r="U27" s="10">
        <f>(N107-N111)/N111</f>
        <v>-1.762636228887406E-2</v>
      </c>
    </row>
    <row r="28" spans="1:21" x14ac:dyDescent="0.3">
      <c r="A28" s="4">
        <v>45716</v>
      </c>
      <c r="B28" s="2">
        <v>43840.907800000001</v>
      </c>
      <c r="D28" s="4">
        <v>45716</v>
      </c>
      <c r="E28" s="3">
        <v>2949.4002545543299</v>
      </c>
      <c r="G28" s="1">
        <v>45715</v>
      </c>
      <c r="H28" s="3">
        <v>255.38164218958701</v>
      </c>
      <c r="J28" s="4">
        <v>45716</v>
      </c>
      <c r="K28" s="3">
        <v>578.08187911107495</v>
      </c>
      <c r="M28" s="4">
        <v>45716</v>
      </c>
      <c r="N28" s="3">
        <v>18847.278999999999</v>
      </c>
      <c r="P28">
        <v>23</v>
      </c>
      <c r="Q28" s="10">
        <f>(B112-B116)/B116</f>
        <v>-1.9034750203799151E-2</v>
      </c>
      <c r="R28">
        <f>(E112-E116)/E116</f>
        <v>5.8163445093589103E-3</v>
      </c>
      <c r="S28">
        <f>(H109-H113)/H113</f>
        <v>-3.610934922755616E-2</v>
      </c>
      <c r="T28" s="10">
        <f>(K115-K119)/K119</f>
        <v>-7.2256184501512839E-3</v>
      </c>
      <c r="U28" s="10">
        <f>(N112-N116)/N116</f>
        <v>-1.1542068084664083E-3</v>
      </c>
    </row>
    <row r="29" spans="1:21" x14ac:dyDescent="0.3">
      <c r="A29" s="1">
        <v>45715</v>
      </c>
      <c r="B29" s="2">
        <v>43239.497000000003</v>
      </c>
      <c r="D29" s="1">
        <v>45715</v>
      </c>
      <c r="E29" s="3">
        <v>3049.6425540669102</v>
      </c>
      <c r="G29" s="1">
        <v>45714</v>
      </c>
      <c r="H29" s="3">
        <v>255.85169036758501</v>
      </c>
      <c r="J29" s="1">
        <v>45715</v>
      </c>
      <c r="K29" s="3">
        <v>579.22480297768595</v>
      </c>
      <c r="M29" s="1">
        <v>45715</v>
      </c>
      <c r="N29" s="3">
        <v>18544.419000000002</v>
      </c>
      <c r="P29">
        <v>24</v>
      </c>
      <c r="Q29" s="10">
        <f>(B117-B121)/B121</f>
        <v>4.8922771935228709E-3</v>
      </c>
      <c r="R29">
        <f>(E117-E121)/E121</f>
        <v>-1.4464257304499567E-2</v>
      </c>
      <c r="S29">
        <f>(H114-H117)/H117</f>
        <v>-2.5427741850736461E-2</v>
      </c>
      <c r="T29" s="10">
        <f>(K120-K124)/K124</f>
        <v>-3.5077991640828517E-3</v>
      </c>
      <c r="U29" s="10">
        <f>(N117-N121)/N121</f>
        <v>-7.0973483037739798E-4</v>
      </c>
    </row>
    <row r="30" spans="1:21" x14ac:dyDescent="0.3">
      <c r="A30" s="1">
        <v>45714</v>
      </c>
      <c r="B30" s="2">
        <v>43433.123699999996</v>
      </c>
      <c r="D30" s="1">
        <v>45714</v>
      </c>
      <c r="E30" s="3">
        <v>3059.9737583452302</v>
      </c>
      <c r="G30" s="5">
        <v>45713</v>
      </c>
      <c r="H30" s="3">
        <v>256.59502080256999</v>
      </c>
      <c r="J30" s="1">
        <v>45714</v>
      </c>
      <c r="K30" s="3">
        <v>586.69923369639002</v>
      </c>
      <c r="M30" s="1">
        <v>45714</v>
      </c>
      <c r="N30" s="3">
        <v>19075.262999999999</v>
      </c>
      <c r="P30">
        <v>25</v>
      </c>
      <c r="Q30" s="10">
        <f>(B122-B126)/B126</f>
        <v>2.1681397912311402E-2</v>
      </c>
      <c r="R30">
        <f>(E122-E125)/E125</f>
        <v>-8.0477577369042083E-2</v>
      </c>
      <c r="S30">
        <f>(H118-H122)/H122</f>
        <v>5.2780269660512673E-4</v>
      </c>
      <c r="T30" s="10">
        <f>(K125-K129)/K129</f>
        <v>1.4167170336183352E-3</v>
      </c>
      <c r="U30" s="10">
        <f>(N122-N126)/N126</f>
        <v>2.3378444785243389E-2</v>
      </c>
    </row>
    <row r="31" spans="1:21" x14ac:dyDescent="0.3">
      <c r="A31" s="1">
        <v>45713</v>
      </c>
      <c r="B31" s="2">
        <v>43621.156799999997</v>
      </c>
      <c r="D31" s="1">
        <v>45713</v>
      </c>
      <c r="E31" s="3">
        <v>2963.0703525991398</v>
      </c>
      <c r="G31" s="4">
        <v>45709</v>
      </c>
      <c r="H31" s="3">
        <v>259.74238060150702</v>
      </c>
      <c r="J31" s="1">
        <v>45713</v>
      </c>
      <c r="K31" s="3">
        <v>582.63246425567695</v>
      </c>
      <c r="M31" s="1">
        <v>45713</v>
      </c>
      <c r="N31" s="3">
        <v>19026.385999999999</v>
      </c>
      <c r="P31">
        <v>26</v>
      </c>
      <c r="Q31" s="10">
        <f>(B127-B131)/B131</f>
        <v>5.3388425225270818E-4</v>
      </c>
      <c r="R31">
        <f>(E126-E129)/E129</f>
        <v>7.6759932693635249E-2</v>
      </c>
      <c r="S31">
        <f>(H123-H127)/H127</f>
        <v>-1.5990118065760874E-2</v>
      </c>
      <c r="T31" s="10">
        <f>(K130-K134)/K134</f>
        <v>-2.2355326290571503E-2</v>
      </c>
      <c r="U31" s="10">
        <f>(N127-N131)/N131</f>
        <v>-2.8215141207652639E-3</v>
      </c>
    </row>
    <row r="32" spans="1:21" x14ac:dyDescent="0.3">
      <c r="A32" s="5">
        <v>45712</v>
      </c>
      <c r="B32" s="2">
        <v>43461.214999999997</v>
      </c>
      <c r="D32" s="5">
        <v>45712</v>
      </c>
      <c r="E32" s="3">
        <v>3002.17494758776</v>
      </c>
      <c r="G32" s="1">
        <v>45708</v>
      </c>
      <c r="H32" s="3">
        <v>258.49121165542499</v>
      </c>
      <c r="J32" s="5">
        <v>45712</v>
      </c>
      <c r="K32" s="3">
        <v>579.18092666436405</v>
      </c>
      <c r="M32" s="5">
        <v>45712</v>
      </c>
      <c r="N32" s="3">
        <v>19286.924999999999</v>
      </c>
      <c r="P32">
        <v>27</v>
      </c>
      <c r="Q32" s="10">
        <f>(B132-B136)/B136</f>
        <v>4.4712606659129709E-3</v>
      </c>
      <c r="R32" s="12">
        <f>(E130-E134)/E134</f>
        <v>0.13270917268493221</v>
      </c>
      <c r="S32">
        <f>(H128-H131)/H131</f>
        <v>5.7318227219614465E-2</v>
      </c>
      <c r="T32" s="10">
        <f>(K135-K139)/K139</f>
        <v>2.7469046282968326E-2</v>
      </c>
      <c r="U32" s="10">
        <f>(N132-N136)/N136</f>
        <v>8.0848902347633433E-3</v>
      </c>
    </row>
    <row r="33" spans="1:21" x14ac:dyDescent="0.3">
      <c r="A33" s="4">
        <v>45709</v>
      </c>
      <c r="B33" s="2">
        <v>43428.021800000002</v>
      </c>
      <c r="D33" s="4">
        <v>45709</v>
      </c>
      <c r="E33" s="3">
        <v>3021.80577900766</v>
      </c>
      <c r="G33" s="1">
        <v>45707</v>
      </c>
      <c r="H33" s="3">
        <v>258.56347791641502</v>
      </c>
      <c r="J33" s="4">
        <v>45709</v>
      </c>
      <c r="K33" s="3">
        <v>579.21377103355803</v>
      </c>
      <c r="M33" s="4">
        <v>45709</v>
      </c>
      <c r="N33" s="3">
        <v>19524.005000000001</v>
      </c>
      <c r="P33">
        <v>28</v>
      </c>
      <c r="Q33" s="10">
        <f>(B137-B141)/B141</f>
        <v>1.0602060787551501E-2</v>
      </c>
      <c r="R33">
        <f>(E135-E138)/E138</f>
        <v>4.8400959900999317E-2</v>
      </c>
      <c r="S33">
        <f>(H132-H135)/H135</f>
        <v>3.1070868775782728E-2</v>
      </c>
      <c r="T33" s="10">
        <f>(K140-K144)/K144</f>
        <v>1.0354604772441285E-3</v>
      </c>
      <c r="U33" s="10">
        <f>(N137-N141)/N141</f>
        <v>2.0247352693622524E-2</v>
      </c>
    </row>
    <row r="34" spans="1:21" x14ac:dyDescent="0.3">
      <c r="A34" s="1">
        <v>45708</v>
      </c>
      <c r="B34" s="2">
        <v>44176.650399999999</v>
      </c>
      <c r="D34" s="1">
        <v>45708</v>
      </c>
      <c r="E34" s="3">
        <v>2903.3061996064998</v>
      </c>
      <c r="G34" s="1">
        <v>45706</v>
      </c>
      <c r="H34" s="3">
        <v>258.27293653402899</v>
      </c>
      <c r="J34" s="1">
        <v>45708</v>
      </c>
      <c r="K34" s="3">
        <v>578.56107856107803</v>
      </c>
      <c r="M34" s="1">
        <v>45708</v>
      </c>
      <c r="N34" s="3">
        <v>19962.362000000001</v>
      </c>
      <c r="P34">
        <v>29</v>
      </c>
      <c r="Q34" s="10">
        <f>(B142-B146)/B146</f>
        <v>1.3818337042514423E-2</v>
      </c>
      <c r="R34">
        <f>(E139-E143)/E143</f>
        <v>9.7244053173171727E-3</v>
      </c>
      <c r="S34">
        <f>(H136-H140)/H140</f>
        <v>2.6963001738438162E-2</v>
      </c>
      <c r="T34" s="10">
        <f>(K145-K149)/K149</f>
        <v>1.4129332999303345E-2</v>
      </c>
      <c r="U34" s="10">
        <f>(N142-N146)/N146</f>
        <v>4.7343310352040827E-2</v>
      </c>
    </row>
    <row r="35" spans="1:21" x14ac:dyDescent="0.3">
      <c r="A35" s="1">
        <v>45707</v>
      </c>
      <c r="B35" s="2">
        <v>44627.585599999999</v>
      </c>
      <c r="D35" s="1">
        <v>45707</v>
      </c>
      <c r="E35" s="3">
        <v>2950.2687411598399</v>
      </c>
      <c r="G35" s="5">
        <v>45705</v>
      </c>
      <c r="H35" s="3">
        <v>258.57590759077499</v>
      </c>
      <c r="J35" s="1">
        <v>45707</v>
      </c>
      <c r="K35" s="3">
        <v>575.34389328886698</v>
      </c>
      <c r="M35" s="1">
        <v>45707</v>
      </c>
      <c r="N35" s="3">
        <v>20056.253000000001</v>
      </c>
      <c r="P35">
        <v>30</v>
      </c>
      <c r="Q35" s="10">
        <f>(B147-B150)/B150</f>
        <v>-1.44497043019923E-2</v>
      </c>
      <c r="R35">
        <f>(E144-E147)/E147</f>
        <v>-1.360678214300199E-2</v>
      </c>
      <c r="S35">
        <f>(H141-H145)/H145</f>
        <v>-2.9071308276297631E-2</v>
      </c>
      <c r="T35" s="10">
        <f>(K150-K154)/K154</f>
        <v>-3.3965417511645495E-2</v>
      </c>
      <c r="U35" s="10">
        <f>(N147-N150)/N150</f>
        <v>-2.5995462964054451E-2</v>
      </c>
    </row>
    <row r="36" spans="1:21" x14ac:dyDescent="0.3">
      <c r="A36" s="5">
        <v>45706</v>
      </c>
      <c r="B36" s="2">
        <v>44556.3433</v>
      </c>
      <c r="D36" s="1">
        <v>45706</v>
      </c>
      <c r="E36" s="3">
        <v>2955.4067785709599</v>
      </c>
      <c r="G36" s="4">
        <v>45702</v>
      </c>
      <c r="H36" s="3">
        <v>257.00407011094302</v>
      </c>
      <c r="J36" s="1">
        <v>45706</v>
      </c>
      <c r="K36" s="3">
        <v>581.961562565279</v>
      </c>
      <c r="M36" s="5">
        <v>45706</v>
      </c>
      <c r="N36" s="3">
        <v>20041.260999999999</v>
      </c>
      <c r="P36">
        <v>31</v>
      </c>
      <c r="Q36" s="10">
        <f>(B151-B155)/B155</f>
        <v>7.8216092724562522E-3</v>
      </c>
      <c r="R36">
        <f>(E148-E152)/E152</f>
        <v>1.0512551991798468E-2</v>
      </c>
      <c r="S36">
        <f>(H146-H150)/H150</f>
        <v>2.72577335195541E-3</v>
      </c>
      <c r="T36" s="10">
        <f>(K155-K159)/K159</f>
        <v>3.1668204860947013E-3</v>
      </c>
      <c r="U36" s="10">
        <f>(N151-N155)/N155</f>
        <v>-6.849351776918865E-4</v>
      </c>
    </row>
    <row r="37" spans="1:21" x14ac:dyDescent="0.3">
      <c r="A37" s="4">
        <v>45702</v>
      </c>
      <c r="B37" s="2">
        <v>44546.078000000001</v>
      </c>
      <c r="D37" s="5">
        <v>45705</v>
      </c>
      <c r="E37" s="3">
        <v>2906.8957096218601</v>
      </c>
      <c r="G37" s="1">
        <v>45701</v>
      </c>
      <c r="H37" s="3">
        <v>258.27259637409003</v>
      </c>
      <c r="J37" s="5">
        <v>45705</v>
      </c>
      <c r="K37" s="3">
        <v>582.18905264040598</v>
      </c>
      <c r="M37" s="4">
        <v>45702</v>
      </c>
      <c r="N37" s="3">
        <v>20026.773000000001</v>
      </c>
      <c r="P37">
        <v>32</v>
      </c>
      <c r="Q37" s="10">
        <f>(B156-B160)/B160</f>
        <v>6.8111130480315524E-3</v>
      </c>
      <c r="R37">
        <f>(E153-E157)/E157</f>
        <v>1.5076642745199655E-3</v>
      </c>
      <c r="S37">
        <f>(H151-H155)/H155</f>
        <v>4.1731110870954304E-2</v>
      </c>
      <c r="T37" s="10">
        <f>(K160-K164)/K164</f>
        <v>1.6411074491610597E-2</v>
      </c>
      <c r="U37" s="10">
        <f>(N156-N160)/N160</f>
        <v>5.7225099544042248E-5</v>
      </c>
    </row>
    <row r="38" spans="1:21" x14ac:dyDescent="0.3">
      <c r="A38" s="1">
        <v>45701</v>
      </c>
      <c r="B38" s="2">
        <v>44711.429100000001</v>
      </c>
      <c r="D38" s="4">
        <v>45702</v>
      </c>
      <c r="E38" s="3">
        <v>2905.9286760360601</v>
      </c>
      <c r="G38" s="1">
        <v>45700</v>
      </c>
      <c r="H38" s="3">
        <v>252.33922673402799</v>
      </c>
      <c r="J38" s="4">
        <v>45702</v>
      </c>
      <c r="K38" s="3">
        <v>579.53210239194004</v>
      </c>
      <c r="M38" s="1">
        <v>45701</v>
      </c>
      <c r="N38" s="3">
        <v>19945.644</v>
      </c>
      <c r="P38">
        <v>33</v>
      </c>
      <c r="Q38" s="10">
        <f>(B161-B165)/B165</f>
        <v>3.3100866414602616E-2</v>
      </c>
      <c r="R38">
        <f>(E158-E162)/E162</f>
        <v>1.8156230092839249E-2</v>
      </c>
      <c r="S38">
        <f>(H156-H159)/H159</f>
        <v>4.5101672289550136E-2</v>
      </c>
      <c r="T38" s="10">
        <f>(K165-K169)/K169</f>
        <v>3.3883208156886717E-2</v>
      </c>
      <c r="U38" s="10">
        <f>(N161-N165)/N165</f>
        <v>5.071991129761743E-2</v>
      </c>
    </row>
    <row r="39" spans="1:21" x14ac:dyDescent="0.3">
      <c r="A39" s="1">
        <v>45700</v>
      </c>
      <c r="B39" s="2">
        <v>44368.556100000002</v>
      </c>
      <c r="D39" s="1">
        <v>45701</v>
      </c>
      <c r="E39" s="3">
        <v>2800.9514393569798</v>
      </c>
      <c r="G39" s="5">
        <v>45698</v>
      </c>
      <c r="H39" s="3">
        <v>255.287650503321</v>
      </c>
      <c r="J39" s="1">
        <v>45701</v>
      </c>
      <c r="K39" s="3">
        <v>579.44247954293701</v>
      </c>
      <c r="M39" s="1">
        <v>45700</v>
      </c>
      <c r="N39" s="3">
        <v>19649.951000000001</v>
      </c>
      <c r="P39">
        <v>34</v>
      </c>
      <c r="Q39" s="10">
        <f>(B166-B170)/B170</f>
        <v>2.0521890507369519E-2</v>
      </c>
      <c r="R39">
        <f>(E163-E167)/E167</f>
        <v>2.2286271314566813E-2</v>
      </c>
      <c r="S39">
        <f>(H160-H164)/H164</f>
        <v>9.4844755296781297E-2</v>
      </c>
      <c r="T39" s="10">
        <f>(K170-K174)/K174</f>
        <v>2.1557970916433775E-2</v>
      </c>
      <c r="U39" s="10">
        <f>(N166-N170)/N170</f>
        <v>3.3655385201136596E-2</v>
      </c>
    </row>
    <row r="40" spans="1:21" x14ac:dyDescent="0.3">
      <c r="A40" s="1">
        <v>45699</v>
      </c>
      <c r="B40" s="2">
        <v>44593.654900000001</v>
      </c>
      <c r="D40" s="1">
        <v>45700</v>
      </c>
      <c r="E40" s="3">
        <v>2806.0027985673501</v>
      </c>
      <c r="G40" s="4">
        <v>45695</v>
      </c>
      <c r="H40" s="3">
        <v>256.18903566709002</v>
      </c>
      <c r="J40" s="1">
        <v>45700</v>
      </c>
      <c r="K40" s="3">
        <v>568.70256745673396</v>
      </c>
      <c r="M40" s="1">
        <v>45699</v>
      </c>
      <c r="N40" s="3">
        <v>19643.856</v>
      </c>
      <c r="P40">
        <v>35</v>
      </c>
      <c r="Q40" s="10">
        <f>(B171-B175)/B175</f>
        <v>-1.9799573525697264E-2</v>
      </c>
      <c r="R40">
        <f>(E168-E172)/E172</f>
        <v>-1.6533796591959034E-2</v>
      </c>
      <c r="S40">
        <f>(H165-H169)/H169</f>
        <v>-1.8934981015984453E-2</v>
      </c>
      <c r="T40" s="10">
        <f>(K175-K179)/K179</f>
        <v>-1.9237137032533744E-2</v>
      </c>
      <c r="U40" s="11">
        <f>(N171-N175)/N175</f>
        <v>-3.4198625565703022E-2</v>
      </c>
    </row>
    <row r="41" spans="1:21" x14ac:dyDescent="0.3">
      <c r="A41" s="5">
        <v>45698</v>
      </c>
      <c r="B41" s="2">
        <v>44470.409899999999</v>
      </c>
      <c r="D41" s="1">
        <v>45699</v>
      </c>
      <c r="E41" s="3">
        <v>2733.01846837019</v>
      </c>
      <c r="G41" s="1">
        <v>45694</v>
      </c>
      <c r="H41" s="3">
        <v>257.96704965661598</v>
      </c>
      <c r="J41" s="1">
        <v>45699</v>
      </c>
      <c r="K41" s="3">
        <v>566.87904687904904</v>
      </c>
      <c r="M41" s="5">
        <v>45698</v>
      </c>
      <c r="N41" s="3">
        <v>19714.27</v>
      </c>
      <c r="P41">
        <v>36</v>
      </c>
      <c r="Q41" s="10">
        <f>(B176-B180)/B180</f>
        <v>4.3027442093981558E-3</v>
      </c>
      <c r="R41">
        <f>(E173-E177)/E177</f>
        <v>-3.478589176443378E-2</v>
      </c>
      <c r="S41">
        <f>(H170-H174)/H174</f>
        <v>-2.8482076861574477E-2</v>
      </c>
      <c r="T41" s="10">
        <f>(K180-K184)/K184</f>
        <v>-6.7276219192081935E-3</v>
      </c>
      <c r="U41" s="10">
        <f>(N176-N180)/N180</f>
        <v>-3.6078497662760341E-2</v>
      </c>
    </row>
    <row r="42" spans="1:21" x14ac:dyDescent="0.3">
      <c r="A42" s="4">
        <v>45695</v>
      </c>
      <c r="B42" s="2">
        <v>44303.399100000002</v>
      </c>
      <c r="D42" s="5">
        <v>45698</v>
      </c>
      <c r="E42" s="3">
        <v>2763.2668258737099</v>
      </c>
      <c r="G42" s="1">
        <v>45693</v>
      </c>
      <c r="H42" s="3">
        <v>254.46579292266</v>
      </c>
      <c r="J42" s="5">
        <v>45698</v>
      </c>
      <c r="K42" s="3">
        <v>562.62431594026896</v>
      </c>
      <c r="M42" s="4">
        <v>45695</v>
      </c>
      <c r="N42" s="3">
        <v>19523.401999999998</v>
      </c>
      <c r="P42">
        <v>37</v>
      </c>
      <c r="Q42" s="10">
        <f>(B181-B185)/B185</f>
        <v>1.8853509927370038E-3</v>
      </c>
      <c r="R42">
        <f>(E178-E182)/E182</f>
        <v>-3.3665273536850067E-2</v>
      </c>
      <c r="S42">
        <f>(H175-H178)/H178</f>
        <v>-2.4107984567969656E-2</v>
      </c>
      <c r="T42" s="10">
        <f>(K185-K189)/K189</f>
        <v>-1.8301056936669627E-2</v>
      </c>
      <c r="U42" s="10">
        <f>(N181-N185)/N185</f>
        <v>-4.0363964594848395E-2</v>
      </c>
    </row>
    <row r="43" spans="1:21" x14ac:dyDescent="0.3">
      <c r="A43" s="1">
        <v>45694</v>
      </c>
      <c r="B43" s="2">
        <v>44747.6342</v>
      </c>
      <c r="D43" s="4">
        <v>45695</v>
      </c>
      <c r="E43" s="3">
        <v>2712.6973532205402</v>
      </c>
      <c r="G43" s="1">
        <v>45692</v>
      </c>
      <c r="H43" s="3">
        <v>251.39875591264899</v>
      </c>
      <c r="J43" s="4">
        <v>45695</v>
      </c>
      <c r="K43" s="3">
        <v>560.49528058326803</v>
      </c>
      <c r="M43" s="1">
        <v>45694</v>
      </c>
      <c r="N43" s="3">
        <v>19791.991000000002</v>
      </c>
      <c r="P43">
        <v>38</v>
      </c>
      <c r="Q43" s="10">
        <f>(B186-B190)/B190</f>
        <v>1.6675795066522236E-2</v>
      </c>
      <c r="R43">
        <f>(E183-E187)/E187</f>
        <v>4.4208314631167638E-2</v>
      </c>
      <c r="S43">
        <f>(H179-H183)/H183</f>
        <v>2.8733097488393901E-2</v>
      </c>
      <c r="T43" s="10">
        <f>(K190-K194)/K194</f>
        <v>2.2682236971490931E-2</v>
      </c>
      <c r="U43" s="10">
        <f>(N186-N190)/N190</f>
        <v>-2.8760461597537867E-4</v>
      </c>
    </row>
    <row r="44" spans="1:21" x14ac:dyDescent="0.3">
      <c r="A44" s="1">
        <v>45693</v>
      </c>
      <c r="B44" s="2">
        <v>44873.2765</v>
      </c>
      <c r="D44" s="1">
        <v>45694</v>
      </c>
      <c r="E44" s="3">
        <v>2683.1254896420601</v>
      </c>
      <c r="G44" s="5">
        <v>45691</v>
      </c>
      <c r="H44" s="3">
        <v>248.91819063003001</v>
      </c>
      <c r="J44" s="1">
        <v>45694</v>
      </c>
      <c r="K44" s="3">
        <v>565.59742551645604</v>
      </c>
      <c r="M44" s="1">
        <v>45693</v>
      </c>
      <c r="N44" s="3">
        <v>19692.330000000002</v>
      </c>
      <c r="P44">
        <v>39</v>
      </c>
      <c r="Q44" s="10">
        <f>(B191-B194)/B194</f>
        <v>5.2681554975974416E-3</v>
      </c>
      <c r="R44">
        <f>(E188-E191)/E191</f>
        <v>1.7788771272676527E-3</v>
      </c>
      <c r="S44">
        <f>(H184-H188)/H188</f>
        <v>3.7019864445061862E-2</v>
      </c>
      <c r="T44" s="10">
        <f>(K195-K199)/K199</f>
        <v>1.6126250806395119E-2</v>
      </c>
      <c r="U44" s="10">
        <f>(N191-N194)/N194</f>
        <v>2.6480846565581369E-2</v>
      </c>
    </row>
    <row r="45" spans="1:21" x14ac:dyDescent="0.3">
      <c r="A45" s="1">
        <v>45692</v>
      </c>
      <c r="B45" s="2">
        <v>44556.035900000003</v>
      </c>
      <c r="D45" s="1">
        <v>45693</v>
      </c>
      <c r="E45" s="3">
        <v>2645.2648207130401</v>
      </c>
      <c r="G45" s="4">
        <v>45688</v>
      </c>
      <c r="H45" s="3">
        <v>255.01024616573099</v>
      </c>
      <c r="J45" s="1">
        <v>45693</v>
      </c>
      <c r="K45" s="3">
        <v>560.21220159151096</v>
      </c>
      <c r="M45" s="1">
        <v>45692</v>
      </c>
      <c r="N45" s="3">
        <v>19654.014999999999</v>
      </c>
      <c r="P45">
        <v>40</v>
      </c>
      <c r="Q45" s="10">
        <f>(B195-B199)/B199</f>
        <v>-7.4178663978287573E-3</v>
      </c>
      <c r="R45">
        <f>(E192-E196)/E196</f>
        <v>-1.720876609371334E-2</v>
      </c>
      <c r="S45">
        <f>(H189-H193)/H193</f>
        <v>1.2195555968601448E-2</v>
      </c>
      <c r="T45" s="10">
        <f>(K200-K204)/K204</f>
        <v>-1.6110939762535161E-2</v>
      </c>
      <c r="U45" s="10">
        <f>(N195-N199)/N199</f>
        <v>1.3475936794675287E-2</v>
      </c>
    </row>
    <row r="46" spans="1:21" x14ac:dyDescent="0.3">
      <c r="A46" s="5">
        <v>45691</v>
      </c>
      <c r="B46" s="2">
        <v>44421.911</v>
      </c>
      <c r="D46" s="1">
        <v>45692</v>
      </c>
      <c r="E46" s="3">
        <v>2669.8634886796999</v>
      </c>
      <c r="G46" s="1">
        <v>45687</v>
      </c>
      <c r="H46" s="3">
        <v>256.08535320802099</v>
      </c>
      <c r="J46" s="1">
        <v>45692</v>
      </c>
      <c r="K46" s="3">
        <v>556.24850830678304</v>
      </c>
      <c r="M46" s="5">
        <v>45691</v>
      </c>
      <c r="N46" s="3">
        <v>19391.955000000002</v>
      </c>
      <c r="P46">
        <v>41</v>
      </c>
      <c r="Q46" s="10">
        <f>(B200-B203)/B203</f>
        <v>9.5990625553922116E-3</v>
      </c>
      <c r="R46">
        <f>(E197-E201)/E201</f>
        <v>5.7182103995119908E-3</v>
      </c>
      <c r="S46">
        <f>(H194-H198)/H198</f>
        <v>-2.2002600774257458E-4</v>
      </c>
      <c r="T46" s="10">
        <f>(K205-K209)/K209</f>
        <v>3.0398796069170475E-3</v>
      </c>
      <c r="U46" s="10">
        <f>(N200-N203)/N203</f>
        <v>-9.3889685961039207E-3</v>
      </c>
    </row>
    <row r="47" spans="1:21" x14ac:dyDescent="0.3">
      <c r="A47" s="4">
        <v>45688</v>
      </c>
      <c r="B47" s="2">
        <v>44544.664199999999</v>
      </c>
      <c r="D47" s="5">
        <v>45691</v>
      </c>
      <c r="E47" s="3">
        <v>2594.3844880465099</v>
      </c>
      <c r="G47" s="1">
        <v>45686</v>
      </c>
      <c r="H47" s="3">
        <v>253.96121134020001</v>
      </c>
      <c r="J47" s="5">
        <v>45691</v>
      </c>
      <c r="K47" s="3">
        <v>553.25113267269205</v>
      </c>
      <c r="M47" s="4">
        <v>45688</v>
      </c>
      <c r="N47" s="3">
        <v>19627.440999999999</v>
      </c>
      <c r="P47">
        <v>42</v>
      </c>
      <c r="Q47" s="10">
        <f>(B204-B208)/B208</f>
        <v>-7.1750317619590108E-3</v>
      </c>
      <c r="R47">
        <f>(E202-E205)/E205</f>
        <v>-1.2715119779647639E-2</v>
      </c>
      <c r="S47">
        <f>(H199-H203)/H203</f>
        <v>-7.9390481221807262E-3</v>
      </c>
      <c r="T47" s="10">
        <f>(K210-K214)/K214</f>
        <v>-2.7005367608254002E-2</v>
      </c>
      <c r="U47" s="10">
        <f>(N204-N208)/N208</f>
        <v>2.8870272663201722E-2</v>
      </c>
    </row>
    <row r="48" spans="1:21" x14ac:dyDescent="0.3">
      <c r="A48" s="1">
        <v>45687</v>
      </c>
      <c r="B48" s="2">
        <v>44882.127999999997</v>
      </c>
      <c r="D48" s="4">
        <v>45685</v>
      </c>
      <c r="E48" s="3">
        <v>2596.2913992297799</v>
      </c>
      <c r="G48" s="1">
        <v>45685</v>
      </c>
      <c r="H48" s="3">
        <v>250.880079732496</v>
      </c>
      <c r="J48" s="4">
        <v>45688</v>
      </c>
      <c r="K48" s="3">
        <v>559.06368515946997</v>
      </c>
      <c r="M48" s="1">
        <v>45687</v>
      </c>
      <c r="N48" s="3">
        <v>19681.749</v>
      </c>
      <c r="P48">
        <v>43</v>
      </c>
      <c r="Q48" s="10">
        <f>(B209-B213)/B213</f>
        <v>5.9102654659777317E-3</v>
      </c>
      <c r="R48">
        <f>(E206-E210)/E210</f>
        <v>-9.7733374233961246E-4</v>
      </c>
      <c r="S48">
        <f>(H204-H208)/H208</f>
        <v>-9.9483443720814364E-3</v>
      </c>
      <c r="T48" s="10">
        <f>(K215-K219)/K219</f>
        <v>-2.3127656245390204E-3</v>
      </c>
      <c r="U48" s="10">
        <f>(N209-N213)/N213</f>
        <v>1.8091506934297362E-2</v>
      </c>
    </row>
    <row r="49" spans="1:21" x14ac:dyDescent="0.3">
      <c r="A49" s="1">
        <v>45686</v>
      </c>
      <c r="B49" s="2">
        <v>44713.519</v>
      </c>
      <c r="D49" s="5">
        <v>45684</v>
      </c>
      <c r="E49" s="3">
        <v>2593.4143115779302</v>
      </c>
      <c r="G49" s="5">
        <v>45684</v>
      </c>
      <c r="H49" s="3">
        <v>256.10589682178698</v>
      </c>
      <c r="J49" s="1">
        <v>45687</v>
      </c>
      <c r="K49" s="3">
        <v>559.85703301955596</v>
      </c>
      <c r="M49" s="1">
        <v>45686</v>
      </c>
      <c r="N49" s="3">
        <v>19632.323</v>
      </c>
      <c r="P49">
        <v>44</v>
      </c>
      <c r="Q49" s="10">
        <f>(B214-B217)/B217</f>
        <v>-4.2864101859246525E-3</v>
      </c>
      <c r="R49">
        <f>(E211-E215)/E215</f>
        <v>-4.1189453637441399E-2</v>
      </c>
      <c r="S49">
        <f>(H209-H213)/H213</f>
        <v>-1.3424626658221476E-2</v>
      </c>
      <c r="T49" s="10">
        <f>(K220-K224)/K224</f>
        <v>-9.2853849639579055E-3</v>
      </c>
      <c r="U49" s="10">
        <f>(N214-N217)/N217</f>
        <v>-1.6737192036606698E-2</v>
      </c>
    </row>
    <row r="50" spans="1:21" x14ac:dyDescent="0.3">
      <c r="A50" s="1">
        <v>45685</v>
      </c>
      <c r="B50" s="2">
        <v>44850.348599999998</v>
      </c>
      <c r="D50" s="4">
        <v>45681</v>
      </c>
      <c r="E50" s="3">
        <v>2576.9163595268901</v>
      </c>
      <c r="G50" s="4">
        <v>45681</v>
      </c>
      <c r="H50" s="3">
        <v>256.007052186164</v>
      </c>
      <c r="J50" s="1">
        <v>45686</v>
      </c>
      <c r="K50" s="3">
        <v>556.70060123581402</v>
      </c>
      <c r="M50" s="1">
        <v>45685</v>
      </c>
      <c r="N50" s="3">
        <v>19733.585999999999</v>
      </c>
      <c r="P50">
        <v>45</v>
      </c>
      <c r="Q50" s="10">
        <f>(B218-B222)/B222</f>
        <v>-1.8518826301662825E-2</v>
      </c>
      <c r="R50">
        <f>(E216-E220)/E220</f>
        <v>-5.401386184259116E-2</v>
      </c>
      <c r="S50">
        <f>(H214-H218)/H218</f>
        <v>-1.5566980196304141E-2</v>
      </c>
      <c r="T50" s="10">
        <f>(K225-K229)/K229</f>
        <v>-7.253195279402499E-3</v>
      </c>
      <c r="U50" s="10">
        <f>(N218-N222)/N222</f>
        <v>7.4975257331494054E-3</v>
      </c>
    </row>
    <row r="51" spans="1:21" x14ac:dyDescent="0.3">
      <c r="A51" s="5">
        <v>45684</v>
      </c>
      <c r="B51" s="2">
        <v>44713.580499999996</v>
      </c>
      <c r="D51" s="1">
        <v>45680</v>
      </c>
      <c r="E51" s="3">
        <v>2529.2148102500901</v>
      </c>
      <c r="G51" s="1">
        <v>45680</v>
      </c>
      <c r="H51" s="3">
        <v>256.06453059916799</v>
      </c>
      <c r="J51" s="1">
        <v>45685</v>
      </c>
      <c r="K51" s="3">
        <v>554.35054642529599</v>
      </c>
      <c r="M51" s="5">
        <v>45684</v>
      </c>
      <c r="N51" s="3">
        <v>19341.833999999999</v>
      </c>
      <c r="P51">
        <v>46</v>
      </c>
      <c r="Q51" s="10">
        <f>(B223-B227)/B227</f>
        <v>1.4508206246438638E-2</v>
      </c>
      <c r="R51">
        <f>(E221-E224)/E224</f>
        <v>2.4201310588594697E-2</v>
      </c>
      <c r="S51">
        <f>(H219-H223)/H223</f>
        <v>1.9512530555917323E-2</v>
      </c>
      <c r="T51" s="10">
        <f>(K230-K234)/K234</f>
        <v>1.163280786995248E-2</v>
      </c>
      <c r="U51" s="10">
        <f>(N223-N227)/N227</f>
        <v>1.8167175751291818E-2</v>
      </c>
    </row>
    <row r="52" spans="1:21" x14ac:dyDescent="0.3">
      <c r="A52" s="4">
        <v>45681</v>
      </c>
      <c r="B52" s="2">
        <v>44424.246800000001</v>
      </c>
      <c r="D52" s="1">
        <v>45679</v>
      </c>
      <c r="E52" s="3">
        <v>2539.5164603769699</v>
      </c>
      <c r="G52" s="1">
        <v>45679</v>
      </c>
      <c r="H52" s="3">
        <v>253.282118443743</v>
      </c>
      <c r="J52" s="5">
        <v>45684</v>
      </c>
      <c r="K52" s="3">
        <v>555.69660092320305</v>
      </c>
      <c r="M52" s="4">
        <v>45681</v>
      </c>
      <c r="N52" s="3">
        <v>19954.300999999999</v>
      </c>
      <c r="P52">
        <v>47</v>
      </c>
      <c r="Q52" s="10">
        <f>(B228-B232)/B232</f>
        <v>1.7002172588628774E-2</v>
      </c>
      <c r="R52">
        <f>(E225-E229)/E229</f>
        <v>2.1396773000979582E-2</v>
      </c>
      <c r="S52">
        <f>(H224-H227)/H227</f>
        <v>-2.2115406110261672E-2</v>
      </c>
      <c r="T52" s="10">
        <f>(K235-K239)/K239</f>
        <v>2.4773666231332769E-2</v>
      </c>
      <c r="U52" s="10">
        <f>(N228-N232)/N232</f>
        <v>-5.1231723544421792E-4</v>
      </c>
    </row>
    <row r="53" spans="1:21" x14ac:dyDescent="0.3">
      <c r="A53" s="1">
        <v>45680</v>
      </c>
      <c r="B53" s="2">
        <v>44565.071900000003</v>
      </c>
      <c r="D53" s="1">
        <v>45678</v>
      </c>
      <c r="E53" s="3">
        <v>2582.6964329295802</v>
      </c>
      <c r="G53" s="1">
        <v>45678</v>
      </c>
      <c r="H53" s="3">
        <v>250.98379421223501</v>
      </c>
      <c r="J53" s="4">
        <v>45681</v>
      </c>
      <c r="K53" s="3">
        <v>556.20028960567697</v>
      </c>
      <c r="M53" s="1">
        <v>45680</v>
      </c>
      <c r="N53" s="3">
        <v>20053.678</v>
      </c>
      <c r="P53">
        <v>48</v>
      </c>
      <c r="Q53" s="10">
        <f>(B233-B237)/B237</f>
        <v>7.5440840729725095E-3</v>
      </c>
      <c r="R53">
        <f>(E230-E233)/E233</f>
        <v>4.2957555935600925E-2</v>
      </c>
      <c r="S53">
        <f>(H228-H230)/H230</f>
        <v>2.260752327079725E-2</v>
      </c>
      <c r="T53" s="10">
        <f>(K240-K244)/K244</f>
        <v>-1.9116894132187011E-3</v>
      </c>
      <c r="U53" s="10">
        <f>(N233-N237)/N237</f>
        <v>1.0839209754512882E-2</v>
      </c>
    </row>
    <row r="54" spans="1:21" x14ac:dyDescent="0.3">
      <c r="A54" s="1">
        <v>45679</v>
      </c>
      <c r="B54" s="2">
        <v>44156.734600000003</v>
      </c>
      <c r="D54" s="5">
        <v>45677</v>
      </c>
      <c r="E54" s="3">
        <v>2561.0922598390798</v>
      </c>
      <c r="G54" s="5">
        <v>45677</v>
      </c>
      <c r="H54" s="3">
        <v>250.032135741384</v>
      </c>
      <c r="J54" s="1">
        <v>45680</v>
      </c>
      <c r="K54" s="3">
        <v>552.35119512576102</v>
      </c>
      <c r="M54" s="1">
        <v>45679</v>
      </c>
      <c r="N54" s="3">
        <v>20009.34</v>
      </c>
      <c r="P54">
        <v>49</v>
      </c>
      <c r="Q54" s="10">
        <f>(B238-B242)/B242</f>
        <v>-8.5904848783017815E-6</v>
      </c>
      <c r="R54">
        <f>(E234-E238)/E238</f>
        <v>6.9992500298477353E-2</v>
      </c>
      <c r="S54">
        <f>(H231-H235)/H235</f>
        <v>-9.0823237516945727E-3</v>
      </c>
      <c r="T54" s="10">
        <f>(K245-K249)/K249</f>
        <v>1.4888470845907605E-2</v>
      </c>
      <c r="U54" s="10">
        <f>(N238-N242)/N242</f>
        <v>3.08449674639132E-2</v>
      </c>
    </row>
    <row r="55" spans="1:21" x14ac:dyDescent="0.3">
      <c r="A55" s="5">
        <v>45678</v>
      </c>
      <c r="B55" s="2">
        <v>44025.805999999997</v>
      </c>
      <c r="D55" s="4">
        <v>45674</v>
      </c>
      <c r="E55" s="3">
        <v>2515.3238546603402</v>
      </c>
      <c r="G55" s="4">
        <v>45674</v>
      </c>
      <c r="H55" s="3">
        <v>246.01062060139401</v>
      </c>
      <c r="J55" s="1">
        <v>45679</v>
      </c>
      <c r="K55" s="3">
        <v>549.53220451872903</v>
      </c>
      <c r="M55" s="5">
        <v>45678</v>
      </c>
      <c r="N55" s="3">
        <v>19756.778999999999</v>
      </c>
      <c r="P55">
        <v>50</v>
      </c>
      <c r="Q55" s="10">
        <f>(B243-B247)/B247</f>
        <v>6.6592385888345875E-3</v>
      </c>
      <c r="R55">
        <f>(E239-E243)/E243</f>
        <v>-2.3105999794861429E-2</v>
      </c>
      <c r="S55">
        <f>(H236-H240)/H240</f>
        <v>-5.7369095228635356E-2</v>
      </c>
      <c r="T55" s="10">
        <f>(K250-K254)/K254</f>
        <v>-1.0148819644397681E-2</v>
      </c>
      <c r="U55" s="10">
        <f>(N243-N247)/N247</f>
        <v>-3.7960861110710661E-2</v>
      </c>
    </row>
    <row r="56" spans="1:21" x14ac:dyDescent="0.3">
      <c r="A56" s="4">
        <v>45674</v>
      </c>
      <c r="B56" s="2">
        <v>43487.830999999998</v>
      </c>
      <c r="D56" s="1">
        <v>45673</v>
      </c>
      <c r="E56" s="3">
        <v>2507.1131372800901</v>
      </c>
      <c r="G56" s="1">
        <v>45673</v>
      </c>
      <c r="H56" s="3">
        <v>248.662970603416</v>
      </c>
      <c r="J56" s="1">
        <v>45678</v>
      </c>
      <c r="K56" s="3">
        <v>548.54723317272499</v>
      </c>
      <c r="M56" s="4">
        <v>45674</v>
      </c>
      <c r="N56" s="3">
        <v>19630.199000000001</v>
      </c>
      <c r="P56">
        <v>51</v>
      </c>
      <c r="Q56" s="10">
        <f>(B248-B252)/B252</f>
        <v>-2.3386351640922023E-2</v>
      </c>
      <c r="R56">
        <f>(E244-E248)/E248</f>
        <v>-1.3937577539560985E-3</v>
      </c>
      <c r="S56">
        <f>(H241-H245)/H245</f>
        <v>-5.278400501631763E-3</v>
      </c>
      <c r="T56" s="10">
        <f>(K255-K259)/K259</f>
        <v>-2.697699680093579E-2</v>
      </c>
      <c r="U56" s="10">
        <f>(N248-N252)/N252</f>
        <v>-4.8518037609923733E-3</v>
      </c>
    </row>
    <row r="57" spans="1:21" x14ac:dyDescent="0.3">
      <c r="A57" s="1">
        <v>45673</v>
      </c>
      <c r="B57" s="2">
        <v>43153.133300000001</v>
      </c>
      <c r="D57" s="1">
        <v>45672</v>
      </c>
      <c r="E57" s="3">
        <v>2476.7963322074802</v>
      </c>
      <c r="G57" s="1">
        <v>45672</v>
      </c>
      <c r="H57" s="3">
        <v>245.699367290841</v>
      </c>
      <c r="J57" s="5">
        <v>45677</v>
      </c>
      <c r="K57" s="3">
        <v>545.55584483207701</v>
      </c>
      <c r="M57" s="1">
        <v>45673</v>
      </c>
      <c r="N57" s="3">
        <v>19338.29</v>
      </c>
      <c r="P57">
        <v>52</v>
      </c>
      <c r="Q57" s="10">
        <f>(B253-B257)/B257</f>
        <v>-1.6751568095076677E-2</v>
      </c>
      <c r="R57">
        <f>(E249-E251)/E251</f>
        <v>-1.2160215209337591E-2</v>
      </c>
      <c r="S57">
        <f>(H246-H250)/H250</f>
        <v>-2.0246324227948805E-2</v>
      </c>
      <c r="T57" s="10">
        <f>(K260-K263)/K263</f>
        <v>2.2334913324890378E-3</v>
      </c>
      <c r="U57" s="10">
        <f>(N253-N257)/N257</f>
        <v>-9.0451618946878337E-3</v>
      </c>
    </row>
    <row r="58" spans="1:21" x14ac:dyDescent="0.3">
      <c r="A58" s="1">
        <v>45672</v>
      </c>
      <c r="B58" s="2">
        <v>43221.5481</v>
      </c>
      <c r="D58" s="1">
        <v>45671</v>
      </c>
      <c r="E58" s="3">
        <v>2468.3147972157299</v>
      </c>
      <c r="G58" s="5">
        <v>45671</v>
      </c>
      <c r="H58" s="3">
        <v>243.56989111166101</v>
      </c>
      <c r="J58" s="4">
        <v>45674</v>
      </c>
      <c r="K58" s="3">
        <v>537.80735810686099</v>
      </c>
      <c r="M58" s="1">
        <v>45672</v>
      </c>
      <c r="N58" s="3">
        <v>19511.234</v>
      </c>
      <c r="P58">
        <v>53</v>
      </c>
      <c r="Q58" s="10">
        <f>(B258-B261)/B261</f>
        <v>1.2558839405580592E-2</v>
      </c>
      <c r="R58">
        <f>(E252-E255)/E255</f>
        <v>3.4857979003341342E-3</v>
      </c>
      <c r="S58">
        <f>(H251-H255)/H255</f>
        <v>-4.4539000081759116E-4</v>
      </c>
      <c r="T58" s="10">
        <f>(K264-K267)/K267</f>
        <v>9.6664517008919373E-4</v>
      </c>
      <c r="U58" s="10">
        <f>(N258-N261)/N261</f>
        <v>-3.0571638369438652E-4</v>
      </c>
    </row>
    <row r="59" spans="1:21" x14ac:dyDescent="0.3">
      <c r="A59" s="1">
        <v>45671</v>
      </c>
      <c r="B59" s="2">
        <v>42518.2834</v>
      </c>
      <c r="D59" s="5">
        <v>45670</v>
      </c>
      <c r="E59" s="3">
        <v>2424.1747797271901</v>
      </c>
      <c r="G59" s="4">
        <v>45667</v>
      </c>
      <c r="H59" s="3">
        <v>248.52812480183101</v>
      </c>
      <c r="J59" s="1">
        <v>45673</v>
      </c>
      <c r="K59" s="3">
        <v>535.54878174366104</v>
      </c>
      <c r="M59" s="1">
        <v>45671</v>
      </c>
      <c r="N59" s="3">
        <v>19044.393</v>
      </c>
      <c r="P59">
        <v>54</v>
      </c>
      <c r="Q59" s="10">
        <f>(B262-B266)/B266</f>
        <v>1.7671258865682663E-2</v>
      </c>
      <c r="R59">
        <f>(E256-E260)/E260</f>
        <v>-1.4501463818408559E-2</v>
      </c>
      <c r="S59">
        <f>(H256-H259)/H259</f>
        <v>1.3394775221370081E-2</v>
      </c>
      <c r="T59" s="10">
        <f>(K268-K272)/K272</f>
        <v>5.1697929875020674E-3</v>
      </c>
      <c r="U59" s="10">
        <f>(N262-N266)/N266</f>
        <v>2.0204989639485839E-2</v>
      </c>
    </row>
    <row r="60" spans="1:21" x14ac:dyDescent="0.3">
      <c r="A60" s="5">
        <v>45670</v>
      </c>
      <c r="B60" s="2">
        <v>42297.118600000002</v>
      </c>
      <c r="D60" s="4">
        <v>45667</v>
      </c>
      <c r="E60" s="3">
        <v>2448.12579456294</v>
      </c>
      <c r="G60" s="1">
        <v>45666</v>
      </c>
      <c r="H60" s="3">
        <v>250.443214872878</v>
      </c>
      <c r="J60" s="1">
        <v>45672</v>
      </c>
      <c r="K60" s="3">
        <v>529.90503235896495</v>
      </c>
      <c r="M60" s="5">
        <v>45670</v>
      </c>
      <c r="N60" s="3">
        <v>19088.101999999999</v>
      </c>
      <c r="P60">
        <v>55</v>
      </c>
      <c r="Q60" s="10">
        <f>(B267-B271)/B271</f>
        <v>-1.4159447553403358E-3</v>
      </c>
      <c r="R60">
        <f>(E261-E265)/E265</f>
        <v>8.0502316563701888E-3</v>
      </c>
      <c r="S60">
        <f>(H260-H264)/H264</f>
        <v>-1.6824252935837242E-2</v>
      </c>
      <c r="T60" s="10">
        <f>(K273-K277)/K277</f>
        <v>3.0058386336687549E-3</v>
      </c>
      <c r="U60" s="10">
        <f>(N267-N271)/N271</f>
        <v>-2.8777833502316363E-3</v>
      </c>
    </row>
    <row r="61" spans="1:21" x14ac:dyDescent="0.3">
      <c r="A61" s="4">
        <v>45667</v>
      </c>
      <c r="B61" s="2">
        <v>41938.448100000001</v>
      </c>
      <c r="D61" s="1">
        <v>45666</v>
      </c>
      <c r="E61" s="3">
        <v>2472.32765820752</v>
      </c>
      <c r="G61" s="1">
        <v>45665</v>
      </c>
      <c r="H61" s="3">
        <v>252.48538048625301</v>
      </c>
      <c r="J61" s="1">
        <v>45671</v>
      </c>
      <c r="K61" s="3">
        <v>523.88658125560596</v>
      </c>
      <c r="M61" s="4">
        <v>45667</v>
      </c>
      <c r="N61" s="3">
        <v>19161.628000000001</v>
      </c>
      <c r="P61">
        <v>56</v>
      </c>
      <c r="Q61" s="10">
        <f>(B272-B276)/B276</f>
        <v>-6.8515704684432186E-3</v>
      </c>
      <c r="R61">
        <f>(E266-E270)/E270</f>
        <v>-1.4062387258674102E-2</v>
      </c>
      <c r="S61">
        <f>(H265-H269)/H269</f>
        <v>1.2666489263500237E-2</v>
      </c>
      <c r="T61" s="10">
        <f>(K278-K282)/K282</f>
        <v>1.9495775337489231E-2</v>
      </c>
      <c r="U61" s="10">
        <f>(N272-N276)/N276</f>
        <v>-7.5518082390082673E-3</v>
      </c>
    </row>
    <row r="62" spans="1:21" x14ac:dyDescent="0.3">
      <c r="A62" s="1">
        <v>45665</v>
      </c>
      <c r="B62" s="2">
        <v>42635.197099999998</v>
      </c>
      <c r="D62" s="1">
        <v>45665</v>
      </c>
      <c r="E62" s="3">
        <v>2478.7338810249298</v>
      </c>
      <c r="G62" s="1">
        <v>45664</v>
      </c>
      <c r="H62" s="3">
        <v>253.65966333374001</v>
      </c>
      <c r="J62" s="5">
        <v>45670</v>
      </c>
      <c r="K62" s="3">
        <v>521.09242147964801</v>
      </c>
      <c r="M62" s="1">
        <v>45665</v>
      </c>
      <c r="N62" s="3">
        <v>19478.878000000001</v>
      </c>
      <c r="P62">
        <v>57</v>
      </c>
      <c r="Q62" s="10">
        <f>(B277-B281)/B281</f>
        <v>4.6444989610035784E-4</v>
      </c>
      <c r="R62">
        <f>(E271-E275)/E275</f>
        <v>-3.3219520962948757E-3</v>
      </c>
      <c r="S62">
        <f>(H270-H274)/H274</f>
        <v>2.1188889628823687E-2</v>
      </c>
      <c r="T62" s="10">
        <f>(K283-K287)/K287</f>
        <v>3.4145174589193775E-3</v>
      </c>
      <c r="U62" s="10">
        <f>(N277-N281)/N281</f>
        <v>1.8695938114642721E-2</v>
      </c>
    </row>
    <row r="63" spans="1:21" x14ac:dyDescent="0.3">
      <c r="A63" s="1">
        <v>45664</v>
      </c>
      <c r="B63" s="2">
        <v>42528.364300000001</v>
      </c>
      <c r="D63" s="1">
        <v>45664</v>
      </c>
      <c r="E63" s="3">
        <v>2500.74967531215</v>
      </c>
      <c r="G63" s="5">
        <v>45663</v>
      </c>
      <c r="H63" s="3">
        <v>249.41021573605599</v>
      </c>
      <c r="J63" s="4">
        <v>45667</v>
      </c>
      <c r="K63" s="3">
        <v>523.98123296933204</v>
      </c>
      <c r="M63" s="1">
        <v>45664</v>
      </c>
      <c r="N63" s="3">
        <v>19489.68</v>
      </c>
      <c r="P63">
        <v>58</v>
      </c>
      <c r="Q63" s="10">
        <f>(B282-B285)/B285</f>
        <v>1.4721793419104026E-2</v>
      </c>
      <c r="R63">
        <f>(E276-E280)/E280</f>
        <v>3.4900356357925745E-2</v>
      </c>
      <c r="S63">
        <f>(H275-H278)/H278</f>
        <v>1.3631010321017272E-2</v>
      </c>
      <c r="T63" s="10">
        <f>(K288-K292)/K292</f>
        <v>1.37048016661154E-2</v>
      </c>
      <c r="U63" s="10">
        <f>(N282-N285)/N285</f>
        <v>2.3417892756876023E-2</v>
      </c>
    </row>
    <row r="64" spans="1:21" x14ac:dyDescent="0.3">
      <c r="A64" s="5">
        <v>45663</v>
      </c>
      <c r="B64" s="2">
        <v>42706.562400000003</v>
      </c>
      <c r="D64" s="5">
        <v>45663</v>
      </c>
      <c r="E64" s="3">
        <v>2532.1582446979601</v>
      </c>
      <c r="G64" s="6">
        <v>45656</v>
      </c>
      <c r="H64" s="3">
        <v>254.38079449086601</v>
      </c>
      <c r="J64" s="1">
        <v>45666</v>
      </c>
      <c r="K64" s="3">
        <v>531.21331328651104</v>
      </c>
      <c r="M64" s="5">
        <v>45663</v>
      </c>
      <c r="N64" s="3">
        <v>19864.981</v>
      </c>
      <c r="P64">
        <v>59</v>
      </c>
      <c r="Q64" s="10">
        <f>(B286-B290)/B290</f>
        <v>-4.3658260936857256E-3</v>
      </c>
      <c r="R64">
        <f>(E281-E283)/E283</f>
        <v>2.8465565548549482E-2</v>
      </c>
      <c r="S64">
        <f>(H279-H282)/H282</f>
        <v>1.7697813874969628E-2</v>
      </c>
      <c r="T64" s="10">
        <f>(K293-K297)/K297</f>
        <v>8.7549875157860411E-3</v>
      </c>
      <c r="U64" s="10">
        <f>(N286-N290)/N290</f>
        <v>-1.0468278433587587E-2</v>
      </c>
    </row>
    <row r="65" spans="1:21" x14ac:dyDescent="0.3">
      <c r="A65" s="4">
        <v>45660</v>
      </c>
      <c r="B65" s="2">
        <v>42732.133399999999</v>
      </c>
      <c r="D65" s="4">
        <v>45660</v>
      </c>
      <c r="E65" s="3">
        <v>2540.5662196736898</v>
      </c>
      <c r="G65" s="4">
        <v>45653</v>
      </c>
      <c r="H65" s="3">
        <v>255.23482448358001</v>
      </c>
      <c r="J65" s="1">
        <v>45665</v>
      </c>
      <c r="K65" s="3">
        <v>530.00474628036295</v>
      </c>
      <c r="M65" s="4">
        <v>45660</v>
      </c>
      <c r="N65" s="3">
        <v>19621.677</v>
      </c>
      <c r="P65">
        <v>60</v>
      </c>
      <c r="Q65" s="10">
        <f>(B291-B295)/B295</f>
        <v>7.5970406728085183E-3</v>
      </c>
      <c r="R65">
        <f>(E284-E288)/E288</f>
        <v>1.5486429185713023E-2</v>
      </c>
      <c r="S65">
        <f>(H283-H287)/H287</f>
        <v>1.0660795239358081E-2</v>
      </c>
      <c r="T65" s="10">
        <f>(K298-K302)/K302</f>
        <v>6.1827123473492769E-3</v>
      </c>
      <c r="U65" s="11">
        <f>(N291-N295)/N295</f>
        <v>2.519522618656618E-2</v>
      </c>
    </row>
    <row r="66" spans="1:21" x14ac:dyDescent="0.3">
      <c r="A66" s="1">
        <v>45659</v>
      </c>
      <c r="B66" s="2">
        <v>42392.272400000002</v>
      </c>
      <c r="D66" s="1">
        <v>45659</v>
      </c>
      <c r="E66" s="3">
        <v>2523.3479496444502</v>
      </c>
      <c r="G66" s="1">
        <v>45652</v>
      </c>
      <c r="H66" s="3">
        <v>250.430759493685</v>
      </c>
      <c r="J66" s="1">
        <v>45664</v>
      </c>
      <c r="K66" s="3">
        <v>532.11815427880003</v>
      </c>
      <c r="M66" s="1">
        <v>45659</v>
      </c>
      <c r="N66" s="3">
        <v>19280.793000000001</v>
      </c>
      <c r="P66">
        <v>61</v>
      </c>
      <c r="Q66" s="10">
        <f>(B296-B300)/B300</f>
        <v>8.3731068829799374E-3</v>
      </c>
      <c r="R66">
        <f>(E289-E293)/E293</f>
        <v>-3.4619832866051019E-2</v>
      </c>
      <c r="S66">
        <f>(H288-H292)/H292</f>
        <v>-2.3143094780485899E-3</v>
      </c>
      <c r="T66" s="10">
        <f>(K303-K307)/K307</f>
        <v>-6.3869216020905634E-3</v>
      </c>
      <c r="U66" s="10">
        <f>(N296-N300)/N300</f>
        <v>5.8228656126118822E-5</v>
      </c>
    </row>
    <row r="67" spans="1:21" x14ac:dyDescent="0.3">
      <c r="A67" s="1">
        <v>45657</v>
      </c>
      <c r="B67" s="2">
        <v>42544.223299999998</v>
      </c>
      <c r="D67" s="1">
        <v>45657</v>
      </c>
      <c r="E67" s="3">
        <v>2582.4825881535098</v>
      </c>
      <c r="G67" s="1">
        <v>45651</v>
      </c>
      <c r="H67" s="3">
        <v>248.60501905973001</v>
      </c>
      <c r="J67" s="5">
        <v>45663</v>
      </c>
      <c r="K67" s="3">
        <v>533.02994410157498</v>
      </c>
      <c r="M67" s="1">
        <v>45657</v>
      </c>
      <c r="N67" s="3">
        <v>19310.792000000001</v>
      </c>
      <c r="P67">
        <v>62</v>
      </c>
      <c r="Q67">
        <f>(B301-B305)/B305</f>
        <v>2.8321575032514289E-3</v>
      </c>
      <c r="R67">
        <f>(E294-E298)/E298</f>
        <v>6.6678059131524151E-2</v>
      </c>
      <c r="S67">
        <f>(H293-H297)/H297</f>
        <v>-2.2239093256489758E-2</v>
      </c>
      <c r="T67" s="10">
        <f>(K308-K312)/K312</f>
        <v>2.048882508821161E-2</v>
      </c>
      <c r="U67" s="10">
        <f>(N301-N305)/N305</f>
        <v>6.1897936014993025E-3</v>
      </c>
    </row>
    <row r="68" spans="1:21" x14ac:dyDescent="0.3">
      <c r="A68" s="5">
        <v>45656</v>
      </c>
      <c r="B68" s="2">
        <v>42573.728300000002</v>
      </c>
      <c r="D68" s="5">
        <v>45656</v>
      </c>
      <c r="E68" s="3">
        <v>2580.5621724630701</v>
      </c>
      <c r="G68" s="1">
        <v>45650</v>
      </c>
      <c r="H68" s="3">
        <v>248.35761547270201</v>
      </c>
      <c r="J68" s="4">
        <v>45660</v>
      </c>
      <c r="K68" s="3">
        <v>523.842411248095</v>
      </c>
      <c r="M68" s="5">
        <v>45656</v>
      </c>
      <c r="N68" s="3">
        <v>19486.785</v>
      </c>
      <c r="P68">
        <v>63</v>
      </c>
      <c r="Q68">
        <f>(B306-B309)/B309</f>
        <v>1.3454559898341384E-2</v>
      </c>
      <c r="R68">
        <f>(E299-E303)/E303</f>
        <v>-5.5246189846574562E-2</v>
      </c>
      <c r="S68">
        <f>(H298-H302)/H302</f>
        <v>-1.4583804130175185E-2</v>
      </c>
      <c r="T68" s="10">
        <f>(K313-K317)/317</f>
        <v>-2.4636048002880082E-2</v>
      </c>
      <c r="U68" s="11">
        <f>(N306-N309)/N309</f>
        <v>2.4532420185371835E-2</v>
      </c>
    </row>
    <row r="69" spans="1:21" x14ac:dyDescent="0.3">
      <c r="A69" s="4">
        <v>45653</v>
      </c>
      <c r="B69" s="2">
        <v>42992.207900000001</v>
      </c>
      <c r="D69" s="4">
        <v>45653</v>
      </c>
      <c r="E69" s="3">
        <v>2588.3764075343402</v>
      </c>
      <c r="G69" s="5">
        <v>45649</v>
      </c>
      <c r="H69" s="3">
        <v>249.18134385341301</v>
      </c>
      <c r="J69" s="1">
        <v>45659</v>
      </c>
      <c r="K69" s="3">
        <v>524.20497238703501</v>
      </c>
      <c r="M69" s="4">
        <v>45653</v>
      </c>
      <c r="N69" s="3">
        <v>19722.030999999999</v>
      </c>
      <c r="P69">
        <v>64</v>
      </c>
      <c r="Q69">
        <f>(B310-B314)/B314</f>
        <v>-2.3891349997966888E-3</v>
      </c>
      <c r="R69">
        <f>(E304-E308)/E308</f>
        <v>-6.2834117061484401E-4</v>
      </c>
      <c r="S69">
        <f>(H303-H306)/H306</f>
        <v>5.0598096948613815E-2</v>
      </c>
      <c r="T69" s="10">
        <f>(K318-K322)/K322</f>
        <v>-2.9695930402771119E-3</v>
      </c>
      <c r="U69" s="10">
        <f>(N310-N314)/N314</f>
        <v>8.6899768306807398E-3</v>
      </c>
    </row>
    <row r="70" spans="1:21" x14ac:dyDescent="0.3">
      <c r="A70" s="1">
        <v>45652</v>
      </c>
      <c r="B70" s="2">
        <v>43325.799200000001</v>
      </c>
      <c r="D70" s="1">
        <v>45650</v>
      </c>
      <c r="E70" s="3">
        <v>2587.5516588775999</v>
      </c>
      <c r="G70" s="4">
        <v>45646</v>
      </c>
      <c r="H70" s="3">
        <v>247.43878268651</v>
      </c>
      <c r="J70" s="1">
        <v>45657</v>
      </c>
      <c r="K70" s="3">
        <v>525.54094626772803</v>
      </c>
      <c r="M70" s="1">
        <v>45652</v>
      </c>
      <c r="N70" s="3">
        <v>20020.357</v>
      </c>
      <c r="P70">
        <v>65</v>
      </c>
      <c r="Q70">
        <f>(B315-B318)/B318</f>
        <v>-6.6003665237872843E-3</v>
      </c>
      <c r="R70">
        <f>(E309-E312)/E312</f>
        <v>-1.4540710168654996E-2</v>
      </c>
      <c r="S70">
        <f>(H307-H308)/H308</f>
        <v>2.4695656549752342E-3</v>
      </c>
      <c r="T70" s="10">
        <f>(K323-K326)/K326</f>
        <v>-4.9959344669950169E-3</v>
      </c>
      <c r="U70" s="10">
        <f>(N315-N318)/N318</f>
        <v>-1.638006114070626E-2</v>
      </c>
    </row>
    <row r="71" spans="1:21" x14ac:dyDescent="0.3">
      <c r="A71" s="1">
        <v>45650</v>
      </c>
      <c r="B71" s="2">
        <v>43297.031799999997</v>
      </c>
      <c r="D71" s="5">
        <v>45649</v>
      </c>
      <c r="E71" s="3">
        <v>2558.99432425127</v>
      </c>
      <c r="G71" s="1">
        <v>45645</v>
      </c>
      <c r="H71" s="3">
        <v>246.54500412882899</v>
      </c>
      <c r="J71" s="5">
        <v>45656</v>
      </c>
      <c r="K71" s="3">
        <v>525.39832863283198</v>
      </c>
      <c r="M71" s="1">
        <v>45650</v>
      </c>
      <c r="N71" s="3">
        <v>20031.126</v>
      </c>
      <c r="P71">
        <v>66</v>
      </c>
      <c r="Q71">
        <f>(B319-B322)/B322</f>
        <v>3.8408478702456582E-3</v>
      </c>
      <c r="R71">
        <f>(E313-E315)/E315</f>
        <v>2.5587500539957463E-2</v>
      </c>
      <c r="S71">
        <f>(H309-H313)/H313</f>
        <v>1.5450728628591613E-2</v>
      </c>
      <c r="T71" s="10">
        <f>(K327-K329)/K329</f>
        <v>-5.2682722137654047E-3</v>
      </c>
      <c r="U71" s="10">
        <f>(N319-N322)/N322</f>
        <v>-4.193883302697831E-3</v>
      </c>
    </row>
    <row r="72" spans="1:21" x14ac:dyDescent="0.3">
      <c r="A72" s="5">
        <v>45649</v>
      </c>
      <c r="B72" s="2">
        <v>42906.950700000001</v>
      </c>
      <c r="D72" s="4">
        <v>45646</v>
      </c>
      <c r="E72" s="3">
        <v>2536.4244372990302</v>
      </c>
      <c r="G72" s="1">
        <v>45644</v>
      </c>
      <c r="H72" s="3">
        <v>252.465826873368</v>
      </c>
      <c r="J72" s="4">
        <v>45653</v>
      </c>
      <c r="K72" s="3">
        <v>528.83582712059001</v>
      </c>
      <c r="M72" s="5">
        <v>45649</v>
      </c>
      <c r="N72" s="3">
        <v>19764.884999999998</v>
      </c>
      <c r="P72">
        <v>67</v>
      </c>
      <c r="Q72">
        <f>(B323-B327)/B327</f>
        <v>2.1429785786417081E-3</v>
      </c>
      <c r="R72">
        <f>(E316-E320)/E320</f>
        <v>-1.9468713074283366E-2</v>
      </c>
      <c r="S72">
        <f>(H314-H318)/H318</f>
        <v>1.4864048901433989E-2</v>
      </c>
      <c r="T72" s="10">
        <f>(K330-K334)/K334</f>
        <v>1.2883641754817285E-2</v>
      </c>
      <c r="U72" s="10">
        <f>(N323-N327)/N327</f>
        <v>5.8891551495405198E-3</v>
      </c>
    </row>
    <row r="73" spans="1:21" x14ac:dyDescent="0.3">
      <c r="A73" s="4">
        <v>45646</v>
      </c>
      <c r="B73" s="2">
        <v>42840.256999999998</v>
      </c>
      <c r="D73" s="1">
        <v>45645</v>
      </c>
      <c r="E73" s="3">
        <v>2542.3141772314798</v>
      </c>
      <c r="G73" s="1">
        <v>45643</v>
      </c>
      <c r="H73" s="3">
        <v>256.48084440968199</v>
      </c>
      <c r="J73" s="1">
        <v>45650</v>
      </c>
      <c r="K73" s="3">
        <v>523.80902871638898</v>
      </c>
      <c r="M73" s="4">
        <v>45646</v>
      </c>
      <c r="N73" s="3">
        <v>19572.597000000002</v>
      </c>
      <c r="P73">
        <v>68</v>
      </c>
      <c r="Q73">
        <f>(B328-B332)/B332</f>
        <v>2.4728301704783132E-2</v>
      </c>
      <c r="R73">
        <f>(E321-E325)/E325</f>
        <v>3.6778418046025746E-2</v>
      </c>
      <c r="S73">
        <f>(H319-H323)/H323</f>
        <v>3.3814467961108353E-2</v>
      </c>
      <c r="T73" s="10">
        <f>(K335-K339)/K339</f>
        <v>1.8572767839342315E-2</v>
      </c>
      <c r="U73" s="10">
        <f>(N328-N332)/N332</f>
        <v>2.6428849471948165E-2</v>
      </c>
    </row>
    <row r="74" spans="1:21" x14ac:dyDescent="0.3">
      <c r="A74" s="1">
        <v>45645</v>
      </c>
      <c r="B74" s="2">
        <v>42342.236700000001</v>
      </c>
      <c r="D74" s="1">
        <v>45644</v>
      </c>
      <c r="E74" s="3">
        <v>2556.4385359827102</v>
      </c>
      <c r="G74" s="5">
        <v>45642</v>
      </c>
      <c r="H74" s="3">
        <v>255.968147907885</v>
      </c>
      <c r="J74" s="5">
        <v>45649</v>
      </c>
      <c r="K74" s="3">
        <v>523.27589794814003</v>
      </c>
      <c r="M74" s="1">
        <v>45645</v>
      </c>
      <c r="N74" s="3">
        <v>19372.768</v>
      </c>
      <c r="P74">
        <v>69</v>
      </c>
      <c r="Q74">
        <f>(B333-B337)/B337</f>
        <v>1.1996622745653739E-3</v>
      </c>
      <c r="R74">
        <f>(E326-E330)/E330</f>
        <v>-1.7768850517105968E-2</v>
      </c>
      <c r="S74">
        <f>(H324-H328)/H328</f>
        <v>-1.2559874820381033E-2</v>
      </c>
      <c r="T74" s="10">
        <f>(K340-K344)/K344</f>
        <v>6.8965491525184242E-3</v>
      </c>
      <c r="U74" s="11">
        <f>(N333-N337)/N337</f>
        <v>1.5401508047587144E-2</v>
      </c>
    </row>
    <row r="75" spans="1:21" x14ac:dyDescent="0.3">
      <c r="A75" s="1">
        <v>45644</v>
      </c>
      <c r="B75" s="2">
        <v>42326.869500000001</v>
      </c>
      <c r="D75" s="1">
        <v>45643</v>
      </c>
      <c r="E75" s="3">
        <v>2535.7153889718302</v>
      </c>
      <c r="G75" s="4">
        <v>45639</v>
      </c>
      <c r="H75" s="3">
        <v>256.90210882584</v>
      </c>
      <c r="J75" s="4">
        <v>45646</v>
      </c>
      <c r="K75" s="3">
        <v>523.73652045136896</v>
      </c>
      <c r="M75" s="1">
        <v>45644</v>
      </c>
      <c r="N75" s="3">
        <v>19392.692999999999</v>
      </c>
      <c r="P75">
        <v>70</v>
      </c>
      <c r="Q75">
        <f>(B338-B342)/B342</f>
        <v>2.581205857841859E-2</v>
      </c>
      <c r="R75">
        <f>(E331-E335)/E335</f>
        <v>-4.2507308079293878E-2</v>
      </c>
      <c r="S75">
        <f>(H329-H333)/H333</f>
        <v>1.2180172768160222E-2</v>
      </c>
      <c r="T75" s="10">
        <f>(K345-K349)/K349</f>
        <v>1.0309690449977385E-2</v>
      </c>
      <c r="U75" s="10">
        <f>(N338-N342)/N432</f>
        <v>4.5515610233068503E-3</v>
      </c>
    </row>
    <row r="76" spans="1:21" x14ac:dyDescent="0.3">
      <c r="A76" s="1">
        <v>45643</v>
      </c>
      <c r="B76" s="2">
        <v>43449.904699999999</v>
      </c>
      <c r="D76" s="5">
        <v>45642</v>
      </c>
      <c r="E76" s="3">
        <v>2546.3712374582001</v>
      </c>
      <c r="G76" s="1">
        <v>45638</v>
      </c>
      <c r="H76" s="3">
        <v>261.10038002883698</v>
      </c>
      <c r="J76" s="1">
        <v>45645</v>
      </c>
      <c r="K76" s="3">
        <v>525.00362671750804</v>
      </c>
      <c r="M76" s="1">
        <v>45643</v>
      </c>
      <c r="N76" s="3">
        <v>20109.060000000001</v>
      </c>
      <c r="P76">
        <v>71</v>
      </c>
      <c r="Q76">
        <f>(B343-B346)/B346</f>
        <v>6.8024392725042852E-3</v>
      </c>
      <c r="R76">
        <f>(E336-E340)/340</f>
        <v>-8.056376718373566E-2</v>
      </c>
      <c r="S76">
        <f>(H334-H337)/H337</f>
        <v>-1.6506087003385737E-4</v>
      </c>
      <c r="T76" s="10">
        <f>(K350-K354)/K354</f>
        <v>8.241471496282602E-3</v>
      </c>
      <c r="U76" s="10">
        <f>(N343-N346)/N346</f>
        <v>-2.3577247952225873E-3</v>
      </c>
    </row>
    <row r="77" spans="1:21" x14ac:dyDescent="0.3">
      <c r="A77" s="5">
        <v>45642</v>
      </c>
      <c r="B77" s="2">
        <v>43717.4784</v>
      </c>
      <c r="D77" s="4">
        <v>45639</v>
      </c>
      <c r="E77" s="3">
        <v>2568.6151946598702</v>
      </c>
      <c r="G77" s="1">
        <v>45637</v>
      </c>
      <c r="H77" s="3">
        <v>258.26323384717898</v>
      </c>
      <c r="J77" s="1">
        <v>45644</v>
      </c>
      <c r="K77" s="3">
        <v>532.536231884058</v>
      </c>
      <c r="M77" s="5">
        <v>45642</v>
      </c>
      <c r="N77" s="3">
        <v>20173.891</v>
      </c>
      <c r="P77">
        <v>72</v>
      </c>
      <c r="Q77">
        <f>(B347-B351)/B351</f>
        <v>1.7747600742242863E-2</v>
      </c>
      <c r="R77">
        <f>(E341-E345)/E345</f>
        <v>3.3017613039367025E-3</v>
      </c>
      <c r="S77">
        <f>(H338-H342)/H342</f>
        <v>4.5089069223404929E-2</v>
      </c>
      <c r="T77" s="10">
        <f>(K355-K359)/K359</f>
        <v>4.0636234621534491E-2</v>
      </c>
      <c r="U77" s="10">
        <f>(N347-N351)/N351</f>
        <v>2.5983779621685223E-2</v>
      </c>
    </row>
    <row r="78" spans="1:21" x14ac:dyDescent="0.3">
      <c r="A78" s="4">
        <v>45639</v>
      </c>
      <c r="B78" s="2">
        <v>43828.060799999999</v>
      </c>
      <c r="D78" s="1">
        <v>45638</v>
      </c>
      <c r="E78" s="3">
        <v>2623.5497646181102</v>
      </c>
      <c r="G78" s="1">
        <v>45636</v>
      </c>
      <c r="H78" s="3">
        <v>259.08246133595998</v>
      </c>
      <c r="J78" s="1">
        <v>45643</v>
      </c>
      <c r="K78" s="3">
        <v>538.77782206465201</v>
      </c>
      <c r="M78" s="4">
        <v>45639</v>
      </c>
      <c r="N78" s="3">
        <v>19926.723999999998</v>
      </c>
      <c r="P78">
        <v>73</v>
      </c>
      <c r="Q78">
        <f>(B352-B356)/B356</f>
        <v>5.491681910161049E-3</v>
      </c>
      <c r="R78">
        <f>(E346-E350)/E350</f>
        <v>-4.1112879422845978E-2</v>
      </c>
      <c r="S78">
        <f>(H343-H347)/H347</f>
        <v>-1.3689983852305227E-2</v>
      </c>
      <c r="T78" s="10">
        <f>(K360-K364)/K364</f>
        <v>-3.6442463519398625E-3</v>
      </c>
      <c r="U78" s="10">
        <f>(N352-N356)/N356</f>
        <v>2.0662295019394851E-2</v>
      </c>
    </row>
    <row r="79" spans="1:21" x14ac:dyDescent="0.3">
      <c r="A79" s="1">
        <v>45638</v>
      </c>
      <c r="B79" s="2">
        <v>43914.117200000001</v>
      </c>
      <c r="D79" s="1">
        <v>45637</v>
      </c>
      <c r="E79" s="3">
        <v>2592.4227612996101</v>
      </c>
      <c r="G79" s="5">
        <v>45635</v>
      </c>
      <c r="H79" s="3">
        <v>259.01514650440902</v>
      </c>
      <c r="J79" s="5">
        <v>45642</v>
      </c>
      <c r="K79" s="3">
        <v>542.14005696448601</v>
      </c>
      <c r="M79" s="1">
        <v>45638</v>
      </c>
      <c r="N79" s="3">
        <v>19902.841</v>
      </c>
      <c r="P79">
        <v>74</v>
      </c>
      <c r="Q79">
        <f>(B357-B361)/B361</f>
        <v>3.4387928360597293E-2</v>
      </c>
      <c r="R79">
        <f>(E351-E355)/E355</f>
        <v>1.4354420270671017E-2</v>
      </c>
      <c r="S79">
        <f>(H348-H351)/H351</f>
        <v>3.1545330974021082E-2</v>
      </c>
      <c r="T79" s="10">
        <f>(K365-K369)/K369</f>
        <v>4.1697965750280591E-2</v>
      </c>
      <c r="U79" s="10">
        <f>(N357-N361)/N361</f>
        <v>5.3856750894465337E-2</v>
      </c>
    </row>
    <row r="80" spans="1:21" x14ac:dyDescent="0.3">
      <c r="A80" s="1">
        <v>45637</v>
      </c>
      <c r="B80" s="2">
        <v>44148.559200000003</v>
      </c>
      <c r="D80" s="1">
        <v>45636</v>
      </c>
      <c r="E80" s="3">
        <v>2612.6857128156298</v>
      </c>
      <c r="G80" s="4">
        <v>45632</v>
      </c>
      <c r="H80" s="3">
        <v>260.55568886224</v>
      </c>
      <c r="J80" s="4">
        <v>45639</v>
      </c>
      <c r="K80" s="3">
        <v>542.375551354756</v>
      </c>
      <c r="M80" s="1">
        <v>45637</v>
      </c>
      <c r="N80" s="3">
        <v>20034.894</v>
      </c>
      <c r="P80">
        <v>75</v>
      </c>
      <c r="Q80">
        <f>(B362-B366)/B366</f>
        <v>-1.5752317875566951E-2</v>
      </c>
      <c r="R80">
        <f>(E356-E359)/E359</f>
        <v>2.4174350706352044E-2</v>
      </c>
      <c r="S80">
        <f>(H352-H356)/H356</f>
        <v>4.1472764353243008E-4</v>
      </c>
      <c r="T80" s="10">
        <f>(K370-K374)/K374</f>
        <v>-1.7980183132626976E-2</v>
      </c>
      <c r="U80" s="10">
        <f>(N362-N366)/N366</f>
        <v>-2.8829967348343963E-2</v>
      </c>
    </row>
    <row r="81" spans="1:21" x14ac:dyDescent="0.3">
      <c r="A81" s="1">
        <v>45636</v>
      </c>
      <c r="B81" s="2">
        <v>44247.831299999998</v>
      </c>
      <c r="D81" s="5">
        <v>45635</v>
      </c>
      <c r="E81" s="3">
        <v>2625.8766175297801</v>
      </c>
      <c r="G81" s="1">
        <v>45631</v>
      </c>
      <c r="H81" s="3">
        <v>262.49733475481401</v>
      </c>
      <c r="J81" s="1">
        <v>45638</v>
      </c>
      <c r="K81" s="3">
        <v>543.44868010634502</v>
      </c>
      <c r="M81" s="1">
        <v>45636</v>
      </c>
      <c r="N81" s="3">
        <v>19687.241999999998</v>
      </c>
      <c r="P81">
        <v>76</v>
      </c>
      <c r="Q81">
        <f>(B367-B371)/B371</f>
        <v>-2.5225012028116715E-2</v>
      </c>
      <c r="R81">
        <f>(E360-E364)/E364</f>
        <v>-2.7488696057015941E-2</v>
      </c>
      <c r="S81">
        <f>(H357-H361)/H361</f>
        <v>-1.4864643933267939E-2</v>
      </c>
      <c r="T81" s="10">
        <f>(K375-K379)/K379</f>
        <v>-3.3389430172203416E-2</v>
      </c>
      <c r="U81" s="10">
        <f>(N367-N371)/N371</f>
        <v>-4.3055549004185123E-2</v>
      </c>
    </row>
    <row r="82" spans="1:21" x14ac:dyDescent="0.3">
      <c r="A82" s="5">
        <v>45635</v>
      </c>
      <c r="B82" s="2">
        <v>44401.933599999997</v>
      </c>
      <c r="D82" s="4">
        <v>45632</v>
      </c>
      <c r="E82" s="3">
        <v>2553.7465773675599</v>
      </c>
      <c r="G82" s="1">
        <v>45630</v>
      </c>
      <c r="H82" s="3">
        <v>260.79940239044299</v>
      </c>
      <c r="J82" s="1">
        <v>45637</v>
      </c>
      <c r="K82" s="3">
        <v>545.632942608588</v>
      </c>
      <c r="M82" s="5">
        <v>45635</v>
      </c>
      <c r="N82" s="3">
        <v>19736.689999999999</v>
      </c>
      <c r="P82">
        <v>77</v>
      </c>
      <c r="Q82">
        <f>(B372-B376)/B376</f>
        <v>1.9534202937461047E-3</v>
      </c>
      <c r="R82">
        <f>(E365-E369)/E369</f>
        <v>1.7485182852711063E-2</v>
      </c>
      <c r="S82">
        <f>(H362-H365)/H365</f>
        <v>1.2152037774266693E-2</v>
      </c>
      <c r="T82" s="10">
        <f>(K380-K384)/K384</f>
        <v>6.773909368271042E-3</v>
      </c>
      <c r="U82" s="10">
        <f>(N372-N376)/N376</f>
        <v>-5.7107412587391248E-3</v>
      </c>
    </row>
    <row r="83" spans="1:21" x14ac:dyDescent="0.3">
      <c r="A83" s="4">
        <v>45632</v>
      </c>
      <c r="B83" s="2">
        <v>44642.522599999997</v>
      </c>
      <c r="D83" s="1">
        <v>45631</v>
      </c>
      <c r="E83" s="3">
        <v>2513.5169170275399</v>
      </c>
      <c r="G83" s="1">
        <v>45629</v>
      </c>
      <c r="H83" s="3">
        <v>262.37622835752302</v>
      </c>
      <c r="J83" s="1">
        <v>45636</v>
      </c>
      <c r="K83" s="3">
        <v>545.76171278801701</v>
      </c>
      <c r="M83" s="4">
        <v>45632</v>
      </c>
      <c r="N83" s="3">
        <v>19859.774000000001</v>
      </c>
      <c r="P83">
        <v>78</v>
      </c>
      <c r="Q83">
        <f>(B377-B381)/B381</f>
        <v>-7.7078418343758852E-4</v>
      </c>
      <c r="R83">
        <f>(E370-E373)/E373</f>
        <v>9.0197333278666837E-3</v>
      </c>
      <c r="S83">
        <f>(H366-H370)/H370</f>
        <v>-2.0629699252689326E-2</v>
      </c>
      <c r="T83" s="10">
        <f>(K385-K389)/K389</f>
        <v>9.0046183401302805E-3</v>
      </c>
      <c r="U83" s="10">
        <f>(N377-N381)/N381</f>
        <v>9.2854003445956828E-3</v>
      </c>
    </row>
    <row r="84" spans="1:21" x14ac:dyDescent="0.3">
      <c r="A84" s="1">
        <v>45631</v>
      </c>
      <c r="B84" s="2">
        <v>44765.706100000003</v>
      </c>
      <c r="D84" s="1">
        <v>45630</v>
      </c>
      <c r="E84" s="3">
        <v>2536.15692924311</v>
      </c>
      <c r="G84" s="5">
        <v>45628</v>
      </c>
      <c r="H84" s="3">
        <v>257.45718296678803</v>
      </c>
      <c r="J84" s="5">
        <v>45635</v>
      </c>
      <c r="K84" s="3">
        <v>549.98997562494003</v>
      </c>
      <c r="M84" s="1">
        <v>45631</v>
      </c>
      <c r="N84" s="3">
        <v>19700.723000000002</v>
      </c>
      <c r="P84">
        <v>79</v>
      </c>
      <c r="Q84">
        <f>(B382-B386)/B386</f>
        <v>-1.468473373543543E-2</v>
      </c>
      <c r="R84">
        <f>(E374-E378)/E378</f>
        <v>2.5961272817601054E-3</v>
      </c>
      <c r="S84">
        <f>(H371-H375)/H375</f>
        <v>-2.8191367350155542E-2</v>
      </c>
      <c r="T84" s="10">
        <f>(K390-K394)/K394</f>
        <v>-2.3689599457546433E-3</v>
      </c>
      <c r="U84" s="10">
        <f>(N382-N386)/N386</f>
        <v>-3.9180729573244861E-3</v>
      </c>
    </row>
    <row r="85" spans="1:21" x14ac:dyDescent="0.3">
      <c r="A85" s="1">
        <v>45630</v>
      </c>
      <c r="B85" s="2">
        <v>45014.040099999998</v>
      </c>
      <c r="D85" s="1">
        <v>45629</v>
      </c>
      <c r="E85" s="3">
        <v>2537.20688193044</v>
      </c>
      <c r="G85" s="4">
        <v>45625</v>
      </c>
      <c r="H85" s="3">
        <v>255.14544240400599</v>
      </c>
      <c r="J85" s="4">
        <v>45632</v>
      </c>
      <c r="K85" s="3">
        <v>550.03434610303805</v>
      </c>
      <c r="M85" s="1">
        <v>45630</v>
      </c>
      <c r="N85" s="3">
        <v>19735.116000000002</v>
      </c>
      <c r="P85">
        <v>80</v>
      </c>
      <c r="Q85">
        <f>(B387-B391)/B391</f>
        <v>-1.9075046189881439E-2</v>
      </c>
      <c r="R85">
        <f>(E379-E383)/E383</f>
        <v>6.871252350197506E-3</v>
      </c>
      <c r="S85">
        <f>(H376-H379)/H379</f>
        <v>-2.862468018011741E-2</v>
      </c>
      <c r="T85" s="10">
        <f>(K395-K399)/K399</f>
        <v>-1.1106575937366392E-2</v>
      </c>
      <c r="U85" s="10">
        <f>(N387-N391)/N391</f>
        <v>-3.6354586722315486E-2</v>
      </c>
    </row>
    <row r="86" spans="1:21" x14ac:dyDescent="0.3">
      <c r="A86" s="1">
        <v>45629</v>
      </c>
      <c r="B86" s="2">
        <v>44705.528100000003</v>
      </c>
      <c r="D86" s="5">
        <v>45628</v>
      </c>
      <c r="E86" s="3">
        <v>2512.4063483904101</v>
      </c>
      <c r="G86" s="1">
        <v>45624</v>
      </c>
      <c r="H86" s="3">
        <v>253.06229378380101</v>
      </c>
      <c r="J86" s="1">
        <v>45631</v>
      </c>
      <c r="K86" s="3">
        <v>549.97671070460694</v>
      </c>
      <c r="M86" s="1">
        <v>45629</v>
      </c>
      <c r="N86" s="3">
        <v>19480.91</v>
      </c>
      <c r="P86">
        <v>81</v>
      </c>
      <c r="Q86">
        <f>(B392-B396)/B396</f>
        <v>-1.3119279773486175E-3</v>
      </c>
      <c r="R86">
        <f>(E384-E388)/E388</f>
        <v>5.5598337454627359E-3</v>
      </c>
      <c r="S86">
        <f>(H380-H384)/H384</f>
        <v>2.4148107790799303E-2</v>
      </c>
      <c r="T86" s="10">
        <f>(K400-K404)/K404</f>
        <v>3.7777803146440158E-3</v>
      </c>
      <c r="U86" s="10">
        <f>(N392-N396)/N396</f>
        <v>-1.5056803852651924E-2</v>
      </c>
    </row>
    <row r="87" spans="1:21" x14ac:dyDescent="0.3">
      <c r="A87" s="5">
        <v>45628</v>
      </c>
      <c r="B87" s="2">
        <v>44781.995300000002</v>
      </c>
      <c r="D87" s="4">
        <v>45625</v>
      </c>
      <c r="E87" s="3">
        <v>2496.0304813796402</v>
      </c>
      <c r="G87" s="1">
        <v>45623</v>
      </c>
      <c r="H87" s="3">
        <v>252.38232958303999</v>
      </c>
      <c r="J87" s="1">
        <v>45630</v>
      </c>
      <c r="K87" s="3">
        <v>543.84268552870799</v>
      </c>
      <c r="M87" s="5">
        <v>45628</v>
      </c>
      <c r="N87" s="3">
        <v>19403.948</v>
      </c>
      <c r="P87">
        <v>82</v>
      </c>
      <c r="Q87">
        <f>(B397-B400)/B400</f>
        <v>-1.887314869672459E-3</v>
      </c>
      <c r="R87">
        <f>(E389-E392)/E392</f>
        <v>-3.4714425455850746E-2</v>
      </c>
      <c r="S87">
        <f>(H385-H389)/H389</f>
        <v>-1.913070027442965E-2</v>
      </c>
      <c r="T87" s="10">
        <f>(K405-K409)/K409</f>
        <v>-1.5947666820620199E-2</v>
      </c>
      <c r="U87" s="10">
        <f>(N397-N400)/N400</f>
        <v>-1.8502737902533258E-2</v>
      </c>
    </row>
    <row r="88" spans="1:21" x14ac:dyDescent="0.3">
      <c r="A88" s="4">
        <v>45625</v>
      </c>
      <c r="B88" s="2">
        <v>44910.6495</v>
      </c>
      <c r="D88" s="1">
        <v>45624</v>
      </c>
      <c r="E88" s="3">
        <v>2488.17513746853</v>
      </c>
      <c r="G88" s="1">
        <v>45622</v>
      </c>
      <c r="H88" s="3">
        <v>251.09079033312199</v>
      </c>
      <c r="J88" s="1">
        <v>45629</v>
      </c>
      <c r="K88" s="3">
        <v>541.76781529472498</v>
      </c>
      <c r="M88" s="4">
        <v>45625</v>
      </c>
      <c r="N88" s="3">
        <v>19218.166000000001</v>
      </c>
      <c r="P88">
        <v>83</v>
      </c>
      <c r="Q88">
        <f>(B401-B405)/B405</f>
        <v>8.0363100227988527E-3</v>
      </c>
      <c r="R88">
        <f>(E393-E396)/E396</f>
        <v>1.4391634488037396E-2</v>
      </c>
      <c r="S88">
        <f>(H390-H394)/H394</f>
        <v>1.8960988621183162E-2</v>
      </c>
      <c r="T88" s="10">
        <f>(K410-K414)/K414</f>
        <v>1.876139549185307E-3</v>
      </c>
      <c r="U88" s="10">
        <f>(N401-N405)/N405</f>
        <v>2.3836620022092539E-2</v>
      </c>
    </row>
    <row r="89" spans="1:21" x14ac:dyDescent="0.3">
      <c r="A89" s="1">
        <v>45623</v>
      </c>
      <c r="B89" s="2">
        <v>44722.063199999997</v>
      </c>
      <c r="D89" s="1">
        <v>45623</v>
      </c>
      <c r="E89" s="3">
        <v>2519.1644391898799</v>
      </c>
      <c r="G89" s="5">
        <v>45621</v>
      </c>
      <c r="H89" s="3">
        <v>251.47616886066299</v>
      </c>
      <c r="J89" s="5">
        <v>45628</v>
      </c>
      <c r="K89" s="3">
        <v>539.13819346034904</v>
      </c>
      <c r="M89" s="1">
        <v>45623</v>
      </c>
      <c r="N89" s="3">
        <v>19060.475999999999</v>
      </c>
      <c r="P89">
        <v>84</v>
      </c>
      <c r="Q89">
        <f>(B406-B410)/B410</f>
        <v>-3.3887349116840915E-3</v>
      </c>
      <c r="R89">
        <f>(E397-E401)/E401</f>
        <v>1.8147134256507332E-2</v>
      </c>
      <c r="S89">
        <f>(H395-H399)/H399</f>
        <v>2.154386537944241E-4</v>
      </c>
      <c r="T89" s="10">
        <f>(K415-K419)/K419</f>
        <v>-2.3252411307701573E-3</v>
      </c>
      <c r="U89" s="10">
        <f>(N406-N410)/N410</f>
        <v>6.8942677915094838E-3</v>
      </c>
    </row>
    <row r="90" spans="1:21" x14ac:dyDescent="0.3">
      <c r="A90" s="1">
        <v>45622</v>
      </c>
      <c r="B90" s="2">
        <v>44860.306600000004</v>
      </c>
      <c r="D90" s="1">
        <v>45622</v>
      </c>
      <c r="E90" s="3">
        <v>2461.7045060324499</v>
      </c>
      <c r="G90" s="4">
        <v>45618</v>
      </c>
      <c r="H90" s="3">
        <v>247.40758692000699</v>
      </c>
      <c r="J90" s="4">
        <v>45625</v>
      </c>
      <c r="K90" s="3">
        <v>539.58736503706302</v>
      </c>
      <c r="M90" s="1">
        <v>45622</v>
      </c>
      <c r="N90" s="3">
        <v>19175.577000000001</v>
      </c>
      <c r="P90">
        <v>85</v>
      </c>
      <c r="Q90">
        <f>(B411-B415)/B415</f>
        <v>-2.2855479161910337E-2</v>
      </c>
      <c r="R90">
        <f>(E402-E406)/E406</f>
        <v>-4.5458057228980574E-2</v>
      </c>
      <c r="S90">
        <f>(H400-H404)/H404</f>
        <v>-1.7853155114737958E-2</v>
      </c>
      <c r="T90" s="10">
        <f>(K420-K424)/K424</f>
        <v>-2.8330042170805349E-2</v>
      </c>
      <c r="U90" s="10">
        <f>(N411-N415)/N415</f>
        <v>-3.6085223077397859E-2</v>
      </c>
    </row>
    <row r="91" spans="1:21" x14ac:dyDescent="0.3">
      <c r="A91" s="5">
        <v>45621</v>
      </c>
      <c r="B91" s="2">
        <v>44736.569799999997</v>
      </c>
      <c r="D91" s="5">
        <v>45621</v>
      </c>
      <c r="E91" s="3">
        <v>2460.8709619387901</v>
      </c>
      <c r="G91" s="1">
        <v>45617</v>
      </c>
      <c r="H91" s="3">
        <v>246.108148339894</v>
      </c>
      <c r="J91" s="1">
        <v>45624</v>
      </c>
      <c r="K91" s="3">
        <v>535.35246939637204</v>
      </c>
      <c r="M91" s="5">
        <v>45621</v>
      </c>
      <c r="N91" s="3">
        <v>19054.834999999999</v>
      </c>
      <c r="P91">
        <v>86</v>
      </c>
      <c r="Q91">
        <f>(B416-B420)/B420</f>
        <v>-5.4048010194802446E-3</v>
      </c>
      <c r="R91">
        <f>(E407-E411)/E411</f>
        <v>-2.4982562172129245E-2</v>
      </c>
      <c r="S91">
        <f>(H405-H408)/H408</f>
        <v>-8.7896959426756651E-3</v>
      </c>
      <c r="T91" s="10">
        <f>(K425-K429)/K429</f>
        <v>-6.3677066281800929E-3</v>
      </c>
      <c r="U91" s="11">
        <f>(N416-N420)/N420</f>
        <v>-2.3772843127610282E-2</v>
      </c>
    </row>
    <row r="92" spans="1:21" x14ac:dyDescent="0.3">
      <c r="A92" s="4">
        <v>45618</v>
      </c>
      <c r="B92" s="2">
        <v>44296.514600000002</v>
      </c>
      <c r="D92" s="4">
        <v>45618</v>
      </c>
      <c r="E92" s="3">
        <v>2470.4166184915398</v>
      </c>
      <c r="G92" s="1">
        <v>45616</v>
      </c>
      <c r="H92" s="3">
        <v>246.749919577951</v>
      </c>
      <c r="J92" s="1">
        <v>45623</v>
      </c>
      <c r="K92" s="3">
        <v>533.44038199469605</v>
      </c>
      <c r="M92" s="4">
        <v>45618</v>
      </c>
      <c r="N92" s="3">
        <v>19003.651000000002</v>
      </c>
      <c r="P92">
        <v>87</v>
      </c>
      <c r="Q92">
        <f>(B421-B425)/B425</f>
        <v>-1.3889712702977692E-2</v>
      </c>
      <c r="R92">
        <f>(E412-E416)/E416</f>
        <v>-2.8549847295164518E-2</v>
      </c>
      <c r="S92">
        <f>(H409-H413)/H413</f>
        <v>-2.5898237918850882E-2</v>
      </c>
      <c r="T92" s="10">
        <f>(K430-K434)/K434</f>
        <v>-2.4105377190609244E-2</v>
      </c>
      <c r="U92" s="10">
        <f>(N421-N425)/N425</f>
        <v>-3.1643192566804555E-2</v>
      </c>
    </row>
    <row r="93" spans="1:21" x14ac:dyDescent="0.3">
      <c r="A93" s="1">
        <v>45617</v>
      </c>
      <c r="B93" s="2">
        <v>43870.3514</v>
      </c>
      <c r="D93" s="1">
        <v>45617</v>
      </c>
      <c r="E93" s="3">
        <v>2518.5811939454602</v>
      </c>
      <c r="G93" s="1">
        <v>45615</v>
      </c>
      <c r="H93" s="3">
        <v>248.39592628514299</v>
      </c>
      <c r="J93" s="1">
        <v>45622</v>
      </c>
      <c r="K93" s="3">
        <v>530.48812457400402</v>
      </c>
      <c r="M93" s="1">
        <v>45617</v>
      </c>
      <c r="N93" s="3">
        <v>18972.419999999998</v>
      </c>
      <c r="P93">
        <v>88</v>
      </c>
      <c r="Q93">
        <f>(B426-B430)/B430</f>
        <v>1.3568177366141932E-3</v>
      </c>
      <c r="R93">
        <f>(E417-E421)/E421</f>
        <v>6.9227654020656768E-2</v>
      </c>
      <c r="S93">
        <f>(H414-H418)/H418</f>
        <v>3.8407317367478793E-3</v>
      </c>
      <c r="T93" s="10">
        <f>(K435-K439)/K439</f>
        <v>6.6644938731682656E-3</v>
      </c>
      <c r="U93" s="10">
        <f>(N426-N430)/N430</f>
        <v>1.8336614062613547E-2</v>
      </c>
    </row>
    <row r="94" spans="1:21" x14ac:dyDescent="0.3">
      <c r="A94" s="1">
        <v>45616</v>
      </c>
      <c r="B94" s="2">
        <v>43408.474699999999</v>
      </c>
      <c r="D94" s="1">
        <v>45616</v>
      </c>
      <c r="E94" s="3">
        <v>2531.63872293955</v>
      </c>
      <c r="G94" s="5">
        <v>45614</v>
      </c>
      <c r="H94" s="3">
        <v>247.144196572889</v>
      </c>
      <c r="J94" s="5">
        <v>45621</v>
      </c>
      <c r="K94" s="3">
        <v>533.91120019309005</v>
      </c>
      <c r="M94" s="1">
        <v>45616</v>
      </c>
      <c r="N94" s="3">
        <v>18966.143</v>
      </c>
      <c r="P94">
        <v>89</v>
      </c>
      <c r="Q94">
        <f>(B431-B435)/B435</f>
        <v>1.8572477938037506E-2</v>
      </c>
      <c r="R94">
        <f>(E422-E425)/E425</f>
        <v>2.5921208149324048E-3</v>
      </c>
      <c r="S94">
        <f>(H419-H422)/H422</f>
        <v>-2.6730512237343105E-2</v>
      </c>
      <c r="T94" s="10">
        <f>(K440-K444)/K444</f>
        <v>6.2848824987783922E-3</v>
      </c>
      <c r="U94" s="10">
        <f>(N431-N435)/N435</f>
        <v>-1.4892507856118536E-2</v>
      </c>
    </row>
    <row r="95" spans="1:21" x14ac:dyDescent="0.3">
      <c r="A95" s="1">
        <v>45615</v>
      </c>
      <c r="B95" s="2">
        <v>43268.940499999997</v>
      </c>
      <c r="D95" s="1">
        <v>45615</v>
      </c>
      <c r="E95" s="3">
        <v>2526.4573242024398</v>
      </c>
      <c r="G95" s="4">
        <v>45611</v>
      </c>
      <c r="H95" s="3">
        <v>250.37521057406201</v>
      </c>
      <c r="J95" s="4">
        <v>45618</v>
      </c>
      <c r="K95" s="3">
        <v>529.67280227506899</v>
      </c>
      <c r="M95" s="1">
        <v>45615</v>
      </c>
      <c r="N95" s="3">
        <v>18987.468000000001</v>
      </c>
      <c r="P95">
        <v>90</v>
      </c>
      <c r="Q95">
        <f>(B436-B440)/B440</f>
        <v>1.6633983269776904E-2</v>
      </c>
      <c r="R95">
        <f>(E426-E430)/E430</f>
        <v>5.2427401808646155E-2</v>
      </c>
      <c r="S95">
        <f>(H423-H427)/H427</f>
        <v>2.4974399567113004E-2</v>
      </c>
      <c r="T95" s="10">
        <f>(K445-K449)/K449</f>
        <v>4.8856601305383877E-2</v>
      </c>
      <c r="U95" s="10">
        <f>(N436-N440)/N440</f>
        <v>3.1290241095654564E-2</v>
      </c>
    </row>
    <row r="96" spans="1:21" x14ac:dyDescent="0.3">
      <c r="A96" s="5">
        <v>45614</v>
      </c>
      <c r="B96" s="2">
        <v>43389.603799999997</v>
      </c>
      <c r="D96" s="5">
        <v>45614</v>
      </c>
      <c r="E96" s="3">
        <v>2515.1099748188499</v>
      </c>
      <c r="G96" s="1">
        <v>45610</v>
      </c>
      <c r="H96" s="3">
        <v>246.62848</v>
      </c>
      <c r="J96" s="1">
        <v>45617</v>
      </c>
      <c r="K96" s="3">
        <v>526.30807255665798</v>
      </c>
      <c r="M96" s="5">
        <v>45614</v>
      </c>
      <c r="N96" s="3">
        <v>18791.806</v>
      </c>
      <c r="P96">
        <v>91</v>
      </c>
      <c r="Q96">
        <f>(B441-B444)/B444</f>
        <v>-1.9861246262203681E-2</v>
      </c>
      <c r="R96">
        <f>(E431-E435)/E435</f>
        <v>-4.7919832215339422E-2</v>
      </c>
      <c r="S96">
        <f>(H428-H432)/H432</f>
        <v>-2.2944537199481554E-2</v>
      </c>
      <c r="T96" s="10">
        <f>(K450-K454)/K454</f>
        <v>-2.3932535917632156E-2</v>
      </c>
      <c r="U96" s="10">
        <f>(N441-N444)/N444</f>
        <v>-1.1294750228580791E-2</v>
      </c>
    </row>
    <row r="97" spans="1:21" x14ac:dyDescent="0.3">
      <c r="A97" s="4">
        <v>45611</v>
      </c>
      <c r="B97" s="2">
        <v>43444.987200000003</v>
      </c>
      <c r="D97" s="4">
        <v>45611</v>
      </c>
      <c r="E97" s="3">
        <v>2495.32311723678</v>
      </c>
      <c r="G97" s="1">
        <v>45609</v>
      </c>
      <c r="H97" s="3">
        <v>249.09398520424</v>
      </c>
      <c r="J97" s="1">
        <v>45616</v>
      </c>
      <c r="K97" s="3">
        <v>527.66473379019703</v>
      </c>
      <c r="M97" s="4">
        <v>45611</v>
      </c>
      <c r="N97" s="3">
        <v>18680.120999999999</v>
      </c>
      <c r="P97">
        <v>92</v>
      </c>
      <c r="Q97">
        <f>(B445-B449)/B449</f>
        <v>2.0551466593972001E-2</v>
      </c>
      <c r="R97">
        <f>(E436-E440)/E440</f>
        <v>5.7495161810222932E-3</v>
      </c>
      <c r="S97">
        <f>(H433-H437)/H437</f>
        <v>9.2252870697558647E-3</v>
      </c>
      <c r="T97" s="10">
        <f>(K455-K459)/K459</f>
        <v>2.0990507407259197E-2</v>
      </c>
      <c r="U97" s="10">
        <f>(N445-N449)/N449</f>
        <v>3.3904658580849234E-2</v>
      </c>
    </row>
    <row r="98" spans="1:21" x14ac:dyDescent="0.3">
      <c r="A98" s="1">
        <v>45610</v>
      </c>
      <c r="B98" s="2">
        <v>43750.856</v>
      </c>
      <c r="D98" s="1">
        <v>45610</v>
      </c>
      <c r="E98" s="3">
        <v>2497.79082917801</v>
      </c>
      <c r="G98" s="1">
        <v>45608</v>
      </c>
      <c r="H98" s="3">
        <v>254.696571798175</v>
      </c>
      <c r="J98" s="1">
        <v>45615</v>
      </c>
      <c r="K98" s="3">
        <v>530.38650618749</v>
      </c>
      <c r="M98" s="1">
        <v>45610</v>
      </c>
      <c r="N98" s="3">
        <v>19107.651000000002</v>
      </c>
      <c r="P98">
        <v>93</v>
      </c>
      <c r="Q98">
        <f>(B450-B453)/B453</f>
        <v>-9.5860019590075889E-3</v>
      </c>
      <c r="R98">
        <f>(E441-E444)/E444</f>
        <v>-5.298112081992086E-2</v>
      </c>
      <c r="S98">
        <f>(H438-H442)/H442</f>
        <v>-2.9269820895077962E-2</v>
      </c>
      <c r="T98" s="10">
        <f>(K460-K464)/K464</f>
        <v>-2.2231226955709268E-2</v>
      </c>
      <c r="U98" s="10">
        <f>(N450-N453)/N453</f>
        <v>-1.2788047143787224E-2</v>
      </c>
    </row>
    <row r="99" spans="1:21" x14ac:dyDescent="0.3">
      <c r="A99" s="1">
        <v>45609</v>
      </c>
      <c r="B99" s="2">
        <v>43958.190300000002</v>
      </c>
      <c r="D99" s="1">
        <v>45609</v>
      </c>
      <c r="E99" s="3">
        <v>2547.8047965452502</v>
      </c>
      <c r="G99" s="5">
        <v>45607</v>
      </c>
      <c r="H99" s="3">
        <v>257.19419686422498</v>
      </c>
      <c r="J99" s="5">
        <v>45614</v>
      </c>
      <c r="K99" s="3">
        <v>532.95742403205099</v>
      </c>
      <c r="M99" s="1">
        <v>45609</v>
      </c>
      <c r="N99" s="3">
        <v>19230.724999999999</v>
      </c>
      <c r="P99">
        <v>94</v>
      </c>
      <c r="Q99">
        <f>(B454-B458)/B458</f>
        <v>6.833307216637041E-3</v>
      </c>
      <c r="R99">
        <f>(E445-E449)/E449</f>
        <v>3.4800048227463375E-2</v>
      </c>
      <c r="S99">
        <f>(H443-H447)/H447</f>
        <v>2.2952980626132387E-2</v>
      </c>
      <c r="T99" s="10">
        <f>(K465-K469)/K469</f>
        <v>2.9757109376133482E-2</v>
      </c>
      <c r="U99" s="10">
        <f>(N454-N458)/N458</f>
        <v>1.6910662304436316E-2</v>
      </c>
    </row>
    <row r="100" spans="1:21" x14ac:dyDescent="0.3">
      <c r="A100" s="1">
        <v>45608</v>
      </c>
      <c r="B100" s="2">
        <v>43910.982199999999</v>
      </c>
      <c r="D100" s="1">
        <v>45608</v>
      </c>
      <c r="E100" s="3">
        <v>2551.7016161174602</v>
      </c>
      <c r="G100" s="4">
        <v>45604</v>
      </c>
      <c r="H100" s="3">
        <v>258.79820480902401</v>
      </c>
      <c r="J100" s="4">
        <v>45611</v>
      </c>
      <c r="K100" s="3">
        <v>530.33688915124196</v>
      </c>
      <c r="M100" s="1">
        <v>45608</v>
      </c>
      <c r="N100" s="3">
        <v>19281.401000000002</v>
      </c>
      <c r="P100">
        <v>95</v>
      </c>
      <c r="Q100">
        <f>(B459-B463)/B463</f>
        <v>9.3531356454438063E-3</v>
      </c>
      <c r="R100">
        <f>(E450-E454)/E454</f>
        <v>1.4625487651323493E-2</v>
      </c>
      <c r="S100">
        <f>(H448-H452)/H452</f>
        <v>2.9192715027022854E-3</v>
      </c>
      <c r="T100" s="10">
        <f>(K470-K474)/K474</f>
        <v>3.4416036208257438E-3</v>
      </c>
      <c r="U100" s="10">
        <f>(N459-N463)/N463</f>
        <v>2.2460530987391779E-3</v>
      </c>
    </row>
    <row r="101" spans="1:21" x14ac:dyDescent="0.3">
      <c r="A101" s="5">
        <v>45607</v>
      </c>
      <c r="B101" s="2">
        <v>44293.133800000003</v>
      </c>
      <c r="D101" s="5">
        <v>45607</v>
      </c>
      <c r="E101" s="3">
        <v>2627.0551468696999</v>
      </c>
      <c r="G101" s="1">
        <v>45603</v>
      </c>
      <c r="H101" s="3">
        <v>257.51265284771199</v>
      </c>
      <c r="J101" s="1">
        <v>45610</v>
      </c>
      <c r="K101" s="3">
        <v>533.90124990786103</v>
      </c>
      <c r="M101" s="5">
        <v>45607</v>
      </c>
      <c r="N101" s="3">
        <v>19298.762999999999</v>
      </c>
      <c r="P101">
        <v>96</v>
      </c>
      <c r="Q101">
        <f>(B464-B467)/B467</f>
        <v>2.1789168261056702E-2</v>
      </c>
      <c r="R101">
        <f>(E455-E459)/E459</f>
        <v>2.0247769014320988E-2</v>
      </c>
      <c r="S101">
        <f>(H453-H457)/H457</f>
        <v>1.2912874174551892E-2</v>
      </c>
      <c r="T101" s="10">
        <f>(K475-K479)/K479</f>
        <v>2.8632413472283822E-3</v>
      </c>
      <c r="U101" s="10">
        <f>(N464-N467)/N467</f>
        <v>1.7157001699107041E-2</v>
      </c>
    </row>
    <row r="102" spans="1:21" x14ac:dyDescent="0.3">
      <c r="A102" s="4">
        <v>45604</v>
      </c>
      <c r="B102" s="2">
        <v>43988.986199999999</v>
      </c>
      <c r="D102" s="4">
        <v>45604</v>
      </c>
      <c r="E102" s="3">
        <v>2666.1766029969699</v>
      </c>
      <c r="G102" s="1">
        <v>45602</v>
      </c>
      <c r="H102" s="3">
        <v>255.323481859906</v>
      </c>
      <c r="J102" s="1">
        <v>45609</v>
      </c>
      <c r="K102" s="3">
        <v>529.82993556564998</v>
      </c>
      <c r="M102" s="4">
        <v>45604</v>
      </c>
      <c r="N102" s="3">
        <v>19286.776999999998</v>
      </c>
      <c r="P102">
        <v>97</v>
      </c>
      <c r="Q102">
        <f>(B468-B472)/B472</f>
        <v>-5.8053791123947934E-3</v>
      </c>
      <c r="R102">
        <f>(E460-E463)/E463</f>
        <v>-4.8126554551845883E-2</v>
      </c>
      <c r="S102">
        <f>(H458-H462)/H462</f>
        <v>-1.9771125127985987E-2</v>
      </c>
      <c r="T102" s="10">
        <f>(K480-K484)/K484</f>
        <v>-2.391943087818316E-2</v>
      </c>
      <c r="U102" s="10">
        <f>(N468-N472)/N472</f>
        <v>2.0039029065522438E-2</v>
      </c>
    </row>
    <row r="103" spans="1:21" x14ac:dyDescent="0.3">
      <c r="A103" s="1">
        <v>45603</v>
      </c>
      <c r="B103" s="2">
        <v>43729.341899999999</v>
      </c>
      <c r="D103" s="1">
        <v>45603</v>
      </c>
      <c r="E103" s="3">
        <v>2696.48933158314</v>
      </c>
      <c r="G103" s="5">
        <v>45601</v>
      </c>
      <c r="H103" s="3">
        <v>253.792216358855</v>
      </c>
      <c r="J103" s="1">
        <v>45608</v>
      </c>
      <c r="K103" s="3">
        <v>533.52100706432395</v>
      </c>
      <c r="M103" s="1">
        <v>45603</v>
      </c>
      <c r="N103" s="3">
        <v>19269.458999999999</v>
      </c>
      <c r="P103">
        <v>98</v>
      </c>
      <c r="Q103">
        <f>(B473-B477)/B477</f>
        <v>2.3399695606976258E-3</v>
      </c>
      <c r="R103">
        <f>(E464-E468)/E468</f>
        <v>-2.3161967357259193E-2</v>
      </c>
      <c r="S103">
        <f>(H463-H467)/H467</f>
        <v>2.6026944720332422E-2</v>
      </c>
      <c r="T103" s="10">
        <f>(K485-K489)/K489</f>
        <v>-1.7967025709129073E-3</v>
      </c>
      <c r="U103" s="10">
        <f>(N473-N477)/N477</f>
        <v>2.3670283292421511E-2</v>
      </c>
    </row>
    <row r="104" spans="1:21" x14ac:dyDescent="0.3">
      <c r="A104" s="1">
        <v>45602</v>
      </c>
      <c r="B104" s="2">
        <v>43729.933199999999</v>
      </c>
      <c r="D104" s="1">
        <v>45602</v>
      </c>
      <c r="E104" s="3">
        <v>2641.28653917875</v>
      </c>
      <c r="G104" s="4">
        <v>45597</v>
      </c>
      <c r="H104" s="3">
        <v>248.74931363578699</v>
      </c>
      <c r="J104" s="5">
        <v>45607</v>
      </c>
      <c r="K104" s="3">
        <v>545.88167609550101</v>
      </c>
      <c r="M104" s="1">
        <v>45602</v>
      </c>
      <c r="N104" s="3">
        <v>18983.465</v>
      </c>
      <c r="P104">
        <v>99</v>
      </c>
      <c r="Q104">
        <f>(B478-B482)/B482</f>
        <v>-9.461113466431614E-3</v>
      </c>
      <c r="R104">
        <f>(E469-E473)/E473</f>
        <v>-3.2185570645922354E-2</v>
      </c>
      <c r="S104">
        <f>(H468-H472)/H472</f>
        <v>1.0431549617667358E-2</v>
      </c>
      <c r="T104" s="10">
        <f>(K490-K494)/K494</f>
        <v>-1.7239614962091289E-2</v>
      </c>
      <c r="U104" s="10">
        <f>(N478-N482)/N482</f>
        <v>2.2702283127152556E-3</v>
      </c>
    </row>
    <row r="105" spans="1:21" x14ac:dyDescent="0.3">
      <c r="A105" s="1">
        <v>45601</v>
      </c>
      <c r="B105" s="2">
        <v>42221.882100000003</v>
      </c>
      <c r="D105" s="1">
        <v>45601</v>
      </c>
      <c r="E105" s="3">
        <v>2702.6605941307398</v>
      </c>
      <c r="G105" s="1">
        <v>45596</v>
      </c>
      <c r="H105" s="3">
        <v>257.06275077285699</v>
      </c>
      <c r="J105" s="4">
        <v>45604</v>
      </c>
      <c r="K105" s="3">
        <v>543.00596992529802</v>
      </c>
      <c r="M105" s="1">
        <v>45601</v>
      </c>
      <c r="N105" s="3">
        <v>18439.170999999998</v>
      </c>
      <c r="P105">
        <v>100</v>
      </c>
      <c r="Q105">
        <f>(B483-B487)/B487</f>
        <v>-1.1080830455016361E-2</v>
      </c>
      <c r="R105">
        <f>(E474-E477)/E477</f>
        <v>6.088964749170268E-3</v>
      </c>
      <c r="S105">
        <f>(H473-H474)/H474</f>
        <v>8.1603793669196428E-3</v>
      </c>
      <c r="T105" s="10">
        <f>(K495-K499)/K499</f>
        <v>4.2585929485726632E-4</v>
      </c>
      <c r="U105" s="10">
        <f>(N483-N487)/N487</f>
        <v>1.8681528696842808E-3</v>
      </c>
    </row>
    <row r="106" spans="1:21" x14ac:dyDescent="0.3">
      <c r="A106" s="5">
        <v>45600</v>
      </c>
      <c r="B106" s="2">
        <v>41794.595500000003</v>
      </c>
      <c r="D106" s="5">
        <v>45600</v>
      </c>
      <c r="E106" s="3">
        <v>2646.3272474620799</v>
      </c>
      <c r="G106" s="1">
        <v>45595</v>
      </c>
      <c r="H106" s="3">
        <v>256.028876865933</v>
      </c>
      <c r="J106" s="1">
        <v>45603</v>
      </c>
      <c r="K106" s="3">
        <v>550.91942349662099</v>
      </c>
      <c r="M106" s="5">
        <v>45600</v>
      </c>
      <c r="N106" s="3">
        <v>18179.984</v>
      </c>
      <c r="P106">
        <v>101</v>
      </c>
      <c r="Q106">
        <f>(B488-B492)/B492</f>
        <v>6.5760943817518864E-3</v>
      </c>
      <c r="R106">
        <f>(E478-E482)/E482</f>
        <v>-3.3258517121932097E-3</v>
      </c>
      <c r="S106">
        <f>(H475-H479)/H479</f>
        <v>-6.0598398326930656E-3</v>
      </c>
      <c r="T106" s="10">
        <f>(K500-K504)/K504</f>
        <v>-6.854359793225101E-3</v>
      </c>
      <c r="U106" s="10">
        <f>(N488-N492)/N492</f>
        <v>1.5732889465028675E-2</v>
      </c>
    </row>
    <row r="107" spans="1:21" x14ac:dyDescent="0.3">
      <c r="A107" s="4">
        <v>45597</v>
      </c>
      <c r="B107" s="2">
        <v>42052.189400000003</v>
      </c>
      <c r="D107" s="4">
        <v>45597</v>
      </c>
      <c r="E107" s="3">
        <v>2636.838586069</v>
      </c>
      <c r="G107" s="1">
        <v>45594</v>
      </c>
      <c r="H107" s="3">
        <v>253.69207694815799</v>
      </c>
      <c r="J107" s="1">
        <v>45602</v>
      </c>
      <c r="K107" s="3">
        <v>543.67369708413105</v>
      </c>
      <c r="M107" s="4">
        <v>45597</v>
      </c>
      <c r="N107" s="3">
        <v>18239.917000000001</v>
      </c>
      <c r="P107">
        <v>102</v>
      </c>
      <c r="Q107">
        <f>(B493-B497)/B497</f>
        <v>-5.24357493528911E-3</v>
      </c>
      <c r="R107">
        <f>(E483-E487)/E487</f>
        <v>-3.3796352434438383E-2</v>
      </c>
      <c r="S107">
        <f>(H480-H484)/H484</f>
        <v>4.05396296563922E-3</v>
      </c>
      <c r="T107" s="10">
        <f>(K505-K509)/K509</f>
        <v>1.0234051991784687E-2</v>
      </c>
      <c r="U107" s="10">
        <f>(N493-N497)/N497</f>
        <v>-7.0134837737721323E-3</v>
      </c>
    </row>
    <row r="108" spans="1:21" x14ac:dyDescent="0.3">
      <c r="A108" s="1">
        <v>45596</v>
      </c>
      <c r="B108" s="2">
        <v>41763.455600000001</v>
      </c>
      <c r="D108" s="1">
        <v>45596</v>
      </c>
      <c r="E108" s="3">
        <v>2613.8674111335599</v>
      </c>
      <c r="G108" s="5">
        <v>45593</v>
      </c>
      <c r="H108" s="3">
        <v>251.862800104396</v>
      </c>
      <c r="J108" s="1">
        <v>45601</v>
      </c>
      <c r="K108" s="3">
        <v>556.91816681422097</v>
      </c>
      <c r="M108" s="1">
        <v>45596</v>
      </c>
      <c r="N108" s="3">
        <v>18095.151000000002</v>
      </c>
      <c r="P108">
        <v>103</v>
      </c>
      <c r="Q108">
        <f>(B498-B502)/B502</f>
        <v>8.9305345087123018E-3</v>
      </c>
      <c r="R108">
        <f>(E488-E491)/E491</f>
        <v>-2.1648119525921098E-3</v>
      </c>
      <c r="S108">
        <f>(H485-H489)/H489</f>
        <v>2.9804210351162888E-2</v>
      </c>
      <c r="T108" s="10">
        <f>(K510-K513)/K513</f>
        <v>1.9428769250111857E-2</v>
      </c>
      <c r="U108" s="10">
        <f>(N498-N502)/N502</f>
        <v>3.2364160106187366E-3</v>
      </c>
    </row>
    <row r="109" spans="1:21" x14ac:dyDescent="0.3">
      <c r="A109" s="1">
        <v>45595</v>
      </c>
      <c r="B109" s="2">
        <v>42141.535900000003</v>
      </c>
      <c r="D109" s="1">
        <v>45595</v>
      </c>
      <c r="E109" s="3">
        <v>2622.3497471660799</v>
      </c>
      <c r="G109" s="4">
        <v>45590</v>
      </c>
      <c r="H109" s="3">
        <v>248.94235062375901</v>
      </c>
      <c r="J109" s="5">
        <v>45600</v>
      </c>
      <c r="K109" s="3">
        <v>553.86840988938002</v>
      </c>
      <c r="M109" s="1">
        <v>45595</v>
      </c>
      <c r="N109" s="3">
        <v>18607.931</v>
      </c>
      <c r="P109">
        <v>104</v>
      </c>
      <c r="Q109">
        <f>(B503-B506)/B506</f>
        <v>-3.4482625004589088E-3</v>
      </c>
      <c r="R109">
        <f>(E492-E494)/E494</f>
        <v>-3.820829646268334E-3</v>
      </c>
      <c r="S109">
        <f>(H490-H494)/H494</f>
        <v>-2.1694409120801027E-2</v>
      </c>
      <c r="T109" s="10">
        <f>(K514-K517)/K517</f>
        <v>4.9646995115798986E-3</v>
      </c>
      <c r="U109" s="10">
        <f>(N503-N506)/N506</f>
        <v>-8.3265426266461006E-3</v>
      </c>
    </row>
    <row r="110" spans="1:21" x14ac:dyDescent="0.3">
      <c r="A110" s="1">
        <v>45594</v>
      </c>
      <c r="B110" s="2">
        <v>42233.0504</v>
      </c>
      <c r="D110" s="1">
        <v>45594</v>
      </c>
      <c r="E110" s="3">
        <v>2663.8965384120402</v>
      </c>
      <c r="G110" s="1">
        <v>45589</v>
      </c>
      <c r="H110" s="3">
        <v>251.24021868000699</v>
      </c>
      <c r="J110" s="4">
        <v>45597</v>
      </c>
      <c r="K110" s="3">
        <v>553.50913306320604</v>
      </c>
      <c r="M110" s="1">
        <v>45594</v>
      </c>
      <c r="N110" s="3">
        <v>18712.748</v>
      </c>
    </row>
    <row r="111" spans="1:21" x14ac:dyDescent="0.3">
      <c r="A111" s="5">
        <v>45593</v>
      </c>
      <c r="B111" s="2">
        <v>42387.5674</v>
      </c>
      <c r="D111" s="5">
        <v>45593</v>
      </c>
      <c r="E111" s="3">
        <v>2650.66268625987</v>
      </c>
      <c r="G111" s="1">
        <v>45588</v>
      </c>
      <c r="H111" s="3">
        <v>249.45898527004201</v>
      </c>
      <c r="J111" s="1">
        <v>45596</v>
      </c>
      <c r="K111" s="3">
        <v>550.018501186251</v>
      </c>
      <c r="M111" s="5">
        <v>45593</v>
      </c>
      <c r="N111" s="3">
        <v>18567.188999999998</v>
      </c>
    </row>
    <row r="112" spans="1:21" x14ac:dyDescent="0.3">
      <c r="A112" s="4">
        <v>45590</v>
      </c>
      <c r="B112" s="2">
        <v>42114.4035</v>
      </c>
      <c r="D112" s="4">
        <v>45590</v>
      </c>
      <c r="E112" s="3">
        <v>2649.9208504395001</v>
      </c>
      <c r="G112" s="1">
        <v>45587</v>
      </c>
      <c r="H112" s="3">
        <v>254.28280153579701</v>
      </c>
      <c r="J112" s="1">
        <v>45595</v>
      </c>
      <c r="K112" s="3">
        <v>555.24678961822997</v>
      </c>
      <c r="M112" s="4">
        <v>45590</v>
      </c>
      <c r="N112" s="3">
        <v>18518.606</v>
      </c>
    </row>
    <row r="113" spans="1:14" x14ac:dyDescent="0.3">
      <c r="A113" s="1">
        <v>45589</v>
      </c>
      <c r="B113" s="2">
        <v>42374.362500000003</v>
      </c>
      <c r="D113" s="1">
        <v>45589</v>
      </c>
      <c r="E113" s="3">
        <v>2636.9827930142401</v>
      </c>
      <c r="G113" s="5">
        <v>45586</v>
      </c>
      <c r="H113" s="3">
        <v>258.26824902208699</v>
      </c>
      <c r="J113" s="1">
        <v>45594</v>
      </c>
      <c r="K113" s="3">
        <v>560.358723049795</v>
      </c>
      <c r="M113" s="1">
        <v>45589</v>
      </c>
      <c r="N113" s="3">
        <v>18415.486000000001</v>
      </c>
    </row>
    <row r="114" spans="1:14" x14ac:dyDescent="0.3">
      <c r="A114" s="1">
        <v>45588</v>
      </c>
      <c r="B114" s="2">
        <v>42514.9519</v>
      </c>
      <c r="D114" s="1">
        <v>45588</v>
      </c>
      <c r="E114" s="3">
        <v>2672.3154751177899</v>
      </c>
      <c r="G114" s="4">
        <v>45583</v>
      </c>
      <c r="H114" s="3">
        <v>260.71261369715302</v>
      </c>
      <c r="J114" s="5">
        <v>45593</v>
      </c>
      <c r="K114" s="3">
        <v>563.25008108984696</v>
      </c>
      <c r="M114" s="1">
        <v>45588</v>
      </c>
      <c r="N114" s="3">
        <v>18276.653999999999</v>
      </c>
    </row>
    <row r="115" spans="1:14" x14ac:dyDescent="0.3">
      <c r="A115" s="1">
        <v>45587</v>
      </c>
      <c r="B115" s="2">
        <v>42924.894699999997</v>
      </c>
      <c r="D115" s="1">
        <v>45587</v>
      </c>
      <c r="E115" s="3">
        <v>2637.5046641190902</v>
      </c>
      <c r="G115" s="1">
        <v>45582</v>
      </c>
      <c r="H115" s="3">
        <v>259.06251664446597</v>
      </c>
      <c r="J115" s="4">
        <v>45590</v>
      </c>
      <c r="K115" s="3">
        <v>559.94948895340497</v>
      </c>
      <c r="M115" s="1">
        <v>45587</v>
      </c>
      <c r="N115" s="3">
        <v>18573.129000000001</v>
      </c>
    </row>
    <row r="116" spans="1:14" x14ac:dyDescent="0.3">
      <c r="A116" s="5">
        <v>45586</v>
      </c>
      <c r="B116" s="2">
        <v>42931.595699999998</v>
      </c>
      <c r="D116" s="5">
        <v>45586</v>
      </c>
      <c r="E116" s="3">
        <v>2634.5971259118301</v>
      </c>
      <c r="G116" s="1">
        <v>45581</v>
      </c>
      <c r="H116" s="3">
        <v>261.86539232722299</v>
      </c>
      <c r="J116" s="1">
        <v>45589</v>
      </c>
      <c r="K116" s="3">
        <v>561.89775015699297</v>
      </c>
      <c r="M116" s="5">
        <v>45586</v>
      </c>
      <c r="N116" s="3">
        <v>18540.005000000001</v>
      </c>
    </row>
    <row r="117" spans="1:14" x14ac:dyDescent="0.3">
      <c r="A117" s="4">
        <v>45583</v>
      </c>
      <c r="B117" s="2">
        <v>43275.908300000003</v>
      </c>
      <c r="D117" s="4">
        <v>45583</v>
      </c>
      <c r="E117" s="3">
        <v>2677.4916344916401</v>
      </c>
      <c r="G117" s="5">
        <v>45580</v>
      </c>
      <c r="H117" s="3">
        <v>267.51491386821601</v>
      </c>
      <c r="J117" s="1">
        <v>45588</v>
      </c>
      <c r="K117" s="3">
        <v>559.36004139894101</v>
      </c>
      <c r="M117" s="4">
        <v>45583</v>
      </c>
      <c r="N117" s="3">
        <v>18489.553</v>
      </c>
    </row>
    <row r="118" spans="1:14" x14ac:dyDescent="0.3">
      <c r="A118" s="1">
        <v>45582</v>
      </c>
      <c r="B118" s="2">
        <v>43239.052900000002</v>
      </c>
      <c r="D118" s="1">
        <v>45582</v>
      </c>
      <c r="E118" s="3">
        <v>2582.9860039106702</v>
      </c>
      <c r="G118" s="4">
        <v>45576</v>
      </c>
      <c r="H118" s="3">
        <v>265.57902501173402</v>
      </c>
      <c r="J118" s="1">
        <v>45587</v>
      </c>
      <c r="K118" s="3">
        <v>561.87782072599202</v>
      </c>
      <c r="M118" s="1">
        <v>45582</v>
      </c>
      <c r="N118" s="3">
        <v>18373.609</v>
      </c>
    </row>
    <row r="119" spans="1:14" x14ac:dyDescent="0.3">
      <c r="A119" s="1">
        <v>45581</v>
      </c>
      <c r="B119" s="2">
        <v>43077.703600000001</v>
      </c>
      <c r="D119" s="1">
        <v>45581</v>
      </c>
      <c r="E119" s="3">
        <v>2610.7522038478901</v>
      </c>
      <c r="G119" s="1">
        <v>45575</v>
      </c>
      <c r="H119" s="3">
        <v>265.08407377492102</v>
      </c>
      <c r="J119" s="5">
        <v>45586</v>
      </c>
      <c r="K119" s="3">
        <v>564.02491780584796</v>
      </c>
      <c r="M119" s="1">
        <v>45581</v>
      </c>
      <c r="N119" s="3">
        <v>18367.079000000002</v>
      </c>
    </row>
    <row r="120" spans="1:14" x14ac:dyDescent="0.3">
      <c r="A120" s="1">
        <v>45580</v>
      </c>
      <c r="B120" s="2">
        <v>42740.420400000003</v>
      </c>
      <c r="D120" s="1">
        <v>45580</v>
      </c>
      <c r="E120" s="3">
        <v>2615.9735812132999</v>
      </c>
      <c r="G120" s="1">
        <v>45574</v>
      </c>
      <c r="H120" s="3">
        <v>263.09839908901398</v>
      </c>
      <c r="J120" s="4">
        <v>45583</v>
      </c>
      <c r="K120" s="3">
        <v>570.45528631967602</v>
      </c>
      <c r="M120" s="1">
        <v>45580</v>
      </c>
      <c r="N120" s="3">
        <v>18315.587</v>
      </c>
    </row>
    <row r="121" spans="1:14" x14ac:dyDescent="0.3">
      <c r="A121" s="5">
        <v>45579</v>
      </c>
      <c r="B121" s="2">
        <v>43065.221299999997</v>
      </c>
      <c r="D121" s="5">
        <v>45579</v>
      </c>
      <c r="E121" s="3">
        <v>2716.7879545074002</v>
      </c>
      <c r="G121" s="1">
        <v>45573</v>
      </c>
      <c r="H121" s="3">
        <v>262.75416694783502</v>
      </c>
      <c r="J121" s="1">
        <v>45582</v>
      </c>
      <c r="K121" s="3">
        <v>567.44432891430495</v>
      </c>
      <c r="M121" s="5">
        <v>45579</v>
      </c>
      <c r="N121" s="3">
        <v>18502.685000000001</v>
      </c>
    </row>
    <row r="122" spans="1:14" x14ac:dyDescent="0.3">
      <c r="A122" s="4">
        <v>45576</v>
      </c>
      <c r="B122" s="2">
        <v>42863.8632</v>
      </c>
      <c r="D122" s="4">
        <v>45575</v>
      </c>
      <c r="E122" s="3">
        <v>2735.2029653272998</v>
      </c>
      <c r="G122" s="5">
        <v>45572</v>
      </c>
      <c r="H122" s="3">
        <v>265.43892563100201</v>
      </c>
      <c r="J122" s="1">
        <v>45581</v>
      </c>
      <c r="K122" s="3">
        <v>564.334821283113</v>
      </c>
      <c r="M122" s="4">
        <v>45576</v>
      </c>
      <c r="N122" s="3">
        <v>18342.937000000002</v>
      </c>
    </row>
    <row r="123" spans="1:14" x14ac:dyDescent="0.3">
      <c r="A123" s="1">
        <v>45575</v>
      </c>
      <c r="B123" s="2">
        <v>42454.117400000003</v>
      </c>
      <c r="D123" s="1">
        <v>45574</v>
      </c>
      <c r="E123" s="3">
        <v>2655.7420085447998</v>
      </c>
      <c r="G123" s="4">
        <v>45569</v>
      </c>
      <c r="H123" s="3">
        <v>259.80512406699302</v>
      </c>
      <c r="J123" s="1">
        <v>45580</v>
      </c>
      <c r="K123" s="3">
        <v>566.90298060483099</v>
      </c>
      <c r="M123" s="1">
        <v>45575</v>
      </c>
      <c r="N123" s="3">
        <v>18282.048999999999</v>
      </c>
    </row>
    <row r="124" spans="1:14" x14ac:dyDescent="0.3">
      <c r="A124" s="1">
        <v>45574</v>
      </c>
      <c r="B124" s="2">
        <v>42511.995499999997</v>
      </c>
      <c r="D124" s="1">
        <v>45573</v>
      </c>
      <c r="E124" s="3">
        <v>2691.61779081134</v>
      </c>
      <c r="G124" s="1">
        <v>45568</v>
      </c>
      <c r="H124" s="3">
        <v>262.40171521918302</v>
      </c>
      <c r="J124" s="5">
        <v>45579</v>
      </c>
      <c r="K124" s="3">
        <v>572.46337286046401</v>
      </c>
      <c r="M124" s="1">
        <v>45574</v>
      </c>
      <c r="N124" s="3">
        <v>18291.616999999998</v>
      </c>
    </row>
    <row r="125" spans="1:14" x14ac:dyDescent="0.3">
      <c r="A125" s="1">
        <v>45573</v>
      </c>
      <c r="B125" s="2">
        <v>42080.373</v>
      </c>
      <c r="D125" s="5">
        <v>45572</v>
      </c>
      <c r="E125" s="3">
        <v>2974.5908289014601</v>
      </c>
      <c r="G125" s="1">
        <v>45567</v>
      </c>
      <c r="H125" s="3">
        <v>258.15075788612103</v>
      </c>
      <c r="J125" s="4">
        <v>45576</v>
      </c>
      <c r="K125" s="3">
        <v>570.88797261382797</v>
      </c>
      <c r="M125" s="1">
        <v>45573</v>
      </c>
      <c r="N125" s="3">
        <v>18182.916000000001</v>
      </c>
    </row>
    <row r="126" spans="1:14" x14ac:dyDescent="0.3">
      <c r="A126" s="5">
        <v>45572</v>
      </c>
      <c r="B126" s="2">
        <v>41954.236700000001</v>
      </c>
      <c r="D126" s="4">
        <v>45569</v>
      </c>
      <c r="E126" s="3">
        <v>2927.6699029126098</v>
      </c>
      <c r="G126" s="1">
        <v>45566</v>
      </c>
      <c r="H126" s="3">
        <v>269.23913346335399</v>
      </c>
      <c r="J126" s="1">
        <v>45575</v>
      </c>
      <c r="K126" s="3">
        <v>567.64972826384201</v>
      </c>
      <c r="M126" s="5">
        <v>45572</v>
      </c>
      <c r="N126" s="3">
        <v>17923.903999999999</v>
      </c>
    </row>
    <row r="127" spans="1:14" x14ac:dyDescent="0.3">
      <c r="A127" s="4">
        <v>45569</v>
      </c>
      <c r="B127" s="2">
        <v>42352.748500000002</v>
      </c>
      <c r="D127" s="1">
        <v>45568</v>
      </c>
      <c r="E127" s="3">
        <v>2848.28434529484</v>
      </c>
      <c r="G127" s="5">
        <v>45565</v>
      </c>
      <c r="H127" s="3">
        <v>264.02694610779901</v>
      </c>
      <c r="J127" s="1">
        <v>45574</v>
      </c>
      <c r="K127" s="3">
        <v>568.88290889997097</v>
      </c>
      <c r="M127" s="4">
        <v>45569</v>
      </c>
      <c r="N127" s="3">
        <v>18137.848999999998</v>
      </c>
    </row>
    <row r="128" spans="1:14" x14ac:dyDescent="0.3">
      <c r="A128" s="1">
        <v>45568</v>
      </c>
      <c r="B128" s="2">
        <v>42011.5893</v>
      </c>
      <c r="D128" s="1">
        <v>45567</v>
      </c>
      <c r="E128" s="3">
        <v>2891.26452477262</v>
      </c>
      <c r="G128" s="4">
        <v>45562</v>
      </c>
      <c r="H128" s="3">
        <v>280.115057317675</v>
      </c>
      <c r="J128" s="1">
        <v>45573</v>
      </c>
      <c r="K128" s="3">
        <v>567.26873455942905</v>
      </c>
      <c r="M128" s="1">
        <v>45568</v>
      </c>
      <c r="N128" s="3">
        <v>17918.475999999999</v>
      </c>
    </row>
    <row r="129" spans="1:14" x14ac:dyDescent="0.3">
      <c r="A129" s="1">
        <v>45567</v>
      </c>
      <c r="B129" s="2">
        <v>42196.523500000003</v>
      </c>
      <c r="D129" s="5">
        <v>45565</v>
      </c>
      <c r="E129" s="3">
        <v>2718.9625226755202</v>
      </c>
      <c r="G129" s="1">
        <v>45561</v>
      </c>
      <c r="H129" s="3">
        <v>268.82341160219801</v>
      </c>
      <c r="J129" s="5">
        <v>45572</v>
      </c>
      <c r="K129" s="3">
        <v>570.08033009964504</v>
      </c>
      <c r="M129" s="1">
        <v>45567</v>
      </c>
      <c r="N129" s="3">
        <v>17925.123</v>
      </c>
    </row>
    <row r="130" spans="1:14" x14ac:dyDescent="0.3">
      <c r="A130" s="1">
        <v>45566</v>
      </c>
      <c r="B130" s="2">
        <v>42156.974499999997</v>
      </c>
      <c r="D130" s="4">
        <v>45562</v>
      </c>
      <c r="E130" s="3">
        <v>2654.66218911234</v>
      </c>
      <c r="G130" s="1">
        <v>45560</v>
      </c>
      <c r="H130" s="3">
        <v>261.62528497408999</v>
      </c>
      <c r="J130" s="4">
        <v>45569</v>
      </c>
      <c r="K130" s="3">
        <v>569.17065460772005</v>
      </c>
      <c r="M130" s="1">
        <v>45566</v>
      </c>
      <c r="N130" s="3">
        <v>17910.359</v>
      </c>
    </row>
    <row r="131" spans="1:14" x14ac:dyDescent="0.3">
      <c r="A131" s="5">
        <v>45565</v>
      </c>
      <c r="B131" s="2">
        <v>42330.149100000002</v>
      </c>
      <c r="D131" s="1">
        <v>45561</v>
      </c>
      <c r="E131" s="3">
        <v>2561.3621463189002</v>
      </c>
      <c r="G131" s="5">
        <v>45559</v>
      </c>
      <c r="H131" s="3">
        <v>264.92975350882</v>
      </c>
      <c r="J131" s="1">
        <v>45568</v>
      </c>
      <c r="K131" s="3">
        <v>569.51706488406501</v>
      </c>
      <c r="M131" s="5">
        <v>45565</v>
      </c>
      <c r="N131" s="3">
        <v>18189.169999999998</v>
      </c>
    </row>
    <row r="132" spans="1:14" x14ac:dyDescent="0.3">
      <c r="A132" s="4">
        <v>45562</v>
      </c>
      <c r="B132" s="2">
        <v>42313.002399999998</v>
      </c>
      <c r="D132" s="1">
        <v>45560</v>
      </c>
      <c r="E132" s="3">
        <v>2457.3318774487898</v>
      </c>
      <c r="G132" s="4">
        <v>45555</v>
      </c>
      <c r="H132" s="3">
        <v>262.13543186712701</v>
      </c>
      <c r="J132" s="1">
        <v>45567</v>
      </c>
      <c r="K132" s="3">
        <v>575.59725643092895</v>
      </c>
      <c r="M132" s="4">
        <v>45562</v>
      </c>
      <c r="N132" s="3">
        <v>18119.59</v>
      </c>
    </row>
    <row r="133" spans="1:14" x14ac:dyDescent="0.3">
      <c r="A133" s="1">
        <v>45561</v>
      </c>
      <c r="B133" s="2">
        <v>42175.106599999999</v>
      </c>
      <c r="D133" s="1">
        <v>45559</v>
      </c>
      <c r="E133" s="3">
        <v>2440.8195773652901</v>
      </c>
      <c r="G133" s="1">
        <v>45554</v>
      </c>
      <c r="H133" s="3">
        <v>260.51977282287402</v>
      </c>
      <c r="J133" s="1">
        <v>45566</v>
      </c>
      <c r="K133" s="3">
        <v>576.45613607941903</v>
      </c>
      <c r="M133" s="1">
        <v>45561</v>
      </c>
      <c r="N133" s="3">
        <v>18190.291000000001</v>
      </c>
    </row>
    <row r="134" spans="1:14" x14ac:dyDescent="0.3">
      <c r="A134" s="1">
        <v>45560</v>
      </c>
      <c r="B134" s="2">
        <v>41914.753400000001</v>
      </c>
      <c r="D134" s="5">
        <v>45558</v>
      </c>
      <c r="E134" s="3">
        <v>2343.6397030491298</v>
      </c>
      <c r="G134" s="1">
        <v>45553</v>
      </c>
      <c r="H134" s="3">
        <v>255.712167006383</v>
      </c>
      <c r="J134" s="5">
        <v>45565</v>
      </c>
      <c r="K134" s="3">
        <v>582.18560374102401</v>
      </c>
      <c r="M134" s="1">
        <v>45560</v>
      </c>
      <c r="N134" s="3">
        <v>18082.205000000002</v>
      </c>
    </row>
    <row r="135" spans="1:14" x14ac:dyDescent="0.3">
      <c r="A135" s="1">
        <v>45559</v>
      </c>
      <c r="B135" s="2">
        <v>42208.217400000001</v>
      </c>
      <c r="D135" s="4">
        <v>45555</v>
      </c>
      <c r="E135" s="3">
        <v>2343.9074173919798</v>
      </c>
      <c r="G135" s="5">
        <v>45552</v>
      </c>
      <c r="H135" s="3">
        <v>254.23609550560499</v>
      </c>
      <c r="J135" s="4">
        <v>45562</v>
      </c>
      <c r="K135" s="3">
        <v>589.49342501841704</v>
      </c>
      <c r="M135" s="1">
        <v>45559</v>
      </c>
      <c r="N135" s="3">
        <v>18074.521000000001</v>
      </c>
    </row>
    <row r="136" spans="1:14" x14ac:dyDescent="0.3">
      <c r="A136" s="5">
        <v>45558</v>
      </c>
      <c r="B136" s="2">
        <v>42124.652099999999</v>
      </c>
      <c r="D136" s="1">
        <v>45554</v>
      </c>
      <c r="E136" s="3">
        <v>2310.9793959920898</v>
      </c>
      <c r="G136" s="4">
        <v>45548</v>
      </c>
      <c r="H136" s="3">
        <v>259.77673625903799</v>
      </c>
      <c r="J136" s="1">
        <v>45561</v>
      </c>
      <c r="K136" s="3">
        <v>587.42470131989296</v>
      </c>
      <c r="M136" s="5">
        <v>45558</v>
      </c>
      <c r="N136" s="3">
        <v>17974.27</v>
      </c>
    </row>
    <row r="137" spans="1:14" x14ac:dyDescent="0.3">
      <c r="A137" s="4">
        <v>45555</v>
      </c>
      <c r="B137" s="2">
        <v>42063.3577</v>
      </c>
      <c r="D137" s="1">
        <v>45552</v>
      </c>
      <c r="E137" s="3">
        <v>2265.7899463703802</v>
      </c>
      <c r="G137" s="1">
        <v>45547</v>
      </c>
      <c r="H137" s="3">
        <v>259.773397277654</v>
      </c>
      <c r="J137" s="1">
        <v>45560</v>
      </c>
      <c r="K137" s="3">
        <v>577.90740390288704</v>
      </c>
      <c r="M137" s="4">
        <v>45555</v>
      </c>
      <c r="N137" s="3">
        <v>17948.321</v>
      </c>
    </row>
    <row r="138" spans="1:14" x14ac:dyDescent="0.3">
      <c r="A138" s="1">
        <v>45554</v>
      </c>
      <c r="B138" s="2">
        <v>42025.188399999999</v>
      </c>
      <c r="D138" s="5">
        <v>45551</v>
      </c>
      <c r="E138" s="3">
        <v>2235.6975117738498</v>
      </c>
      <c r="G138" s="1">
        <v>45546</v>
      </c>
      <c r="H138" s="3">
        <v>250.22669476642599</v>
      </c>
      <c r="J138" s="1">
        <v>45559</v>
      </c>
      <c r="K138" s="3">
        <v>581.027447034489</v>
      </c>
      <c r="M138" s="1">
        <v>45554</v>
      </c>
      <c r="N138" s="3">
        <v>18013.981</v>
      </c>
    </row>
    <row r="139" spans="1:14" x14ac:dyDescent="0.3">
      <c r="A139" s="1">
        <v>45553</v>
      </c>
      <c r="B139" s="2">
        <v>41503.102500000001</v>
      </c>
      <c r="D139" s="4">
        <v>45548</v>
      </c>
      <c r="E139" s="3">
        <v>2227.1776065241702</v>
      </c>
      <c r="G139" s="1">
        <v>45545</v>
      </c>
      <c r="H139" s="3">
        <v>253.873200870587</v>
      </c>
      <c r="J139" s="5">
        <v>45558</v>
      </c>
      <c r="K139" s="3">
        <v>573.73351260653806</v>
      </c>
      <c r="M139" s="1">
        <v>45553</v>
      </c>
      <c r="N139" s="3">
        <v>17573.300999999999</v>
      </c>
    </row>
    <row r="140" spans="1:14" x14ac:dyDescent="0.3">
      <c r="A140" s="1">
        <v>45552</v>
      </c>
      <c r="B140" s="2">
        <v>41606.179499999998</v>
      </c>
      <c r="D140" s="1">
        <v>45547</v>
      </c>
      <c r="E140" s="3">
        <v>2209.4566192490101</v>
      </c>
      <c r="G140" s="5">
        <v>45544</v>
      </c>
      <c r="H140" s="3">
        <v>252.95627575607801</v>
      </c>
      <c r="J140" s="4">
        <v>45555</v>
      </c>
      <c r="K140" s="3">
        <v>574.01495702645605</v>
      </c>
      <c r="M140" s="1">
        <v>45552</v>
      </c>
      <c r="N140" s="3">
        <v>17628.061000000002</v>
      </c>
    </row>
    <row r="141" spans="1:14" x14ac:dyDescent="0.3">
      <c r="A141" s="5">
        <v>45551</v>
      </c>
      <c r="B141" s="2">
        <v>41622.077899999997</v>
      </c>
      <c r="D141" s="1">
        <v>45546</v>
      </c>
      <c r="E141" s="3">
        <v>2193.8462524844499</v>
      </c>
      <c r="G141" s="4">
        <v>45541</v>
      </c>
      <c r="H141" s="3">
        <v>255.79159344906299</v>
      </c>
      <c r="J141" s="1">
        <v>45554</v>
      </c>
      <c r="K141" s="3">
        <v>582.23397843701696</v>
      </c>
      <c r="M141" s="5">
        <v>45551</v>
      </c>
      <c r="N141" s="3">
        <v>17592.127</v>
      </c>
    </row>
    <row r="142" spans="1:14" x14ac:dyDescent="0.3">
      <c r="A142" s="4">
        <v>45548</v>
      </c>
      <c r="B142" s="2">
        <v>41393.784399999997</v>
      </c>
      <c r="D142" s="1">
        <v>45545</v>
      </c>
      <c r="E142" s="3">
        <v>2210.2638092673201</v>
      </c>
      <c r="G142" s="1">
        <v>45540</v>
      </c>
      <c r="H142" s="3">
        <v>255.556957612952</v>
      </c>
      <c r="J142" s="1">
        <v>45553</v>
      </c>
      <c r="K142" s="3">
        <v>572.12265409588099</v>
      </c>
      <c r="M142" s="4">
        <v>45548</v>
      </c>
      <c r="N142" s="3">
        <v>17683.975999999999</v>
      </c>
    </row>
    <row r="143" spans="1:14" x14ac:dyDescent="0.3">
      <c r="A143" s="1">
        <v>45547</v>
      </c>
      <c r="B143" s="2">
        <v>41096.772900000004</v>
      </c>
      <c r="D143" s="5">
        <v>45544</v>
      </c>
      <c r="E143" s="3">
        <v>2205.7282113769002</v>
      </c>
      <c r="G143" s="1">
        <v>45539</v>
      </c>
      <c r="H143" s="3">
        <v>257.758366381423</v>
      </c>
      <c r="J143" s="1">
        <v>45552</v>
      </c>
      <c r="K143" s="3">
        <v>574.75134744679701</v>
      </c>
      <c r="M143" s="1">
        <v>45547</v>
      </c>
      <c r="N143" s="3">
        <v>17569.675999999999</v>
      </c>
    </row>
    <row r="144" spans="1:14" x14ac:dyDescent="0.3">
      <c r="A144" s="1">
        <v>45546</v>
      </c>
      <c r="B144" s="2">
        <v>40861.712699999996</v>
      </c>
      <c r="D144" s="4">
        <v>45540</v>
      </c>
      <c r="E144" s="3">
        <v>2238.4575901449998</v>
      </c>
      <c r="G144" s="1">
        <v>45538</v>
      </c>
      <c r="H144" s="3">
        <v>265.94012511170502</v>
      </c>
      <c r="J144" s="5">
        <v>45551</v>
      </c>
      <c r="K144" s="3">
        <v>573.42120203493505</v>
      </c>
      <c r="M144" s="1">
        <v>45546</v>
      </c>
      <c r="N144" s="3">
        <v>17395.530999999999</v>
      </c>
    </row>
    <row r="145" spans="1:14" x14ac:dyDescent="0.3">
      <c r="A145" s="1">
        <v>45545</v>
      </c>
      <c r="B145" s="2">
        <v>40736.955999999998</v>
      </c>
      <c r="D145" s="1">
        <v>45539</v>
      </c>
      <c r="E145" s="3">
        <v>2239.0678107404401</v>
      </c>
      <c r="G145" s="5">
        <v>45537</v>
      </c>
      <c r="H145" s="3">
        <v>263.45044247786399</v>
      </c>
      <c r="J145" s="4">
        <v>45548</v>
      </c>
      <c r="K145" s="3">
        <v>571.468128703552</v>
      </c>
      <c r="M145" s="1">
        <v>45545</v>
      </c>
      <c r="N145" s="3">
        <v>17025.88</v>
      </c>
    </row>
    <row r="146" spans="1:14" x14ac:dyDescent="0.3">
      <c r="A146" s="5">
        <v>45544</v>
      </c>
      <c r="B146" s="2">
        <v>40829.587399999997</v>
      </c>
      <c r="D146" s="1">
        <v>45538</v>
      </c>
      <c r="E146" s="3">
        <v>2263.4177929371899</v>
      </c>
      <c r="G146" s="4">
        <v>45534</v>
      </c>
      <c r="H146" s="3">
        <v>264.42084017515901</v>
      </c>
      <c r="J146" s="1">
        <v>45547</v>
      </c>
      <c r="K146" s="3">
        <v>567.07492635822302</v>
      </c>
      <c r="M146" s="5">
        <v>45544</v>
      </c>
      <c r="N146" s="3">
        <v>16884.602999999999</v>
      </c>
    </row>
    <row r="147" spans="1:14" x14ac:dyDescent="0.3">
      <c r="A147" s="4">
        <v>45541</v>
      </c>
      <c r="B147" s="2">
        <v>40345.408000000003</v>
      </c>
      <c r="D147" s="5">
        <v>45537</v>
      </c>
      <c r="E147" s="3">
        <v>2269.33595002629</v>
      </c>
      <c r="G147" s="1">
        <v>45533</v>
      </c>
      <c r="H147" s="3">
        <v>264.60566974753601</v>
      </c>
      <c r="J147" s="1">
        <v>45546</v>
      </c>
      <c r="K147" s="3">
        <v>559.38250126626701</v>
      </c>
      <c r="M147" s="4">
        <v>45541</v>
      </c>
      <c r="N147" s="3">
        <v>16690.831999999999</v>
      </c>
    </row>
    <row r="148" spans="1:14" x14ac:dyDescent="0.3">
      <c r="A148" s="1">
        <v>45540</v>
      </c>
      <c r="B148" s="2">
        <v>40755.7451</v>
      </c>
      <c r="D148" s="4">
        <v>45534</v>
      </c>
      <c r="E148" s="3">
        <v>2307.0896335911202</v>
      </c>
      <c r="G148" s="1">
        <v>45532</v>
      </c>
      <c r="H148" s="3">
        <v>265.41993497961198</v>
      </c>
      <c r="J148" s="1">
        <v>45545</v>
      </c>
      <c r="K148" s="3">
        <v>559.71218265161997</v>
      </c>
      <c r="M148" s="1">
        <v>45540</v>
      </c>
      <c r="N148" s="3">
        <v>17127.661</v>
      </c>
    </row>
    <row r="149" spans="1:14" x14ac:dyDescent="0.3">
      <c r="A149" s="1">
        <v>45539</v>
      </c>
      <c r="B149" s="2">
        <v>40974.972600000001</v>
      </c>
      <c r="D149" s="1">
        <v>45533</v>
      </c>
      <c r="E149" s="3">
        <v>2281.0285347867798</v>
      </c>
      <c r="G149" s="1">
        <v>45531</v>
      </c>
      <c r="H149" s="3">
        <v>265.98555053836998</v>
      </c>
      <c r="J149" s="5">
        <v>45544</v>
      </c>
      <c r="K149" s="3">
        <v>563.50616248661902</v>
      </c>
      <c r="M149" s="1">
        <v>45539</v>
      </c>
      <c r="N149" s="3">
        <v>17084.295999999998</v>
      </c>
    </row>
    <row r="150" spans="1:14" x14ac:dyDescent="0.3">
      <c r="A150" s="5">
        <v>45538</v>
      </c>
      <c r="B150" s="2">
        <v>40936.934600000001</v>
      </c>
      <c r="D150" s="1">
        <v>45532</v>
      </c>
      <c r="E150" s="3">
        <v>2268.0592767315802</v>
      </c>
      <c r="G150" s="5">
        <v>45530</v>
      </c>
      <c r="H150" s="3">
        <v>263.70204815942998</v>
      </c>
      <c r="J150" s="4">
        <v>45541</v>
      </c>
      <c r="K150" s="3">
        <v>561.42217493461203</v>
      </c>
      <c r="M150" s="5">
        <v>45538</v>
      </c>
      <c r="N150" s="3">
        <v>17136.297999999999</v>
      </c>
    </row>
    <row r="151" spans="1:14" x14ac:dyDescent="0.3">
      <c r="A151" s="4">
        <v>45534</v>
      </c>
      <c r="B151" s="2">
        <v>41563.082900000001</v>
      </c>
      <c r="D151" s="1">
        <v>45531</v>
      </c>
      <c r="E151" s="3">
        <v>2291.3012267500699</v>
      </c>
      <c r="G151" s="4">
        <v>45527</v>
      </c>
      <c r="H151" s="3">
        <v>265.73574842418202</v>
      </c>
      <c r="J151" s="1">
        <v>45540</v>
      </c>
      <c r="K151" s="3">
        <v>568.88755568887495</v>
      </c>
      <c r="M151" s="4">
        <v>45534</v>
      </c>
      <c r="N151" s="3">
        <v>17713.624</v>
      </c>
    </row>
    <row r="152" spans="1:14" x14ac:dyDescent="0.3">
      <c r="A152" s="1">
        <v>45533</v>
      </c>
      <c r="B152" s="2">
        <v>41335.052199999998</v>
      </c>
      <c r="D152" s="5">
        <v>45530</v>
      </c>
      <c r="E152" s="3">
        <v>2283.0885465437</v>
      </c>
      <c r="G152" s="1">
        <v>45526</v>
      </c>
      <c r="H152" s="3">
        <v>261.25399972652298</v>
      </c>
      <c r="J152" s="1">
        <v>45539</v>
      </c>
      <c r="K152" s="3">
        <v>570.52617580566402</v>
      </c>
      <c r="M152" s="1">
        <v>45533</v>
      </c>
      <c r="N152" s="3">
        <v>17516.43</v>
      </c>
    </row>
    <row r="153" spans="1:14" x14ac:dyDescent="0.3">
      <c r="A153" s="1">
        <v>45532</v>
      </c>
      <c r="B153" s="2">
        <v>41091.418700000002</v>
      </c>
      <c r="D153" s="4">
        <v>45527</v>
      </c>
      <c r="E153" s="3">
        <v>2259.2939425815298</v>
      </c>
      <c r="G153" s="1">
        <v>45525</v>
      </c>
      <c r="H153" s="3">
        <v>261.26807104502097</v>
      </c>
      <c r="J153" s="1">
        <v>45538</v>
      </c>
      <c r="K153" s="3">
        <v>574.05996355805701</v>
      </c>
      <c r="M153" s="1">
        <v>45532</v>
      </c>
      <c r="N153" s="3">
        <v>17556.026999999998</v>
      </c>
    </row>
    <row r="154" spans="1:14" x14ac:dyDescent="0.3">
      <c r="A154" s="1">
        <v>45531</v>
      </c>
      <c r="B154" s="2">
        <v>41250.501499999998</v>
      </c>
      <c r="D154" s="1">
        <v>45526</v>
      </c>
      <c r="E154" s="3">
        <v>2262.68197268005</v>
      </c>
      <c r="G154" s="1">
        <v>45524</v>
      </c>
      <c r="H154" s="3">
        <v>262.05108433735802</v>
      </c>
      <c r="J154" s="5">
        <v>45537</v>
      </c>
      <c r="K154" s="3">
        <v>581.16157031198202</v>
      </c>
      <c r="M154" s="1">
        <v>45531</v>
      </c>
      <c r="N154" s="3">
        <v>17754.82</v>
      </c>
    </row>
    <row r="155" spans="1:14" x14ac:dyDescent="0.3">
      <c r="A155" s="5">
        <v>45530</v>
      </c>
      <c r="B155" s="2">
        <v>41240.515700000004</v>
      </c>
      <c r="D155" s="1">
        <v>45525</v>
      </c>
      <c r="E155" s="3">
        <v>2231.4189666012298</v>
      </c>
      <c r="G155" s="5">
        <v>45523</v>
      </c>
      <c r="H155" s="3">
        <v>255.09053694480701</v>
      </c>
      <c r="J155" s="4">
        <v>45534</v>
      </c>
      <c r="K155" s="3">
        <v>580.02474536576699</v>
      </c>
      <c r="M155" s="5">
        <v>45530</v>
      </c>
      <c r="N155" s="3">
        <v>17725.764999999999</v>
      </c>
    </row>
    <row r="156" spans="1:14" x14ac:dyDescent="0.3">
      <c r="A156" s="4">
        <v>45527</v>
      </c>
      <c r="B156" s="2">
        <v>41175.082499999997</v>
      </c>
      <c r="D156" s="1">
        <v>45524</v>
      </c>
      <c r="E156" s="3">
        <v>2248.4694401643501</v>
      </c>
      <c r="G156" s="4">
        <v>45520</v>
      </c>
      <c r="H156" s="3">
        <v>257.91211546278799</v>
      </c>
      <c r="J156" s="1">
        <v>45533</v>
      </c>
      <c r="K156" s="3">
        <v>581.06715996322305</v>
      </c>
      <c r="M156" s="4">
        <v>45527</v>
      </c>
      <c r="N156" s="3">
        <v>17877.794000000002</v>
      </c>
    </row>
    <row r="157" spans="1:14" x14ac:dyDescent="0.3">
      <c r="A157" s="1">
        <v>45526</v>
      </c>
      <c r="B157" s="2">
        <v>40712.779900000001</v>
      </c>
      <c r="D157" s="5">
        <v>45523</v>
      </c>
      <c r="E157" s="3">
        <v>2255.8928135793499</v>
      </c>
      <c r="G157" s="1">
        <v>45519</v>
      </c>
      <c r="H157" s="3">
        <v>246.041669458028</v>
      </c>
      <c r="J157" s="1">
        <v>45532</v>
      </c>
      <c r="K157" s="3">
        <v>578.90757050084801</v>
      </c>
      <c r="M157" s="1">
        <v>45526</v>
      </c>
      <c r="N157" s="3">
        <v>17619.353999999999</v>
      </c>
    </row>
    <row r="158" spans="1:14" x14ac:dyDescent="0.3">
      <c r="A158" s="1">
        <v>45525</v>
      </c>
      <c r="B158" s="2">
        <v>40890.487500000003</v>
      </c>
      <c r="D158" s="4">
        <v>45520</v>
      </c>
      <c r="E158" s="3">
        <v>2236.27009481288</v>
      </c>
      <c r="G158" s="1">
        <v>45518</v>
      </c>
      <c r="H158" s="3">
        <v>247.38598873125801</v>
      </c>
      <c r="J158" s="1">
        <v>45531</v>
      </c>
      <c r="K158" s="3">
        <v>580.31829823403802</v>
      </c>
      <c r="M158" s="1">
        <v>45525</v>
      </c>
      <c r="N158" s="3">
        <v>17918.987000000001</v>
      </c>
    </row>
    <row r="159" spans="1:14" x14ac:dyDescent="0.3">
      <c r="A159" s="1">
        <v>45524</v>
      </c>
      <c r="B159" s="2">
        <v>40834.974399999999</v>
      </c>
      <c r="D159" s="1">
        <v>45519</v>
      </c>
      <c r="E159" s="3">
        <v>2194.3797455366298</v>
      </c>
      <c r="G159" s="5">
        <v>45517</v>
      </c>
      <c r="H159" s="3">
        <v>246.78184171093</v>
      </c>
      <c r="J159" s="5">
        <v>45530</v>
      </c>
      <c r="K159" s="3">
        <v>578.19370968101805</v>
      </c>
      <c r="M159" s="1">
        <v>45524</v>
      </c>
      <c r="N159" s="3">
        <v>17816.937000000002</v>
      </c>
    </row>
    <row r="160" spans="1:14" x14ac:dyDescent="0.3">
      <c r="A160" s="5">
        <v>45523</v>
      </c>
      <c r="B160" s="2">
        <v>40896.531600000002</v>
      </c>
      <c r="D160" s="1">
        <v>45518</v>
      </c>
      <c r="E160" s="3">
        <v>2196.2731006160102</v>
      </c>
      <c r="G160" s="4">
        <v>45513</v>
      </c>
      <c r="H160" s="3">
        <v>238.899120114602</v>
      </c>
      <c r="J160" s="4">
        <v>45527</v>
      </c>
      <c r="K160" s="3">
        <v>579.78425799520903</v>
      </c>
      <c r="M160" s="5">
        <v>45523</v>
      </c>
      <c r="N160" s="3">
        <v>17876.771000000001</v>
      </c>
    </row>
    <row r="161" spans="1:14" x14ac:dyDescent="0.3">
      <c r="A161" s="4">
        <v>45520</v>
      </c>
      <c r="B161" s="2">
        <v>40659.763299999999</v>
      </c>
      <c r="D161" s="1">
        <v>45517</v>
      </c>
      <c r="E161" s="3">
        <v>2205.1668571281898</v>
      </c>
      <c r="G161" s="1">
        <v>45512</v>
      </c>
      <c r="H161" s="3">
        <v>236.49612982073401</v>
      </c>
      <c r="J161" s="1">
        <v>45526</v>
      </c>
      <c r="K161" s="3">
        <v>573.08901803473805</v>
      </c>
      <c r="M161" s="4">
        <v>45520</v>
      </c>
      <c r="N161" s="3">
        <v>17631.72</v>
      </c>
    </row>
    <row r="162" spans="1:14" x14ac:dyDescent="0.3">
      <c r="A162" s="1">
        <v>45519</v>
      </c>
      <c r="B162" s="2">
        <v>40563.058799999999</v>
      </c>
      <c r="D162" s="5">
        <v>45516</v>
      </c>
      <c r="E162" s="3">
        <v>2196.3918981362699</v>
      </c>
      <c r="G162" s="1">
        <v>45511</v>
      </c>
      <c r="H162" s="3">
        <v>239.20935305746201</v>
      </c>
      <c r="J162" s="1">
        <v>45525</v>
      </c>
      <c r="K162" s="3">
        <v>573.054880360369</v>
      </c>
      <c r="M162" s="1">
        <v>45519</v>
      </c>
      <c r="N162" s="3">
        <v>17594.495999999999</v>
      </c>
    </row>
    <row r="163" spans="1:14" x14ac:dyDescent="0.3">
      <c r="A163" s="1">
        <v>45518</v>
      </c>
      <c r="B163" s="2">
        <v>40008.387699999999</v>
      </c>
      <c r="D163" s="4">
        <v>45513</v>
      </c>
      <c r="E163" s="3">
        <v>2191.7576146200599</v>
      </c>
      <c r="G163" s="1">
        <v>45510</v>
      </c>
      <c r="H163" s="3">
        <v>240.30117810118099</v>
      </c>
      <c r="J163" s="1">
        <v>45524</v>
      </c>
      <c r="K163" s="3">
        <v>570.15815775707802</v>
      </c>
      <c r="M163" s="1">
        <v>45518</v>
      </c>
      <c r="N163" s="3">
        <v>17192.600999999999</v>
      </c>
    </row>
    <row r="164" spans="1:14" x14ac:dyDescent="0.3">
      <c r="A164" s="1">
        <v>45517</v>
      </c>
      <c r="B164" s="2">
        <v>39765.641100000001</v>
      </c>
      <c r="D164" s="1">
        <v>45512</v>
      </c>
      <c r="E164" s="3">
        <v>2167.1195442999001</v>
      </c>
      <c r="G164" s="5">
        <v>45509</v>
      </c>
      <c r="H164" s="3">
        <v>218.20364847054799</v>
      </c>
      <c r="J164" s="5">
        <v>45523</v>
      </c>
      <c r="K164" s="3">
        <v>570.42300359154001</v>
      </c>
      <c r="M164" s="1">
        <v>45517</v>
      </c>
      <c r="N164" s="3">
        <v>17187.608</v>
      </c>
    </row>
    <row r="165" spans="1:14" x14ac:dyDescent="0.3">
      <c r="A165" s="5">
        <v>45516</v>
      </c>
      <c r="B165" s="2">
        <v>39357.0121</v>
      </c>
      <c r="D165" s="1">
        <v>45511</v>
      </c>
      <c r="E165" s="3">
        <v>2164.2721583914699</v>
      </c>
      <c r="G165" s="4">
        <v>45506</v>
      </c>
      <c r="H165" s="3">
        <v>245.050498157509</v>
      </c>
      <c r="J165" s="4">
        <v>45520</v>
      </c>
      <c r="K165" s="3">
        <v>564.02876111074295</v>
      </c>
      <c r="M165" s="5">
        <v>45516</v>
      </c>
      <c r="N165" s="3">
        <v>16780.609</v>
      </c>
    </row>
    <row r="166" spans="1:14" x14ac:dyDescent="0.3">
      <c r="A166" s="4">
        <v>45513</v>
      </c>
      <c r="B166" s="2">
        <v>39497.535799999998</v>
      </c>
      <c r="D166" s="1">
        <v>45510</v>
      </c>
      <c r="E166" s="3">
        <v>2135.80775941702</v>
      </c>
      <c r="G166" s="1">
        <v>45505</v>
      </c>
      <c r="H166" s="3">
        <v>255.26466256025</v>
      </c>
      <c r="J166" s="1">
        <v>45519</v>
      </c>
      <c r="K166" s="3">
        <v>559.39176513181496</v>
      </c>
      <c r="M166" s="4">
        <v>45513</v>
      </c>
      <c r="N166" s="3">
        <v>16745.302</v>
      </c>
    </row>
    <row r="167" spans="1:14" x14ac:dyDescent="0.3">
      <c r="A167" s="1">
        <v>45512</v>
      </c>
      <c r="B167" s="2">
        <v>39446.49</v>
      </c>
      <c r="D167" s="5">
        <v>45509</v>
      </c>
      <c r="E167" s="3">
        <v>2143.9763754253099</v>
      </c>
      <c r="G167" s="1">
        <v>45504</v>
      </c>
      <c r="H167" s="3">
        <v>260.71356180824603</v>
      </c>
      <c r="J167" s="1">
        <v>45518</v>
      </c>
      <c r="K167" s="3">
        <v>555.11507543222297</v>
      </c>
      <c r="M167" s="1">
        <v>45512</v>
      </c>
      <c r="N167" s="3">
        <v>16660.021000000001</v>
      </c>
    </row>
    <row r="168" spans="1:14" x14ac:dyDescent="0.3">
      <c r="A168" s="1">
        <v>45511</v>
      </c>
      <c r="B168" s="2">
        <v>38763.449000000001</v>
      </c>
      <c r="D168" s="4">
        <v>45506</v>
      </c>
      <c r="E168" s="3">
        <v>2170.7757935999698</v>
      </c>
      <c r="G168" s="1">
        <v>45503</v>
      </c>
      <c r="H168" s="3">
        <v>252.199201361608</v>
      </c>
      <c r="J168" s="1">
        <v>45517</v>
      </c>
      <c r="K168" s="3">
        <v>551.426215993406</v>
      </c>
      <c r="M168" s="1">
        <v>45511</v>
      </c>
      <c r="N168" s="3">
        <v>16195.806</v>
      </c>
    </row>
    <row r="169" spans="1:14" x14ac:dyDescent="0.3">
      <c r="A169" s="1">
        <v>45510</v>
      </c>
      <c r="B169" s="2">
        <v>38997.655200000001</v>
      </c>
      <c r="D169" s="1">
        <v>45505</v>
      </c>
      <c r="E169" s="3">
        <v>2214.4113017774198</v>
      </c>
      <c r="G169" s="5">
        <v>45502</v>
      </c>
      <c r="H169" s="3">
        <v>249.78007921562801</v>
      </c>
      <c r="J169" s="5">
        <v>45516</v>
      </c>
      <c r="K169" s="3">
        <v>545.54398084890295</v>
      </c>
      <c r="M169" s="1">
        <v>45510</v>
      </c>
      <c r="N169" s="3">
        <v>16366.855</v>
      </c>
    </row>
    <row r="170" spans="1:14" x14ac:dyDescent="0.3">
      <c r="A170" s="5">
        <v>45509</v>
      </c>
      <c r="B170" s="2">
        <v>38703.271500000003</v>
      </c>
      <c r="D170" s="1">
        <v>45504</v>
      </c>
      <c r="E170" s="3">
        <v>2220.25089605736</v>
      </c>
      <c r="G170" s="4">
        <v>45499</v>
      </c>
      <c r="H170" s="3">
        <v>245.03909705959501</v>
      </c>
      <c r="J170" s="4">
        <v>45513</v>
      </c>
      <c r="K170" s="3">
        <v>544.91370935170096</v>
      </c>
      <c r="M170" s="5">
        <v>45509</v>
      </c>
      <c r="N170" s="3">
        <v>16200.082</v>
      </c>
    </row>
    <row r="171" spans="1:14" x14ac:dyDescent="0.3">
      <c r="A171" s="4">
        <v>45506</v>
      </c>
      <c r="B171" s="2">
        <v>39737.260399999999</v>
      </c>
      <c r="D171" s="1">
        <v>45503</v>
      </c>
      <c r="E171" s="3">
        <v>2176.17749449649</v>
      </c>
      <c r="G171" s="1">
        <v>45498</v>
      </c>
      <c r="H171" s="3">
        <v>246.01773533424799</v>
      </c>
      <c r="J171" s="1">
        <v>45512</v>
      </c>
      <c r="K171" s="3">
        <v>541.93597694122002</v>
      </c>
      <c r="M171" s="4">
        <v>45506</v>
      </c>
      <c r="N171" s="3">
        <v>16776.164000000001</v>
      </c>
    </row>
    <row r="172" spans="1:14" x14ac:dyDescent="0.3">
      <c r="A172" s="1">
        <v>45505</v>
      </c>
      <c r="B172" s="2">
        <v>40347.970200000003</v>
      </c>
      <c r="D172" s="5">
        <v>45502</v>
      </c>
      <c r="E172" s="3">
        <v>2207.2703526338801</v>
      </c>
      <c r="G172" s="1">
        <v>45497</v>
      </c>
      <c r="H172" s="3">
        <v>254.467082602185</v>
      </c>
      <c r="J172" s="1">
        <v>45511</v>
      </c>
      <c r="K172" s="3">
        <v>541.636178972773</v>
      </c>
      <c r="M172" s="1">
        <v>45505</v>
      </c>
      <c r="N172" s="3">
        <v>17194.145</v>
      </c>
    </row>
    <row r="173" spans="1:14" x14ac:dyDescent="0.3">
      <c r="A173" s="1">
        <v>45504</v>
      </c>
      <c r="B173" s="2">
        <v>40842.792300000001</v>
      </c>
      <c r="D173" s="4">
        <v>45499</v>
      </c>
      <c r="E173" s="3">
        <v>2180.3742986703601</v>
      </c>
      <c r="G173" s="1">
        <v>45496</v>
      </c>
      <c r="H173" s="3">
        <v>254.49537215579599</v>
      </c>
      <c r="J173" s="1">
        <v>45510</v>
      </c>
      <c r="K173" s="3">
        <v>533.86671913084194</v>
      </c>
      <c r="M173" s="1">
        <v>45504</v>
      </c>
      <c r="N173" s="3">
        <v>17599.400000000001</v>
      </c>
    </row>
    <row r="174" spans="1:14" x14ac:dyDescent="0.3">
      <c r="A174" s="1">
        <v>45503</v>
      </c>
      <c r="B174" s="2">
        <v>40743.328500000003</v>
      </c>
      <c r="D174" s="1">
        <v>45498</v>
      </c>
      <c r="E174" s="3">
        <v>2178.3370055339201</v>
      </c>
      <c r="G174" s="5">
        <v>45495</v>
      </c>
      <c r="H174" s="3">
        <v>252.22292993629199</v>
      </c>
      <c r="J174" s="5">
        <v>45509</v>
      </c>
      <c r="K174" s="3">
        <v>533.41437771060805</v>
      </c>
      <c r="M174" s="1">
        <v>45503</v>
      </c>
      <c r="N174" s="3">
        <v>17147.417000000001</v>
      </c>
    </row>
    <row r="175" spans="1:14" x14ac:dyDescent="0.3">
      <c r="A175" s="5">
        <v>45502</v>
      </c>
      <c r="B175" s="2">
        <v>40539.933799999999</v>
      </c>
      <c r="D175" s="1">
        <v>45497</v>
      </c>
      <c r="E175" s="3">
        <v>2216.9778699861699</v>
      </c>
      <c r="G175" s="4">
        <v>45492</v>
      </c>
      <c r="H175" s="3">
        <v>254.389421550582</v>
      </c>
      <c r="J175" s="4">
        <v>45506</v>
      </c>
      <c r="K175" s="3">
        <v>543.05379815873505</v>
      </c>
      <c r="M175" s="5">
        <v>45502</v>
      </c>
      <c r="N175" s="3">
        <v>17370.201000000001</v>
      </c>
    </row>
    <row r="176" spans="1:14" x14ac:dyDescent="0.3">
      <c r="A176" s="4">
        <v>45499</v>
      </c>
      <c r="B176" s="2">
        <v>40589.337200000002</v>
      </c>
      <c r="D176" s="1">
        <v>45496</v>
      </c>
      <c r="E176" s="3">
        <v>2236.9943528869399</v>
      </c>
      <c r="G176" s="1">
        <v>45491</v>
      </c>
      <c r="H176" s="3">
        <v>254.98093664612699</v>
      </c>
      <c r="J176" s="1">
        <v>45505</v>
      </c>
      <c r="K176" s="3">
        <v>552.31466494011102</v>
      </c>
      <c r="M176" s="4">
        <v>45499</v>
      </c>
      <c r="N176" s="3">
        <v>17357.882000000001</v>
      </c>
    </row>
    <row r="177" spans="1:14" x14ac:dyDescent="0.3">
      <c r="A177" s="1">
        <v>45498</v>
      </c>
      <c r="B177" s="2">
        <v>39935.071000000004</v>
      </c>
      <c r="D177" s="5">
        <v>45495</v>
      </c>
      <c r="E177" s="3">
        <v>2258.9540290248501</v>
      </c>
      <c r="G177" s="1">
        <v>45490</v>
      </c>
      <c r="H177" s="3">
        <v>263.17680584015699</v>
      </c>
      <c r="J177" s="1">
        <v>45504</v>
      </c>
      <c r="K177" s="3">
        <v>560.92834951666703</v>
      </c>
      <c r="M177" s="1">
        <v>45498</v>
      </c>
      <c r="N177" s="3">
        <v>17181.723999999998</v>
      </c>
    </row>
    <row r="178" spans="1:14" x14ac:dyDescent="0.3">
      <c r="A178" s="1">
        <v>45497</v>
      </c>
      <c r="B178" s="2">
        <v>39853.870799999997</v>
      </c>
      <c r="D178" s="4">
        <v>45492</v>
      </c>
      <c r="E178" s="3">
        <v>2230.1481415090798</v>
      </c>
      <c r="G178" s="5">
        <v>45489</v>
      </c>
      <c r="H178" s="3">
        <v>260.67374005305601</v>
      </c>
      <c r="J178" s="1">
        <v>45503</v>
      </c>
      <c r="K178" s="3">
        <v>555.97854300051802</v>
      </c>
      <c r="M178" s="1">
        <v>45497</v>
      </c>
      <c r="N178" s="3">
        <v>17342.413</v>
      </c>
    </row>
    <row r="179" spans="1:14" x14ac:dyDescent="0.3">
      <c r="A179" s="1">
        <v>45496</v>
      </c>
      <c r="B179" s="2">
        <v>40358.087399999997</v>
      </c>
      <c r="D179" s="1">
        <v>45491</v>
      </c>
      <c r="E179" s="3">
        <v>2276.3357703486599</v>
      </c>
      <c r="G179" s="4">
        <v>45485</v>
      </c>
      <c r="H179" s="3">
        <v>260.88213313068098</v>
      </c>
      <c r="J179" s="5">
        <v>45502</v>
      </c>
      <c r="K179" s="3">
        <v>553.705506870063</v>
      </c>
      <c r="M179" s="1">
        <v>45496</v>
      </c>
      <c r="N179" s="3">
        <v>17997.350999999999</v>
      </c>
    </row>
    <row r="180" spans="1:14" x14ac:dyDescent="0.3">
      <c r="A180" s="5">
        <v>45495</v>
      </c>
      <c r="B180" s="2">
        <v>40415.439899999998</v>
      </c>
      <c r="D180" s="1">
        <v>45490</v>
      </c>
      <c r="E180" s="3">
        <v>2272.2150350322099</v>
      </c>
      <c r="G180" s="1">
        <v>45484</v>
      </c>
      <c r="H180" s="3">
        <v>265.89433249372098</v>
      </c>
      <c r="J180" s="4">
        <v>45499</v>
      </c>
      <c r="K180" s="3">
        <v>556.78240288363099</v>
      </c>
      <c r="M180" s="5">
        <v>45495</v>
      </c>
      <c r="N180" s="3">
        <v>18007.567999999999</v>
      </c>
    </row>
    <row r="181" spans="1:14" x14ac:dyDescent="0.3">
      <c r="A181" s="4">
        <v>45492</v>
      </c>
      <c r="B181" s="2">
        <v>40287.529900000001</v>
      </c>
      <c r="D181" s="1">
        <v>45489</v>
      </c>
      <c r="E181" s="3">
        <v>2270.60556380961</v>
      </c>
      <c r="G181" s="1">
        <v>45483</v>
      </c>
      <c r="H181" s="3">
        <v>258.74924228367502</v>
      </c>
      <c r="J181" s="1">
        <v>45498</v>
      </c>
      <c r="K181" s="3">
        <v>551.55773881171604</v>
      </c>
      <c r="M181" s="4">
        <v>45492</v>
      </c>
      <c r="N181" s="3">
        <v>17726.939999999999</v>
      </c>
    </row>
    <row r="182" spans="1:14" x14ac:dyDescent="0.3">
      <c r="A182" s="1">
        <v>45491</v>
      </c>
      <c r="B182" s="2">
        <v>40665.018900000003</v>
      </c>
      <c r="D182" s="5">
        <v>45488</v>
      </c>
      <c r="E182" s="3">
        <v>2307.8422832547599</v>
      </c>
      <c r="G182" s="1">
        <v>45482</v>
      </c>
      <c r="H182" s="3">
        <v>257.76560659601398</v>
      </c>
      <c r="J182" s="1">
        <v>45497</v>
      </c>
      <c r="K182" s="3">
        <v>555.284579282236</v>
      </c>
      <c r="M182" s="1">
        <v>45491</v>
      </c>
      <c r="N182" s="3">
        <v>17871.223000000002</v>
      </c>
    </row>
    <row r="183" spans="1:14" x14ac:dyDescent="0.3">
      <c r="A183" s="1">
        <v>45490</v>
      </c>
      <c r="B183" s="2">
        <v>41198.076099999998</v>
      </c>
      <c r="D183" s="4">
        <v>45485</v>
      </c>
      <c r="E183" s="3">
        <v>2343.1122154906202</v>
      </c>
      <c r="G183" s="5">
        <v>45481</v>
      </c>
      <c r="H183" s="3">
        <v>253.59554754057501</v>
      </c>
      <c r="J183" s="1">
        <v>45496</v>
      </c>
      <c r="K183" s="3">
        <v>559.33895417602503</v>
      </c>
      <c r="M183" s="1">
        <v>45490</v>
      </c>
      <c r="N183" s="3">
        <v>17996.924999999999</v>
      </c>
    </row>
    <row r="184" spans="1:14" x14ac:dyDescent="0.3">
      <c r="A184" s="1">
        <v>45489</v>
      </c>
      <c r="B184" s="2">
        <v>40954.475400000003</v>
      </c>
      <c r="D184" s="1">
        <v>45484</v>
      </c>
      <c r="E184" s="3">
        <v>2284.0292542972102</v>
      </c>
      <c r="G184" s="4">
        <v>45478</v>
      </c>
      <c r="H184" s="3">
        <v>254.556806869083</v>
      </c>
      <c r="J184" s="5">
        <v>45495</v>
      </c>
      <c r="K184" s="3">
        <v>560.55359553987603</v>
      </c>
      <c r="M184" s="1">
        <v>45489</v>
      </c>
      <c r="N184" s="3">
        <v>18509.34</v>
      </c>
    </row>
    <row r="185" spans="1:14" x14ac:dyDescent="0.3">
      <c r="A185" s="5">
        <v>45488</v>
      </c>
      <c r="B185" s="2">
        <v>40211.716699999997</v>
      </c>
      <c r="D185" s="1">
        <v>45483</v>
      </c>
      <c r="E185" s="3">
        <v>2236.8605008449799</v>
      </c>
      <c r="G185" s="1">
        <v>45477</v>
      </c>
      <c r="H185" s="3">
        <v>253.72806201550799</v>
      </c>
      <c r="J185" s="4">
        <v>45492</v>
      </c>
      <c r="K185" s="3">
        <v>554.76032500516499</v>
      </c>
      <c r="M185" s="5">
        <v>45488</v>
      </c>
      <c r="N185" s="3">
        <v>18472.565999999999</v>
      </c>
    </row>
    <row r="186" spans="1:14" x14ac:dyDescent="0.3">
      <c r="A186" s="4">
        <v>45485</v>
      </c>
      <c r="B186" s="2">
        <v>40000.898399999998</v>
      </c>
      <c r="D186" s="1">
        <v>45482</v>
      </c>
      <c r="E186" s="3">
        <v>2243.1744284288002</v>
      </c>
      <c r="G186" s="1">
        <v>45476</v>
      </c>
      <c r="H186" s="3">
        <v>250.99430974767</v>
      </c>
      <c r="J186" s="1">
        <v>45491</v>
      </c>
      <c r="K186" s="3">
        <v>560.06406833955896</v>
      </c>
      <c r="M186" s="4">
        <v>45485</v>
      </c>
      <c r="N186" s="3">
        <v>18398.445</v>
      </c>
    </row>
    <row r="187" spans="1:14" x14ac:dyDescent="0.3">
      <c r="A187" s="1">
        <v>45484</v>
      </c>
      <c r="B187" s="2">
        <v>39753.750099999997</v>
      </c>
      <c r="D187" s="5">
        <v>45481</v>
      </c>
      <c r="E187" s="3">
        <v>2243.9126203646902</v>
      </c>
      <c r="G187" s="1">
        <v>45475</v>
      </c>
      <c r="H187" s="3">
        <v>248.232718037642</v>
      </c>
      <c r="J187" s="1">
        <v>45490</v>
      </c>
      <c r="K187" s="3">
        <v>563.06803889186699</v>
      </c>
      <c r="M187" s="1">
        <v>45484</v>
      </c>
      <c r="N187" s="3">
        <v>18283.406999999999</v>
      </c>
    </row>
    <row r="188" spans="1:14" x14ac:dyDescent="0.3">
      <c r="A188" s="1">
        <v>45483</v>
      </c>
      <c r="B188" s="2">
        <v>39721.362000000001</v>
      </c>
      <c r="D188" s="4">
        <v>45478</v>
      </c>
      <c r="E188" s="3">
        <v>2278.2334344481501</v>
      </c>
      <c r="G188" s="5">
        <v>45474</v>
      </c>
      <c r="H188" s="3">
        <v>245.469557138429</v>
      </c>
      <c r="J188" s="1">
        <v>45489</v>
      </c>
      <c r="K188" s="3">
        <v>563.70412344172098</v>
      </c>
      <c r="M188" s="1">
        <v>45483</v>
      </c>
      <c r="N188" s="3">
        <v>18647.448</v>
      </c>
    </row>
    <row r="189" spans="1:14" x14ac:dyDescent="0.3">
      <c r="A189" s="1">
        <v>45482</v>
      </c>
      <c r="B189" s="2">
        <v>39291.973100000003</v>
      </c>
      <c r="D189" s="1">
        <v>45477</v>
      </c>
      <c r="E189" s="3">
        <v>2308.6836814404101</v>
      </c>
      <c r="G189" s="4">
        <v>45471</v>
      </c>
      <c r="H189" s="3">
        <v>246.11751538890201</v>
      </c>
      <c r="J189" s="5">
        <v>45488</v>
      </c>
      <c r="K189" s="3">
        <v>565.10229426759895</v>
      </c>
      <c r="M189" s="1">
        <v>45482</v>
      </c>
      <c r="N189" s="3">
        <v>18429.291000000001</v>
      </c>
    </row>
    <row r="190" spans="1:14" x14ac:dyDescent="0.3">
      <c r="A190" s="5">
        <v>45481</v>
      </c>
      <c r="B190" s="2">
        <v>39344.792699999998</v>
      </c>
      <c r="D190" s="1">
        <v>45476</v>
      </c>
      <c r="E190" s="3">
        <v>2302.0820261981798</v>
      </c>
      <c r="G190" s="1">
        <v>45470</v>
      </c>
      <c r="H190" s="3">
        <v>244.752644021398</v>
      </c>
      <c r="J190" s="4">
        <v>45485</v>
      </c>
      <c r="K190" s="3">
        <v>571.55944292366803</v>
      </c>
      <c r="M190" s="5">
        <v>45481</v>
      </c>
      <c r="N190" s="3">
        <v>18403.738000000001</v>
      </c>
    </row>
    <row r="191" spans="1:14" x14ac:dyDescent="0.3">
      <c r="A191" s="4">
        <v>45478</v>
      </c>
      <c r="B191" s="2">
        <v>39375.866900000001</v>
      </c>
      <c r="D191" s="5">
        <v>45475</v>
      </c>
      <c r="E191" s="3">
        <v>2274.1879335500498</v>
      </c>
      <c r="G191" s="1">
        <v>45469</v>
      </c>
      <c r="H191" s="3">
        <v>246.701100814744</v>
      </c>
      <c r="J191" s="1">
        <v>45484</v>
      </c>
      <c r="K191" s="3">
        <v>564.44550679603401</v>
      </c>
      <c r="M191" s="4">
        <v>45478</v>
      </c>
      <c r="N191" s="3">
        <v>18352.758999999998</v>
      </c>
    </row>
    <row r="192" spans="1:14" x14ac:dyDescent="0.3">
      <c r="A192" s="1">
        <v>45476</v>
      </c>
      <c r="B192" s="2">
        <v>39308.002899999999</v>
      </c>
      <c r="D192" s="4">
        <v>45471</v>
      </c>
      <c r="E192" s="3">
        <v>2269.2891905737702</v>
      </c>
      <c r="G192" s="1">
        <v>45468</v>
      </c>
      <c r="H192" s="3">
        <v>245.30747072453801</v>
      </c>
      <c r="J192" s="1">
        <v>45483</v>
      </c>
      <c r="K192" s="3">
        <v>559.28348639750595</v>
      </c>
      <c r="M192" s="1">
        <v>45476</v>
      </c>
      <c r="N192" s="3">
        <v>18188.302</v>
      </c>
    </row>
    <row r="193" spans="1:14" x14ac:dyDescent="0.3">
      <c r="A193" s="1">
        <v>45475</v>
      </c>
      <c r="B193" s="2">
        <v>39331.850599999998</v>
      </c>
      <c r="D193" s="1">
        <v>45470</v>
      </c>
      <c r="E193" s="3">
        <v>2268.8117100157601</v>
      </c>
      <c r="G193" s="5">
        <v>45467</v>
      </c>
      <c r="H193" s="3">
        <v>243.152139858374</v>
      </c>
      <c r="J193" s="1">
        <v>45482</v>
      </c>
      <c r="K193" s="3">
        <v>553.31387176991996</v>
      </c>
      <c r="M193" s="1">
        <v>45475</v>
      </c>
      <c r="N193" s="3">
        <v>18028.762999999999</v>
      </c>
    </row>
    <row r="194" spans="1:14" x14ac:dyDescent="0.3">
      <c r="A194" s="5">
        <v>45474</v>
      </c>
      <c r="B194" s="2">
        <v>39169.515800000001</v>
      </c>
      <c r="D194" s="1">
        <v>45469</v>
      </c>
      <c r="E194" s="3">
        <v>2316.5191891511099</v>
      </c>
      <c r="G194" s="4">
        <v>45464</v>
      </c>
      <c r="H194" s="3">
        <v>241.54496526690099</v>
      </c>
      <c r="J194" s="5">
        <v>45481</v>
      </c>
      <c r="K194" s="3">
        <v>558.88273234924804</v>
      </c>
      <c r="M194" s="5">
        <v>45474</v>
      </c>
      <c r="N194" s="3">
        <v>17879.3</v>
      </c>
    </row>
    <row r="195" spans="1:14" x14ac:dyDescent="0.3">
      <c r="A195" s="4">
        <v>45471</v>
      </c>
      <c r="B195" s="2">
        <v>39118.864200000004</v>
      </c>
      <c r="D195" s="1">
        <v>45468</v>
      </c>
      <c r="E195" s="3">
        <v>2314.5162323109498</v>
      </c>
      <c r="G195" s="1">
        <v>45463</v>
      </c>
      <c r="H195" s="3">
        <v>243.12787916926999</v>
      </c>
      <c r="J195" s="4">
        <v>45478</v>
      </c>
      <c r="K195" s="3">
        <v>559.787614455219</v>
      </c>
      <c r="M195" s="4">
        <v>45471</v>
      </c>
      <c r="N195" s="3">
        <v>17732.602999999999</v>
      </c>
    </row>
    <row r="196" spans="1:14" x14ac:dyDescent="0.3">
      <c r="A196" s="1">
        <v>45470</v>
      </c>
      <c r="B196" s="2">
        <v>39164.063099999999</v>
      </c>
      <c r="D196" s="5">
        <v>45467</v>
      </c>
      <c r="E196" s="3">
        <v>2309.0246557797</v>
      </c>
      <c r="G196" s="1">
        <v>45462</v>
      </c>
      <c r="H196" s="3">
        <v>243.995192307689</v>
      </c>
      <c r="J196" s="1">
        <v>45477</v>
      </c>
      <c r="K196" s="3">
        <v>559.460365161553</v>
      </c>
      <c r="M196" s="1">
        <v>45470</v>
      </c>
      <c r="N196" s="3">
        <v>17858.684000000001</v>
      </c>
    </row>
    <row r="197" spans="1:14" x14ac:dyDescent="0.3">
      <c r="A197" s="1">
        <v>45469</v>
      </c>
      <c r="B197" s="2">
        <v>39127.798900000002</v>
      </c>
      <c r="D197" s="4">
        <v>45464</v>
      </c>
      <c r="E197" s="3">
        <v>2309.66088883765</v>
      </c>
      <c r="G197" s="1">
        <v>45461</v>
      </c>
      <c r="H197" s="3">
        <v>243.78910357935499</v>
      </c>
      <c r="J197" s="1">
        <v>45476</v>
      </c>
      <c r="K197" s="3">
        <v>555.12171971568398</v>
      </c>
      <c r="M197" s="1">
        <v>45469</v>
      </c>
      <c r="N197" s="3">
        <v>17805.155999999999</v>
      </c>
    </row>
    <row r="198" spans="1:14" x14ac:dyDescent="0.3">
      <c r="A198" s="1">
        <v>45468</v>
      </c>
      <c r="B198" s="2">
        <v>39112.163200000003</v>
      </c>
      <c r="D198" s="1">
        <v>45463</v>
      </c>
      <c r="E198" s="3">
        <v>2349.3868764655399</v>
      </c>
      <c r="G198" s="5">
        <v>45460</v>
      </c>
      <c r="H198" s="3">
        <v>241.59812313741301</v>
      </c>
      <c r="J198" s="1">
        <v>45475</v>
      </c>
      <c r="K198" s="3">
        <v>548.92291163040602</v>
      </c>
      <c r="M198" s="1">
        <v>45468</v>
      </c>
      <c r="N198" s="3">
        <v>17717.653999999999</v>
      </c>
    </row>
    <row r="199" spans="1:14" x14ac:dyDescent="0.3">
      <c r="A199" s="5">
        <v>45467</v>
      </c>
      <c r="B199" s="2">
        <v>39411.211300000003</v>
      </c>
      <c r="D199" s="1">
        <v>45462</v>
      </c>
      <c r="E199" s="3">
        <v>2360.8123687041998</v>
      </c>
      <c r="G199" s="4">
        <v>45457</v>
      </c>
      <c r="H199" s="3">
        <v>246.64523098431101</v>
      </c>
      <c r="J199" s="5">
        <v>45474</v>
      </c>
      <c r="K199" s="3">
        <v>550.90360475479599</v>
      </c>
      <c r="M199" s="5">
        <v>45467</v>
      </c>
      <c r="N199" s="3">
        <v>17496.816999999999</v>
      </c>
    </row>
    <row r="200" spans="1:14" x14ac:dyDescent="0.3">
      <c r="A200" s="4">
        <v>45464</v>
      </c>
      <c r="B200" s="2">
        <v>39150.332600000002</v>
      </c>
      <c r="D200" s="1">
        <v>45461</v>
      </c>
      <c r="E200" s="3">
        <v>2294.7765495510398</v>
      </c>
      <c r="G200" s="1">
        <v>45456</v>
      </c>
      <c r="H200" s="3">
        <v>246.59578397655</v>
      </c>
      <c r="J200" s="4">
        <v>45471</v>
      </c>
      <c r="K200" s="3">
        <v>547.88151481064801</v>
      </c>
      <c r="M200" s="4">
        <v>45464</v>
      </c>
      <c r="N200" s="3">
        <v>17689.361000000001</v>
      </c>
    </row>
    <row r="201" spans="1:14" x14ac:dyDescent="0.3">
      <c r="A201" s="1">
        <v>45463</v>
      </c>
      <c r="B201" s="2">
        <v>39134.762699999999</v>
      </c>
      <c r="D201" s="5">
        <v>45460</v>
      </c>
      <c r="E201" s="3">
        <v>2296.52885366385</v>
      </c>
      <c r="G201" s="1">
        <v>45455</v>
      </c>
      <c r="H201" s="3">
        <v>248.080594729116</v>
      </c>
      <c r="J201" s="1">
        <v>45470</v>
      </c>
      <c r="K201" s="3">
        <v>548.57662671233095</v>
      </c>
      <c r="M201" s="1">
        <v>45463</v>
      </c>
      <c r="N201" s="3">
        <v>17721.587</v>
      </c>
    </row>
    <row r="202" spans="1:14" x14ac:dyDescent="0.3">
      <c r="A202" s="1">
        <v>45461</v>
      </c>
      <c r="B202" s="2">
        <v>38834.860500000003</v>
      </c>
      <c r="D202" s="4">
        <v>45457</v>
      </c>
      <c r="E202" s="3">
        <v>2297.1064962998898</v>
      </c>
      <c r="G202" s="1">
        <v>45454</v>
      </c>
      <c r="H202" s="3">
        <v>249.15509008722699</v>
      </c>
      <c r="J202" s="1">
        <v>45469</v>
      </c>
      <c r="K202" s="3">
        <v>549.76399478866199</v>
      </c>
      <c r="M202" s="1">
        <v>45461</v>
      </c>
      <c r="N202" s="3">
        <v>17862.232</v>
      </c>
    </row>
    <row r="203" spans="1:14" x14ac:dyDescent="0.3">
      <c r="A203" s="5">
        <v>45460</v>
      </c>
      <c r="B203" s="2">
        <v>38778.099199999997</v>
      </c>
      <c r="D203" s="1">
        <v>45456</v>
      </c>
      <c r="E203" s="3">
        <v>2319.1290764523001</v>
      </c>
      <c r="G203" s="5">
        <v>45453</v>
      </c>
      <c r="H203" s="3">
        <v>248.61902942299</v>
      </c>
      <c r="J203" s="1">
        <v>45468</v>
      </c>
      <c r="K203" s="3">
        <v>554.60924527291104</v>
      </c>
      <c r="M203" s="5">
        <v>45460</v>
      </c>
      <c r="N203" s="3">
        <v>17857.02</v>
      </c>
    </row>
    <row r="204" spans="1:14" x14ac:dyDescent="0.3">
      <c r="A204" s="4">
        <v>45457</v>
      </c>
      <c r="B204" s="2">
        <v>38589.157599999999</v>
      </c>
      <c r="D204" s="1">
        <v>45455</v>
      </c>
      <c r="E204" s="3">
        <v>2296.9843647958201</v>
      </c>
      <c r="G204" s="4">
        <v>45450</v>
      </c>
      <c r="H204" s="3">
        <v>246.86617740907499</v>
      </c>
      <c r="J204" s="5">
        <v>45467</v>
      </c>
      <c r="K204" s="3">
        <v>556.85293896693497</v>
      </c>
      <c r="M204" s="4">
        <v>45457</v>
      </c>
      <c r="N204" s="3">
        <v>17688.882000000001</v>
      </c>
    </row>
    <row r="205" spans="1:14" x14ac:dyDescent="0.3">
      <c r="A205" s="1">
        <v>45456</v>
      </c>
      <c r="B205" s="2">
        <v>38647.1014</v>
      </c>
      <c r="D205" s="5">
        <v>45454</v>
      </c>
      <c r="E205" s="3">
        <v>2326.6906465611</v>
      </c>
      <c r="G205" s="1">
        <v>45449</v>
      </c>
      <c r="H205" s="3">
        <v>248.73721079691501</v>
      </c>
      <c r="J205" s="4">
        <v>45464</v>
      </c>
      <c r="K205" s="3">
        <v>550.70186129552803</v>
      </c>
      <c r="M205" s="1">
        <v>45456</v>
      </c>
      <c r="N205" s="3">
        <v>17667.560000000001</v>
      </c>
    </row>
    <row r="206" spans="1:14" x14ac:dyDescent="0.3">
      <c r="A206" s="1">
        <v>45455</v>
      </c>
      <c r="B206" s="2">
        <v>38712.206200000001</v>
      </c>
      <c r="D206" s="4">
        <v>45450</v>
      </c>
      <c r="E206" s="3">
        <v>2351.1802657518201</v>
      </c>
      <c r="G206" s="1">
        <v>45448</v>
      </c>
      <c r="H206" s="3">
        <v>246.573798846903</v>
      </c>
      <c r="J206" s="1">
        <v>45463</v>
      </c>
      <c r="K206" s="3">
        <v>555.23336685998197</v>
      </c>
      <c r="M206" s="1">
        <v>45455</v>
      </c>
      <c r="N206" s="3">
        <v>17608.436000000002</v>
      </c>
    </row>
    <row r="207" spans="1:14" x14ac:dyDescent="0.3">
      <c r="A207" s="1">
        <v>45454</v>
      </c>
      <c r="B207" s="2">
        <v>38747.419199999997</v>
      </c>
      <c r="D207" s="1">
        <v>45449</v>
      </c>
      <c r="E207" s="3">
        <v>2365.9692165851402</v>
      </c>
      <c r="G207" s="1">
        <v>45447</v>
      </c>
      <c r="H207" s="3">
        <v>250.774585135937</v>
      </c>
      <c r="J207" s="1">
        <v>45462</v>
      </c>
      <c r="K207" s="3">
        <v>552.27568130793998</v>
      </c>
      <c r="M207" s="1">
        <v>45454</v>
      </c>
      <c r="N207" s="3">
        <v>17343.545999999998</v>
      </c>
    </row>
    <row r="208" spans="1:14" x14ac:dyDescent="0.3">
      <c r="A208" s="5">
        <v>45453</v>
      </c>
      <c r="B208" s="2">
        <v>38868.036999999997</v>
      </c>
      <c r="D208" s="1">
        <v>45448</v>
      </c>
      <c r="E208" s="3">
        <v>2358.6665983921398</v>
      </c>
      <c r="G208" s="5">
        <v>45446</v>
      </c>
      <c r="H208" s="3">
        <v>249.346764894308</v>
      </c>
      <c r="J208" s="1">
        <v>45461</v>
      </c>
      <c r="K208" s="3">
        <v>553.01899556519402</v>
      </c>
      <c r="M208" s="5">
        <v>45453</v>
      </c>
      <c r="N208" s="3">
        <v>17192.528999999999</v>
      </c>
    </row>
    <row r="209" spans="1:14" x14ac:dyDescent="0.3">
      <c r="A209" s="4">
        <v>45450</v>
      </c>
      <c r="B209" s="2">
        <v>38798.9905</v>
      </c>
      <c r="D209" s="1">
        <v>45447</v>
      </c>
      <c r="E209" s="3">
        <v>2360.6043541141398</v>
      </c>
      <c r="G209" s="4">
        <v>45443</v>
      </c>
      <c r="H209" s="3">
        <v>244.66276778337601</v>
      </c>
      <c r="J209" s="5">
        <v>45460</v>
      </c>
      <c r="K209" s="3">
        <v>549.032867478154</v>
      </c>
      <c r="M209" s="4">
        <v>45450</v>
      </c>
      <c r="N209" s="3">
        <v>17133.126</v>
      </c>
    </row>
    <row r="210" spans="1:14" x14ac:dyDescent="0.3">
      <c r="A210" s="1">
        <v>45449</v>
      </c>
      <c r="B210" s="2">
        <v>38886.169099999999</v>
      </c>
      <c r="D210" s="5">
        <v>45446</v>
      </c>
      <c r="E210" s="3">
        <v>2353.4804015601999</v>
      </c>
      <c r="G210" s="1">
        <v>45442</v>
      </c>
      <c r="H210" s="3">
        <v>242.67667878324701</v>
      </c>
      <c r="J210" s="4">
        <v>45457</v>
      </c>
      <c r="K210" s="3">
        <v>546.82317190609899</v>
      </c>
      <c r="M210" s="1">
        <v>45449</v>
      </c>
      <c r="N210" s="3">
        <v>17173.120999999999</v>
      </c>
    </row>
    <row r="211" spans="1:14" x14ac:dyDescent="0.3">
      <c r="A211" s="1">
        <v>45448</v>
      </c>
      <c r="B211" s="2">
        <v>38807.333899999998</v>
      </c>
      <c r="D211" s="4">
        <v>45443</v>
      </c>
      <c r="E211" s="3">
        <v>2312.3549950759102</v>
      </c>
      <c r="G211" s="1">
        <v>45441</v>
      </c>
      <c r="H211" s="3">
        <v>244.65019035534499</v>
      </c>
      <c r="J211" s="1">
        <v>45456</v>
      </c>
      <c r="K211" s="3">
        <v>553.97034985453899</v>
      </c>
      <c r="M211" s="1">
        <v>45448</v>
      </c>
      <c r="N211" s="3">
        <v>17187.904999999999</v>
      </c>
    </row>
    <row r="212" spans="1:14" x14ac:dyDescent="0.3">
      <c r="A212" s="1">
        <v>45447</v>
      </c>
      <c r="B212" s="2">
        <v>38711.286399999997</v>
      </c>
      <c r="D212" s="1">
        <v>45442</v>
      </c>
      <c r="E212" s="3">
        <v>2332.03151983422</v>
      </c>
      <c r="G212" s="1">
        <v>45440</v>
      </c>
      <c r="H212" s="3">
        <v>247.23447442098799</v>
      </c>
      <c r="J212" s="1">
        <v>45455</v>
      </c>
      <c r="K212" s="3">
        <v>565.08488863432399</v>
      </c>
      <c r="M212" s="1">
        <v>45447</v>
      </c>
      <c r="N212" s="3">
        <v>16857.046999999999</v>
      </c>
    </row>
    <row r="213" spans="1:14" x14ac:dyDescent="0.3">
      <c r="A213" s="5">
        <v>45446</v>
      </c>
      <c r="B213" s="2">
        <v>38571.025500000003</v>
      </c>
      <c r="D213" s="1">
        <v>45441</v>
      </c>
      <c r="E213" s="3">
        <v>2364.7545914123102</v>
      </c>
      <c r="G213" s="5">
        <v>45439</v>
      </c>
      <c r="H213" s="3">
        <v>247.99196735941399</v>
      </c>
      <c r="J213" s="1">
        <v>45454</v>
      </c>
      <c r="K213" s="3">
        <v>555.51498620045402</v>
      </c>
      <c r="M213" s="5">
        <v>45446</v>
      </c>
      <c r="N213" s="3">
        <v>16828.669999999998</v>
      </c>
    </row>
    <row r="214" spans="1:14" x14ac:dyDescent="0.3">
      <c r="A214" s="4">
        <v>45443</v>
      </c>
      <c r="B214" s="2">
        <v>38686.321900000003</v>
      </c>
      <c r="D214" s="1">
        <v>45440</v>
      </c>
      <c r="E214" s="3">
        <v>2409.4477302404098</v>
      </c>
      <c r="G214" s="4">
        <v>45436</v>
      </c>
      <c r="H214" s="3">
        <v>246.16924644881999</v>
      </c>
      <c r="J214" s="5">
        <v>45453</v>
      </c>
      <c r="K214" s="3">
        <v>562.00019373378996</v>
      </c>
      <c r="M214" s="4">
        <v>45443</v>
      </c>
      <c r="N214" s="3">
        <v>16735.014999999999</v>
      </c>
    </row>
    <row r="215" spans="1:14" x14ac:dyDescent="0.3">
      <c r="A215" s="1">
        <v>45442</v>
      </c>
      <c r="B215" s="2">
        <v>38111.482199999999</v>
      </c>
      <c r="D215" s="5">
        <v>45439</v>
      </c>
      <c r="E215" s="3">
        <v>2411.6912395762602</v>
      </c>
      <c r="G215" s="1">
        <v>45435</v>
      </c>
      <c r="H215" s="3">
        <v>249.17619320715801</v>
      </c>
      <c r="J215" s="4">
        <v>45450</v>
      </c>
      <c r="K215" s="3">
        <v>565.43151210134704</v>
      </c>
      <c r="M215" s="1">
        <v>45442</v>
      </c>
      <c r="N215" s="3">
        <v>16737.079000000002</v>
      </c>
    </row>
    <row r="216" spans="1:14" x14ac:dyDescent="0.3">
      <c r="A216" s="1">
        <v>45441</v>
      </c>
      <c r="B216" s="2">
        <v>38441.538699999997</v>
      </c>
      <c r="D216" s="4">
        <v>45436</v>
      </c>
      <c r="E216" s="3">
        <v>2382.0052993356599</v>
      </c>
      <c r="G216" s="1">
        <v>45434</v>
      </c>
      <c r="H216" s="3">
        <v>246.32965490846499</v>
      </c>
      <c r="J216" s="1">
        <v>45449</v>
      </c>
      <c r="K216" s="3">
        <v>571.27302817821601</v>
      </c>
      <c r="M216" s="1">
        <v>45441</v>
      </c>
      <c r="N216" s="3">
        <v>16920.580000000002</v>
      </c>
    </row>
    <row r="217" spans="1:14" x14ac:dyDescent="0.3">
      <c r="A217" s="5">
        <v>45440</v>
      </c>
      <c r="B217" s="2">
        <v>38852.861199999999</v>
      </c>
      <c r="D217" s="1">
        <v>45435</v>
      </c>
      <c r="E217" s="3">
        <v>2416.2154894227301</v>
      </c>
      <c r="G217" s="1">
        <v>45433</v>
      </c>
      <c r="H217" s="3">
        <v>249.41998078771201</v>
      </c>
      <c r="J217" s="1">
        <v>45448</v>
      </c>
      <c r="K217" s="3">
        <v>566.47430254420703</v>
      </c>
      <c r="M217" s="5">
        <v>45440</v>
      </c>
      <c r="N217" s="3">
        <v>17019.88</v>
      </c>
    </row>
    <row r="218" spans="1:14" x14ac:dyDescent="0.3">
      <c r="A218" s="4">
        <v>45436</v>
      </c>
      <c r="B218" s="2">
        <v>39069.592199999999</v>
      </c>
      <c r="D218" s="1">
        <v>45434</v>
      </c>
      <c r="E218" s="3">
        <v>2458.5158431312202</v>
      </c>
      <c r="G218" s="5">
        <v>45432</v>
      </c>
      <c r="H218" s="3">
        <v>250.06195596517901</v>
      </c>
      <c r="J218" s="1">
        <v>45447</v>
      </c>
      <c r="K218" s="3">
        <v>562.44493032666605</v>
      </c>
      <c r="M218" s="4">
        <v>45436</v>
      </c>
      <c r="N218" s="3">
        <v>16920.794000000002</v>
      </c>
    </row>
    <row r="219" spans="1:14" x14ac:dyDescent="0.3">
      <c r="A219" s="1">
        <v>45435</v>
      </c>
      <c r="B219" s="2">
        <v>39065.256300000001</v>
      </c>
      <c r="D219" s="1">
        <v>45433</v>
      </c>
      <c r="E219" s="3">
        <v>2462.7927835579899</v>
      </c>
      <c r="G219" s="4">
        <v>45429</v>
      </c>
      <c r="H219" s="3">
        <v>249.19614519756601</v>
      </c>
      <c r="J219" s="5">
        <v>45446</v>
      </c>
      <c r="K219" s="3">
        <v>566.74225410461395</v>
      </c>
      <c r="M219" s="1">
        <v>45435</v>
      </c>
      <c r="N219" s="3">
        <v>16736.032999999999</v>
      </c>
    </row>
    <row r="220" spans="1:14" x14ac:dyDescent="0.3">
      <c r="A220" s="1">
        <v>45434</v>
      </c>
      <c r="B220" s="2">
        <v>39671.0389</v>
      </c>
      <c r="D220" s="5">
        <v>45432</v>
      </c>
      <c r="E220" s="3">
        <v>2518.0129002474901</v>
      </c>
      <c r="G220" s="1">
        <v>45428</v>
      </c>
      <c r="H220" s="3">
        <v>250.48436092160401</v>
      </c>
      <c r="J220" s="4">
        <v>45443</v>
      </c>
      <c r="K220" s="3">
        <v>561.75061251924296</v>
      </c>
      <c r="M220" s="1">
        <v>45434</v>
      </c>
      <c r="N220" s="3">
        <v>16801.544000000002</v>
      </c>
    </row>
    <row r="221" spans="1:14" x14ac:dyDescent="0.3">
      <c r="A221" s="1">
        <v>45433</v>
      </c>
      <c r="B221" s="2">
        <v>39872.988299999997</v>
      </c>
      <c r="D221" s="4">
        <v>45429</v>
      </c>
      <c r="E221" s="3">
        <v>2506.1983312185098</v>
      </c>
      <c r="G221" s="1">
        <v>45427</v>
      </c>
      <c r="H221" s="3">
        <v>247.85775166270099</v>
      </c>
      <c r="J221" s="1">
        <v>45442</v>
      </c>
      <c r="K221" s="3">
        <v>559.47313120809395</v>
      </c>
      <c r="M221" s="1">
        <v>45433</v>
      </c>
      <c r="N221" s="3">
        <v>16832.624</v>
      </c>
    </row>
    <row r="222" spans="1:14" x14ac:dyDescent="0.3">
      <c r="A222" s="5">
        <v>45432</v>
      </c>
      <c r="B222" s="2">
        <v>39806.766799999998</v>
      </c>
      <c r="D222" s="1">
        <v>45428</v>
      </c>
      <c r="E222" s="3">
        <v>2483.7883915295201</v>
      </c>
      <c r="G222" s="1">
        <v>45426</v>
      </c>
      <c r="H222" s="3">
        <v>245.211993351237</v>
      </c>
      <c r="J222" s="1">
        <v>45441</v>
      </c>
      <c r="K222" s="3">
        <v>554.52356009633604</v>
      </c>
      <c r="M222" s="5">
        <v>45432</v>
      </c>
      <c r="N222" s="3">
        <v>16794.874</v>
      </c>
    </row>
    <row r="223" spans="1:14" x14ac:dyDescent="0.3">
      <c r="A223" s="4">
        <v>45429</v>
      </c>
      <c r="B223" s="2">
        <v>40003.591899999999</v>
      </c>
      <c r="D223" s="1">
        <v>45426</v>
      </c>
      <c r="E223" s="3">
        <v>2441.8412023760802</v>
      </c>
      <c r="G223" s="5">
        <v>45425</v>
      </c>
      <c r="H223" s="3">
        <v>244.426760563389</v>
      </c>
      <c r="J223" s="1">
        <v>45440</v>
      </c>
      <c r="K223" s="3">
        <v>563.46406434875303</v>
      </c>
      <c r="M223" s="4">
        <v>45429</v>
      </c>
      <c r="N223" s="3">
        <v>16685.966</v>
      </c>
    </row>
    <row r="224" spans="1:14" x14ac:dyDescent="0.3">
      <c r="A224" s="1">
        <v>45428</v>
      </c>
      <c r="B224" s="2">
        <v>39869.375</v>
      </c>
      <c r="D224" s="5">
        <v>45425</v>
      </c>
      <c r="E224" s="3">
        <v>2446.9782505728599</v>
      </c>
      <c r="G224" s="4">
        <v>45422</v>
      </c>
      <c r="H224" s="3">
        <v>245.49903673260201</v>
      </c>
      <c r="J224" s="5">
        <v>45439</v>
      </c>
      <c r="K224" s="3">
        <v>567.01557037069301</v>
      </c>
      <c r="M224" s="1">
        <v>45428</v>
      </c>
      <c r="N224" s="3">
        <v>16698.321</v>
      </c>
    </row>
    <row r="225" spans="1:14" x14ac:dyDescent="0.3">
      <c r="A225" s="1">
        <v>45427</v>
      </c>
      <c r="B225" s="2">
        <v>39908.004300000001</v>
      </c>
      <c r="D225" s="4">
        <v>45422</v>
      </c>
      <c r="E225" s="3">
        <v>2427.1335688322201</v>
      </c>
      <c r="G225" s="1">
        <v>45421</v>
      </c>
      <c r="H225" s="3">
        <v>244.91174578669501</v>
      </c>
      <c r="J225" s="4">
        <v>45436</v>
      </c>
      <c r="K225" s="3">
        <v>564.56055873677099</v>
      </c>
      <c r="M225" s="1">
        <v>45427</v>
      </c>
      <c r="N225" s="3">
        <v>16742.39</v>
      </c>
    </row>
    <row r="226" spans="1:14" x14ac:dyDescent="0.3">
      <c r="A226" s="1">
        <v>45426</v>
      </c>
      <c r="B226" s="2">
        <v>39558.107499999998</v>
      </c>
      <c r="D226" s="1">
        <v>45421</v>
      </c>
      <c r="E226" s="3">
        <v>2372.5056312071301</v>
      </c>
      <c r="G226" s="1">
        <v>45420</v>
      </c>
      <c r="H226" s="3">
        <v>245.70600720349501</v>
      </c>
      <c r="J226" s="1">
        <v>45435</v>
      </c>
      <c r="K226" s="3">
        <v>563.96449000335201</v>
      </c>
      <c r="M226" s="1">
        <v>45426</v>
      </c>
      <c r="N226" s="3">
        <v>16511.18</v>
      </c>
    </row>
    <row r="227" spans="1:14" x14ac:dyDescent="0.3">
      <c r="A227" s="5">
        <v>45425</v>
      </c>
      <c r="B227" s="2">
        <v>39431.511400000003</v>
      </c>
      <c r="D227" s="1">
        <v>45420</v>
      </c>
      <c r="E227" s="3">
        <v>2342.8246130228999</v>
      </c>
      <c r="G227" s="5">
        <v>45419</v>
      </c>
      <c r="H227" s="3">
        <v>251.051134527111</v>
      </c>
      <c r="J227" s="1">
        <v>45434</v>
      </c>
      <c r="K227" s="3">
        <v>563.96827286204496</v>
      </c>
      <c r="M227" s="5">
        <v>45425</v>
      </c>
      <c r="N227" s="3">
        <v>16388.238000000001</v>
      </c>
    </row>
    <row r="228" spans="1:14" x14ac:dyDescent="0.3">
      <c r="A228" s="4">
        <v>45422</v>
      </c>
      <c r="B228" s="2">
        <v>39512.843000000001</v>
      </c>
      <c r="D228" s="1">
        <v>45419</v>
      </c>
      <c r="E228" s="3">
        <v>2362.6980169537001</v>
      </c>
      <c r="G228" s="4">
        <v>45414</v>
      </c>
      <c r="H228" s="3">
        <v>248.88413721279699</v>
      </c>
      <c r="J228" s="1">
        <v>45433</v>
      </c>
      <c r="K228" s="3">
        <v>567.60951678027402</v>
      </c>
      <c r="M228" s="4">
        <v>45422</v>
      </c>
      <c r="N228" s="3">
        <v>16340.869000000001</v>
      </c>
    </row>
    <row r="229" spans="1:14" x14ac:dyDescent="0.3">
      <c r="A229" s="1">
        <v>45421</v>
      </c>
      <c r="B229" s="2">
        <v>39387.757799999999</v>
      </c>
      <c r="D229" s="5">
        <v>45418</v>
      </c>
      <c r="E229" s="3">
        <v>2376.28865979381</v>
      </c>
      <c r="G229" s="1">
        <v>45413</v>
      </c>
      <c r="H229" s="3">
        <v>247.77659092381199</v>
      </c>
      <c r="J229" s="5">
        <v>45432</v>
      </c>
      <c r="K229" s="3">
        <v>568.68534459364298</v>
      </c>
      <c r="M229" s="1">
        <v>45421</v>
      </c>
      <c r="N229" s="3">
        <v>16346.264999999999</v>
      </c>
    </row>
    <row r="230" spans="1:14" x14ac:dyDescent="0.3">
      <c r="A230" s="1">
        <v>45420</v>
      </c>
      <c r="B230" s="2">
        <v>39056.3874</v>
      </c>
      <c r="D230" s="4">
        <v>45415</v>
      </c>
      <c r="E230" s="3">
        <v>2365.5233339735</v>
      </c>
      <c r="G230" s="5">
        <v>45412</v>
      </c>
      <c r="H230" s="3">
        <v>243.38187579213599</v>
      </c>
      <c r="J230" s="4">
        <v>45429</v>
      </c>
      <c r="K230" s="3">
        <v>568.43775816339598</v>
      </c>
      <c r="M230" s="1">
        <v>45420</v>
      </c>
      <c r="N230" s="3">
        <v>16302.755999999999</v>
      </c>
    </row>
    <row r="231" spans="1:14" x14ac:dyDescent="0.3">
      <c r="A231" s="1">
        <v>45419</v>
      </c>
      <c r="B231" s="2">
        <v>38884.263899999998</v>
      </c>
      <c r="D231" s="1">
        <v>45414</v>
      </c>
      <c r="E231" s="3">
        <v>2330.4529804037002</v>
      </c>
      <c r="G231" s="4">
        <v>45408</v>
      </c>
      <c r="H231" s="3">
        <v>239.59300195791999</v>
      </c>
      <c r="J231" s="1">
        <v>45428</v>
      </c>
      <c r="K231" s="3">
        <v>568.91100511739796</v>
      </c>
      <c r="M231" s="1">
        <v>45419</v>
      </c>
      <c r="N231" s="3">
        <v>16332.555</v>
      </c>
    </row>
    <row r="232" spans="1:14" x14ac:dyDescent="0.3">
      <c r="A232" s="5">
        <v>45418</v>
      </c>
      <c r="B232" s="2">
        <v>38852.269999999997</v>
      </c>
      <c r="D232" s="1">
        <v>45412</v>
      </c>
      <c r="E232" s="3">
        <v>2270.4710168083402</v>
      </c>
      <c r="G232" s="1">
        <v>45407</v>
      </c>
      <c r="H232" s="3">
        <v>241.750594282051</v>
      </c>
      <c r="J232" s="1">
        <v>45427</v>
      </c>
      <c r="K232" s="3">
        <v>570.98862832580505</v>
      </c>
      <c r="M232" s="5">
        <v>45418</v>
      </c>
      <c r="N232" s="3">
        <v>16349.245000000001</v>
      </c>
    </row>
    <row r="233" spans="1:14" x14ac:dyDescent="0.3">
      <c r="A233" s="4">
        <v>45415</v>
      </c>
      <c r="B233" s="2">
        <v>38675.679199999999</v>
      </c>
      <c r="D233" s="5">
        <v>45411</v>
      </c>
      <c r="E233" s="3">
        <v>2268.09165963755</v>
      </c>
      <c r="G233" s="1">
        <v>45406</v>
      </c>
      <c r="H233" s="3">
        <v>247.586455516928</v>
      </c>
      <c r="J233" s="1">
        <v>45426</v>
      </c>
      <c r="K233" s="3">
        <v>564.31809084910105</v>
      </c>
      <c r="M233" s="4">
        <v>45415</v>
      </c>
      <c r="N233" s="3">
        <v>16156.328</v>
      </c>
    </row>
    <row r="234" spans="1:14" x14ac:dyDescent="0.3">
      <c r="A234" s="1">
        <v>45414</v>
      </c>
      <c r="B234" s="2">
        <v>38225.661800000002</v>
      </c>
      <c r="D234" s="4">
        <v>45408</v>
      </c>
      <c r="E234" s="3">
        <v>2254.7871185314798</v>
      </c>
      <c r="G234" s="1">
        <v>45405</v>
      </c>
      <c r="H234" s="3">
        <v>242.553675235745</v>
      </c>
      <c r="J234" s="5">
        <v>45425</v>
      </c>
      <c r="K234" s="3">
        <v>561.90126866315495</v>
      </c>
      <c r="M234" s="1">
        <v>45414</v>
      </c>
      <c r="N234" s="3">
        <v>15840.958000000001</v>
      </c>
    </row>
    <row r="235" spans="1:14" x14ac:dyDescent="0.3">
      <c r="A235" s="1">
        <v>45413</v>
      </c>
      <c r="B235" s="2">
        <v>37903.291599999997</v>
      </c>
      <c r="D235" s="1">
        <v>45407</v>
      </c>
      <c r="E235" s="3">
        <v>2208.1249920155401</v>
      </c>
      <c r="G235" s="5">
        <v>45404</v>
      </c>
      <c r="H235" s="3">
        <v>241.78900800825201</v>
      </c>
      <c r="J235" s="4">
        <v>45422</v>
      </c>
      <c r="K235" s="3">
        <v>560.80724539355401</v>
      </c>
      <c r="M235" s="1">
        <v>45413</v>
      </c>
      <c r="N235" s="3">
        <v>15605.481</v>
      </c>
    </row>
    <row r="236" spans="1:14" x14ac:dyDescent="0.3">
      <c r="A236" s="1">
        <v>45412</v>
      </c>
      <c r="B236" s="2">
        <v>37815.915999999997</v>
      </c>
      <c r="D236" s="1">
        <v>45406</v>
      </c>
      <c r="E236" s="3">
        <v>2196.3928188365098</v>
      </c>
      <c r="G236" s="4">
        <v>45401</v>
      </c>
      <c r="H236" s="3">
        <v>239.722886891272</v>
      </c>
      <c r="J236" s="1">
        <v>45421</v>
      </c>
      <c r="K236" s="3">
        <v>557.12837983526799</v>
      </c>
      <c r="M236" s="1">
        <v>45412</v>
      </c>
      <c r="N236" s="3">
        <v>15657.822</v>
      </c>
    </row>
    <row r="237" spans="1:14" x14ac:dyDescent="0.3">
      <c r="A237" s="5">
        <v>45411</v>
      </c>
      <c r="B237" s="2">
        <v>38386.0913</v>
      </c>
      <c r="D237" s="1">
        <v>45405</v>
      </c>
      <c r="E237" s="3">
        <v>2148.05411959921</v>
      </c>
      <c r="G237" s="1">
        <v>45400</v>
      </c>
      <c r="H237" s="3">
        <v>246.26333829138801</v>
      </c>
      <c r="J237" s="1">
        <v>45420</v>
      </c>
      <c r="K237" s="3">
        <v>554.19214114562806</v>
      </c>
      <c r="M237" s="5">
        <v>45411</v>
      </c>
      <c r="N237" s="3">
        <v>15983.084000000001</v>
      </c>
    </row>
    <row r="238" spans="1:14" x14ac:dyDescent="0.3">
      <c r="A238" s="4">
        <v>45408</v>
      </c>
      <c r="B238" s="2">
        <v>38239.654999999999</v>
      </c>
      <c r="D238" s="5">
        <v>45404</v>
      </c>
      <c r="E238" s="3">
        <v>2107.2924510241901</v>
      </c>
      <c r="G238" s="1">
        <v>45399</v>
      </c>
      <c r="H238" s="3">
        <v>245.89843243944901</v>
      </c>
      <c r="J238" s="1">
        <v>45419</v>
      </c>
      <c r="K238" s="3">
        <v>552.67402103090001</v>
      </c>
      <c r="M238" s="4">
        <v>45408</v>
      </c>
      <c r="N238" s="3">
        <v>15927.9</v>
      </c>
    </row>
    <row r="239" spans="1:14" x14ac:dyDescent="0.3">
      <c r="A239" s="1">
        <v>45407</v>
      </c>
      <c r="B239" s="2">
        <v>38085.794999999998</v>
      </c>
      <c r="D239" s="4">
        <v>45401</v>
      </c>
      <c r="E239" s="3">
        <v>2071.4929584657998</v>
      </c>
      <c r="G239" s="1">
        <v>45398</v>
      </c>
      <c r="H239" s="3">
        <v>248.66653739253201</v>
      </c>
      <c r="J239" s="5">
        <v>45418</v>
      </c>
      <c r="K239" s="3">
        <v>547.24986001636501</v>
      </c>
      <c r="M239" s="1">
        <v>45407</v>
      </c>
      <c r="N239" s="3">
        <v>15611.76</v>
      </c>
    </row>
    <row r="240" spans="1:14" x14ac:dyDescent="0.3">
      <c r="A240" s="1">
        <v>45406</v>
      </c>
      <c r="B240" s="2">
        <v>38460.919099999999</v>
      </c>
      <c r="D240" s="1">
        <v>45400</v>
      </c>
      <c r="E240" s="3">
        <v>2092.3830319746698</v>
      </c>
      <c r="G240" s="5">
        <v>45397</v>
      </c>
      <c r="H240" s="3">
        <v>254.312568872773</v>
      </c>
      <c r="J240" s="4">
        <v>45415</v>
      </c>
      <c r="K240" s="3">
        <v>543.84964606149197</v>
      </c>
      <c r="M240" s="1">
        <v>45406</v>
      </c>
      <c r="N240" s="3">
        <v>15712.749</v>
      </c>
    </row>
    <row r="241" spans="1:14" x14ac:dyDescent="0.3">
      <c r="A241" s="1">
        <v>45405</v>
      </c>
      <c r="B241" s="2">
        <v>38503.687100000003</v>
      </c>
      <c r="D241" s="1">
        <v>45399</v>
      </c>
      <c r="E241" s="3">
        <v>2075.53319200021</v>
      </c>
      <c r="G241" s="4">
        <v>45394</v>
      </c>
      <c r="H241" s="3">
        <v>257.85197025053401</v>
      </c>
      <c r="J241" s="1">
        <v>45414</v>
      </c>
      <c r="K241" s="3">
        <v>539.69326469326302</v>
      </c>
      <c r="M241" s="1">
        <v>45405</v>
      </c>
      <c r="N241" s="3">
        <v>15696.64</v>
      </c>
    </row>
    <row r="242" spans="1:14" x14ac:dyDescent="0.3">
      <c r="A242" s="5">
        <v>45404</v>
      </c>
      <c r="B242" s="2">
        <v>38239.983500000002</v>
      </c>
      <c r="D242" s="1">
        <v>45398</v>
      </c>
      <c r="E242" s="3">
        <v>2074.7956994739202</v>
      </c>
      <c r="G242" s="1">
        <v>45393</v>
      </c>
      <c r="H242" s="3">
        <v>257.34083643243798</v>
      </c>
      <c r="J242" s="1">
        <v>45413</v>
      </c>
      <c r="K242" s="3">
        <v>540.06789535120299</v>
      </c>
      <c r="M242" s="5">
        <v>45404</v>
      </c>
      <c r="N242" s="3">
        <v>15451.305</v>
      </c>
    </row>
    <row r="243" spans="1:14" x14ac:dyDescent="0.3">
      <c r="A243" s="4">
        <v>45401</v>
      </c>
      <c r="B243" s="2">
        <v>37986.396999999997</v>
      </c>
      <c r="D243" s="5">
        <v>45397</v>
      </c>
      <c r="E243" s="3">
        <v>2120.4889763176002</v>
      </c>
      <c r="G243" s="1">
        <v>45392</v>
      </c>
      <c r="H243" s="3">
        <v>258.41750995625898</v>
      </c>
      <c r="J243" s="1">
        <v>45412</v>
      </c>
      <c r="K243" s="3">
        <v>538.46317922465801</v>
      </c>
      <c r="M243" s="4">
        <v>45401</v>
      </c>
      <c r="N243" s="3">
        <v>15282.01</v>
      </c>
    </row>
    <row r="244" spans="1:14" x14ac:dyDescent="0.3">
      <c r="A244" s="1">
        <v>45400</v>
      </c>
      <c r="B244" s="2">
        <v>37775.381600000001</v>
      </c>
      <c r="D244" s="4">
        <v>45394</v>
      </c>
      <c r="E244" s="3">
        <v>2133.6034093373901</v>
      </c>
      <c r="G244" s="1">
        <v>45391</v>
      </c>
      <c r="H244" s="3">
        <v>262.06186993475097</v>
      </c>
      <c r="J244" s="5">
        <v>45411</v>
      </c>
      <c r="K244" s="3">
        <v>544.89130900827797</v>
      </c>
      <c r="M244" s="1">
        <v>45400</v>
      </c>
      <c r="N244" s="3">
        <v>15601.499</v>
      </c>
    </row>
    <row r="245" spans="1:14" x14ac:dyDescent="0.3">
      <c r="A245" s="1">
        <v>45399</v>
      </c>
      <c r="B245" s="2">
        <v>37753.307699999998</v>
      </c>
      <c r="D245" s="1">
        <v>45393</v>
      </c>
      <c r="E245" s="3">
        <v>2181.0727363196802</v>
      </c>
      <c r="G245" s="5">
        <v>45390</v>
      </c>
      <c r="H245" s="3">
        <v>259.220238487399</v>
      </c>
      <c r="J245" s="4">
        <v>45408</v>
      </c>
      <c r="K245" s="3">
        <v>543.13146865109695</v>
      </c>
      <c r="M245" s="1">
        <v>45399</v>
      </c>
      <c r="N245" s="3">
        <v>15683.371999999999</v>
      </c>
    </row>
    <row r="246" spans="1:14" x14ac:dyDescent="0.3">
      <c r="A246" s="1">
        <v>45398</v>
      </c>
      <c r="B246" s="2">
        <v>37798.966399999998</v>
      </c>
      <c r="D246" s="1">
        <v>45392</v>
      </c>
      <c r="E246" s="3">
        <v>2187.4020471194799</v>
      </c>
      <c r="G246" s="4">
        <v>45387</v>
      </c>
      <c r="H246" s="3">
        <v>257.18672910759699</v>
      </c>
      <c r="J246" s="1">
        <v>45407</v>
      </c>
      <c r="K246" s="3">
        <v>539.00541816426198</v>
      </c>
      <c r="M246" s="1">
        <v>45398</v>
      </c>
      <c r="N246" s="3">
        <v>15865.251</v>
      </c>
    </row>
    <row r="247" spans="1:14" x14ac:dyDescent="0.3">
      <c r="A247" s="5">
        <v>45397</v>
      </c>
      <c r="B247" s="2">
        <v>37735.109900000003</v>
      </c>
      <c r="D247" s="1">
        <v>45391</v>
      </c>
      <c r="E247" s="3">
        <v>2149.06901307723</v>
      </c>
      <c r="G247" s="1">
        <v>45386</v>
      </c>
      <c r="H247" s="3">
        <v>262.82389479945402</v>
      </c>
      <c r="J247" s="1">
        <v>45406</v>
      </c>
      <c r="K247" s="3">
        <v>540.85191048735601</v>
      </c>
      <c r="M247" s="5">
        <v>45397</v>
      </c>
      <c r="N247" s="3">
        <v>15885.019</v>
      </c>
    </row>
    <row r="248" spans="1:14" x14ac:dyDescent="0.3">
      <c r="A248" s="4">
        <v>45394</v>
      </c>
      <c r="B248" s="2">
        <v>37983.243600000002</v>
      </c>
      <c r="D248" s="5">
        <v>45390</v>
      </c>
      <c r="E248" s="3">
        <v>2136.5812860718102</v>
      </c>
      <c r="G248" s="1">
        <v>45385</v>
      </c>
      <c r="H248" s="3">
        <v>260.09922204639702</v>
      </c>
      <c r="J248" s="1">
        <v>45405</v>
      </c>
      <c r="K248" s="3">
        <v>543.28265591064303</v>
      </c>
      <c r="M248" s="4">
        <v>45394</v>
      </c>
      <c r="N248" s="3">
        <v>16175.093999999999</v>
      </c>
    </row>
    <row r="249" spans="1:14" x14ac:dyDescent="0.3">
      <c r="A249" s="1">
        <v>45393</v>
      </c>
      <c r="B249" s="2">
        <v>38459.079599999997</v>
      </c>
      <c r="D249" s="4">
        <v>45387</v>
      </c>
      <c r="E249" s="3">
        <v>2136.3412235095702</v>
      </c>
      <c r="G249" s="1">
        <v>45384</v>
      </c>
      <c r="H249" s="3">
        <v>262.87634444078998</v>
      </c>
      <c r="J249" s="5">
        <v>45404</v>
      </c>
      <c r="K249" s="3">
        <v>535.16369951310799</v>
      </c>
      <c r="M249" s="1">
        <v>45393</v>
      </c>
      <c r="N249" s="3">
        <v>16442.198</v>
      </c>
    </row>
    <row r="250" spans="1:14" x14ac:dyDescent="0.3">
      <c r="A250" s="1">
        <v>45392</v>
      </c>
      <c r="B250" s="2">
        <v>38461.510300000002</v>
      </c>
      <c r="D250" s="1">
        <v>45385</v>
      </c>
      <c r="E250" s="3">
        <v>2136.38279663291</v>
      </c>
      <c r="G250" s="5">
        <v>45383</v>
      </c>
      <c r="H250" s="3">
        <v>262.50141792520702</v>
      </c>
      <c r="J250" s="4">
        <v>45401</v>
      </c>
      <c r="K250" s="3">
        <v>531.94617572793697</v>
      </c>
      <c r="M250" s="1">
        <v>45392</v>
      </c>
      <c r="N250" s="3">
        <v>16170.36</v>
      </c>
    </row>
    <row r="251" spans="1:14" x14ac:dyDescent="0.3">
      <c r="A251" s="1">
        <v>45391</v>
      </c>
      <c r="B251" s="2">
        <v>38883.672599999998</v>
      </c>
      <c r="D251" s="5">
        <v>45384</v>
      </c>
      <c r="E251" s="3">
        <v>2162.6393838372201</v>
      </c>
      <c r="G251" s="4">
        <v>45380</v>
      </c>
      <c r="H251" s="3">
        <v>266.79955059149898</v>
      </c>
      <c r="J251" s="1">
        <v>45400</v>
      </c>
      <c r="K251" s="3">
        <v>531.83337235786098</v>
      </c>
      <c r="M251" s="1">
        <v>45391</v>
      </c>
      <c r="N251" s="3">
        <v>16306.638999999999</v>
      </c>
    </row>
    <row r="252" spans="1:14" x14ac:dyDescent="0.3">
      <c r="A252" s="5">
        <v>45390</v>
      </c>
      <c r="B252" s="2">
        <v>38892.804400000001</v>
      </c>
      <c r="D252" s="4">
        <v>45379</v>
      </c>
      <c r="E252" s="3">
        <v>2113.5143422986098</v>
      </c>
      <c r="G252" s="1">
        <v>45379</v>
      </c>
      <c r="H252" s="3">
        <v>265.36348021405303</v>
      </c>
      <c r="J252" s="1">
        <v>45399</v>
      </c>
      <c r="K252" s="3">
        <v>531.97029195833898</v>
      </c>
      <c r="M252" s="5">
        <v>45390</v>
      </c>
      <c r="N252" s="3">
        <v>16253.955</v>
      </c>
    </row>
    <row r="253" spans="1:14" x14ac:dyDescent="0.3">
      <c r="A253" s="4">
        <v>45387</v>
      </c>
      <c r="B253" s="2">
        <v>38904.038399999998</v>
      </c>
      <c r="D253" s="1">
        <v>45378</v>
      </c>
      <c r="E253" s="3">
        <v>2095.2261659786</v>
      </c>
      <c r="G253" s="1">
        <v>45378</v>
      </c>
      <c r="H253" s="3">
        <v>269.380980703148</v>
      </c>
      <c r="J253" s="1">
        <v>45398</v>
      </c>
      <c r="K253" s="3">
        <v>528.94711696694799</v>
      </c>
      <c r="M253" s="4">
        <v>45387</v>
      </c>
      <c r="N253" s="3">
        <v>16248.52</v>
      </c>
    </row>
    <row r="254" spans="1:14" x14ac:dyDescent="0.3">
      <c r="A254" s="1">
        <v>45386</v>
      </c>
      <c r="B254" s="2">
        <v>38596.975400000003</v>
      </c>
      <c r="D254" s="1">
        <v>45377</v>
      </c>
      <c r="E254" s="3">
        <v>2124.09985045438</v>
      </c>
      <c r="G254" s="1">
        <v>45377</v>
      </c>
      <c r="H254" s="3">
        <v>266.56568789179602</v>
      </c>
      <c r="J254" s="5">
        <v>45397</v>
      </c>
      <c r="K254" s="3">
        <v>537.40015295717103</v>
      </c>
      <c r="M254" s="1">
        <v>45386</v>
      </c>
      <c r="N254" s="3">
        <v>16049.082</v>
      </c>
    </row>
    <row r="255" spans="1:14" x14ac:dyDescent="0.3">
      <c r="A255" s="1">
        <v>45385</v>
      </c>
      <c r="B255" s="2">
        <v>39127.141900000002</v>
      </c>
      <c r="D255" s="5">
        <v>45376</v>
      </c>
      <c r="E255" s="3">
        <v>2106.1726500971599</v>
      </c>
      <c r="G255" s="5">
        <v>45376</v>
      </c>
      <c r="H255" s="3">
        <v>266.91843339276602</v>
      </c>
      <c r="J255" s="4">
        <v>45394</v>
      </c>
      <c r="K255" s="3">
        <v>537.688763076398</v>
      </c>
      <c r="M255" s="1">
        <v>45385</v>
      </c>
      <c r="N255" s="3">
        <v>16277.458000000001</v>
      </c>
    </row>
    <row r="256" spans="1:14" x14ac:dyDescent="0.3">
      <c r="A256" s="1">
        <v>45384</v>
      </c>
      <c r="B256" s="2">
        <v>39170.238499999999</v>
      </c>
      <c r="D256" s="4">
        <v>45373</v>
      </c>
      <c r="E256" s="3">
        <v>2109.4750434693601</v>
      </c>
      <c r="G256" s="4">
        <v>45373</v>
      </c>
      <c r="H256" s="3">
        <v>270.03321886144198</v>
      </c>
      <c r="J256" s="1">
        <v>45393</v>
      </c>
      <c r="K256" s="3">
        <v>541.07818850603996</v>
      </c>
      <c r="M256" s="1">
        <v>45384</v>
      </c>
      <c r="N256" s="3">
        <v>16240.449000000001</v>
      </c>
    </row>
    <row r="257" spans="1:14" x14ac:dyDescent="0.3">
      <c r="A257" s="5">
        <v>45383</v>
      </c>
      <c r="B257" s="2">
        <v>39566.845099999999</v>
      </c>
      <c r="D257" s="1">
        <v>45372</v>
      </c>
      <c r="E257" s="3">
        <v>2155.9655313490798</v>
      </c>
      <c r="G257" s="1">
        <v>45372</v>
      </c>
      <c r="H257" s="3">
        <v>269.214827517993</v>
      </c>
      <c r="J257" s="1">
        <v>45392</v>
      </c>
      <c r="K257" s="3">
        <v>544.17625385367398</v>
      </c>
      <c r="M257" s="5">
        <v>45383</v>
      </c>
      <c r="N257" s="3">
        <v>16396.831999999999</v>
      </c>
    </row>
    <row r="258" spans="1:14" x14ac:dyDescent="0.3">
      <c r="A258" s="4">
        <v>45379</v>
      </c>
      <c r="B258" s="2">
        <v>39807.374400000001</v>
      </c>
      <c r="D258" s="1">
        <v>45371</v>
      </c>
      <c r="E258" s="3">
        <v>2114.72490668303</v>
      </c>
      <c r="G258" s="1">
        <v>45370</v>
      </c>
      <c r="H258" s="3">
        <v>265.18793503480401</v>
      </c>
      <c r="J258" s="1">
        <v>45391</v>
      </c>
      <c r="K258" s="3">
        <v>549.07026475473197</v>
      </c>
      <c r="M258" s="4">
        <v>45379</v>
      </c>
      <c r="N258" s="3">
        <v>16379.458000000001</v>
      </c>
    </row>
    <row r="259" spans="1:14" x14ac:dyDescent="0.3">
      <c r="A259" s="1">
        <v>45378</v>
      </c>
      <c r="B259" s="2">
        <v>39760.077700000002</v>
      </c>
      <c r="D259" s="1">
        <v>45370</v>
      </c>
      <c r="E259" s="3">
        <v>2112.93365716476</v>
      </c>
      <c r="G259" s="5">
        <v>45369</v>
      </c>
      <c r="H259" s="3">
        <v>266.46399356307597</v>
      </c>
      <c r="J259" s="5">
        <v>45390</v>
      </c>
      <c r="K259" s="3">
        <v>552.59614758192504</v>
      </c>
      <c r="M259" s="1">
        <v>45378</v>
      </c>
      <c r="N259" s="3">
        <v>16399.521000000001</v>
      </c>
    </row>
    <row r="260" spans="1:14" x14ac:dyDescent="0.3">
      <c r="A260" s="1">
        <v>45377</v>
      </c>
      <c r="B260" s="2">
        <v>39282.327899999997</v>
      </c>
      <c r="D260" s="5">
        <v>45369</v>
      </c>
      <c r="E260" s="3">
        <v>2140.5156537753201</v>
      </c>
      <c r="G260" s="4">
        <v>45366</v>
      </c>
      <c r="H260" s="3">
        <v>259.747953294853</v>
      </c>
      <c r="J260" s="4">
        <v>45387</v>
      </c>
      <c r="K260" s="3">
        <v>548.84985860249196</v>
      </c>
      <c r="M260" s="1">
        <v>45377</v>
      </c>
      <c r="N260" s="3">
        <v>16315.699000000001</v>
      </c>
    </row>
    <row r="261" spans="1:14" x14ac:dyDescent="0.3">
      <c r="A261" s="5">
        <v>45376</v>
      </c>
      <c r="B261" s="2">
        <v>39313.640700000004</v>
      </c>
      <c r="D261" s="4">
        <v>45366</v>
      </c>
      <c r="E261" s="3">
        <v>2137.8111615419102</v>
      </c>
      <c r="G261" s="1">
        <v>45365</v>
      </c>
      <c r="H261" s="3">
        <v>261.64630528586201</v>
      </c>
      <c r="J261" s="1">
        <v>45386</v>
      </c>
      <c r="K261" s="3">
        <v>553.49809844733397</v>
      </c>
      <c r="M261" s="5">
        <v>45376</v>
      </c>
      <c r="N261" s="3">
        <v>16384.467000000001</v>
      </c>
    </row>
    <row r="262" spans="1:14" x14ac:dyDescent="0.3">
      <c r="A262" s="4">
        <v>45373</v>
      </c>
      <c r="B262" s="2">
        <v>39475.904000000002</v>
      </c>
      <c r="D262" s="1">
        <v>45365</v>
      </c>
      <c r="E262" s="3">
        <v>2168.40019431874</v>
      </c>
      <c r="G262" s="1">
        <v>45364</v>
      </c>
      <c r="H262" s="3">
        <v>261.91938540680798</v>
      </c>
      <c r="J262" s="1">
        <v>45385</v>
      </c>
      <c r="K262" s="3">
        <v>552.60962369843605</v>
      </c>
      <c r="M262" s="4">
        <v>45373</v>
      </c>
      <c r="N262" s="3">
        <v>16428.817999999999</v>
      </c>
    </row>
    <row r="263" spans="1:14" x14ac:dyDescent="0.3">
      <c r="A263" s="1">
        <v>45372</v>
      </c>
      <c r="B263" s="2">
        <v>39781.3678</v>
      </c>
      <c r="D263" s="1">
        <v>45364</v>
      </c>
      <c r="E263" s="3">
        <v>2183.49162118288</v>
      </c>
      <c r="G263" s="1">
        <v>45363</v>
      </c>
      <c r="H263" s="3">
        <v>262.713366738893</v>
      </c>
      <c r="J263" s="5">
        <v>45384</v>
      </c>
      <c r="K263" s="3">
        <v>547.62673902743495</v>
      </c>
      <c r="M263" s="1">
        <v>45372</v>
      </c>
      <c r="N263" s="3">
        <v>16401.835999999999</v>
      </c>
    </row>
    <row r="264" spans="1:14" x14ac:dyDescent="0.3">
      <c r="A264" s="1">
        <v>45371</v>
      </c>
      <c r="B264" s="2">
        <v>39512.1299</v>
      </c>
      <c r="D264" s="1">
        <v>45363</v>
      </c>
      <c r="E264" s="3">
        <v>2184.8916725250901</v>
      </c>
      <c r="G264" s="5">
        <v>45362</v>
      </c>
      <c r="H264" s="3">
        <v>264.19279978221601</v>
      </c>
      <c r="J264" s="4">
        <v>45379</v>
      </c>
      <c r="K264" s="3">
        <v>553.01820849154296</v>
      </c>
      <c r="M264" s="1">
        <v>45371</v>
      </c>
      <c r="N264" s="3">
        <v>16369.406999999999</v>
      </c>
    </row>
    <row r="265" spans="1:14" x14ac:dyDescent="0.3">
      <c r="A265" s="1">
        <v>45370</v>
      </c>
      <c r="B265" s="2">
        <v>39110.7624</v>
      </c>
      <c r="D265" s="5">
        <v>45362</v>
      </c>
      <c r="E265" s="3">
        <v>2120.7387235348201</v>
      </c>
      <c r="G265" s="4">
        <v>45359</v>
      </c>
      <c r="H265" s="3">
        <v>269.86428231455102</v>
      </c>
      <c r="J265" s="1">
        <v>45378</v>
      </c>
      <c r="K265" s="3">
        <v>554.02186857204595</v>
      </c>
      <c r="M265" s="1">
        <v>45370</v>
      </c>
      <c r="N265" s="3">
        <v>16166.790999999999</v>
      </c>
    </row>
    <row r="266" spans="1:14" x14ac:dyDescent="0.3">
      <c r="A266" s="5">
        <v>45369</v>
      </c>
      <c r="B266" s="2">
        <v>38790.4283</v>
      </c>
      <c r="D266" s="4">
        <v>45359</v>
      </c>
      <c r="E266" s="3">
        <v>2091.1461197140702</v>
      </c>
      <c r="G266" s="1">
        <v>45358</v>
      </c>
      <c r="H266" s="3">
        <v>267.50462744039902</v>
      </c>
      <c r="J266" s="1">
        <v>45377</v>
      </c>
      <c r="K266" s="3">
        <v>553.51108993242099</v>
      </c>
      <c r="M266" s="5">
        <v>45369</v>
      </c>
      <c r="N266" s="3">
        <v>16103.448</v>
      </c>
    </row>
    <row r="267" spans="1:14" x14ac:dyDescent="0.3">
      <c r="A267" s="4">
        <v>45366</v>
      </c>
      <c r="B267" s="2">
        <v>38714.766600000003</v>
      </c>
      <c r="D267" s="1">
        <v>45358</v>
      </c>
      <c r="E267" s="3">
        <v>2075.233674735</v>
      </c>
      <c r="G267" s="1">
        <v>45357</v>
      </c>
      <c r="H267" s="3">
        <v>268.39914306755497</v>
      </c>
      <c r="J267" s="5">
        <v>45376</v>
      </c>
      <c r="K267" s="3">
        <v>552.48415235411903</v>
      </c>
      <c r="M267" s="4">
        <v>45366</v>
      </c>
      <c r="N267" s="3">
        <v>15973.174000000001</v>
      </c>
    </row>
    <row r="268" spans="1:14" x14ac:dyDescent="0.3">
      <c r="A268" s="1">
        <v>45365</v>
      </c>
      <c r="B268" s="2">
        <v>38905.656900000002</v>
      </c>
      <c r="D268" s="1">
        <v>45357</v>
      </c>
      <c r="E268" s="3">
        <v>2100.6606859888602</v>
      </c>
      <c r="G268" s="1">
        <v>45356</v>
      </c>
      <c r="H268" s="3">
        <v>267.246267661974</v>
      </c>
      <c r="J268" s="4">
        <v>45373</v>
      </c>
      <c r="K268" s="3">
        <v>550.66450567260904</v>
      </c>
      <c r="M268" s="1">
        <v>45365</v>
      </c>
      <c r="N268" s="3">
        <v>16128.529</v>
      </c>
    </row>
    <row r="269" spans="1:14" x14ac:dyDescent="0.3">
      <c r="A269" s="1">
        <v>45364</v>
      </c>
      <c r="B269" s="2">
        <v>39043.321900000003</v>
      </c>
      <c r="D269" s="1">
        <v>45356</v>
      </c>
      <c r="E269" s="3">
        <v>2065.7770961145102</v>
      </c>
      <c r="G269" s="5">
        <v>45355</v>
      </c>
      <c r="H269" s="3">
        <v>266.48880473058801</v>
      </c>
      <c r="J269" s="1">
        <v>45372</v>
      </c>
      <c r="K269" s="3">
        <v>553.61040822754103</v>
      </c>
      <c r="M269" s="1">
        <v>45364</v>
      </c>
      <c r="N269" s="3">
        <v>16177.766</v>
      </c>
    </row>
    <row r="270" spans="1:14" x14ac:dyDescent="0.3">
      <c r="A270" s="1">
        <v>45363</v>
      </c>
      <c r="B270" s="2">
        <v>39005.491099999999</v>
      </c>
      <c r="D270" s="5">
        <v>45355</v>
      </c>
      <c r="E270" s="3">
        <v>2120.9720500466501</v>
      </c>
      <c r="G270" s="4">
        <v>45352</v>
      </c>
      <c r="H270" s="3">
        <v>265.87715675172501</v>
      </c>
      <c r="J270" s="1">
        <v>45371</v>
      </c>
      <c r="K270" s="3">
        <v>551.58747488863901</v>
      </c>
      <c r="M270" s="1">
        <v>45363</v>
      </c>
      <c r="N270" s="3">
        <v>16265.636</v>
      </c>
    </row>
    <row r="271" spans="1:14" x14ac:dyDescent="0.3">
      <c r="A271" s="5">
        <v>45362</v>
      </c>
      <c r="B271" s="2">
        <v>38769.662300000004</v>
      </c>
      <c r="D271" s="4">
        <v>45352</v>
      </c>
      <c r="E271" s="3">
        <v>2119.1083860254298</v>
      </c>
      <c r="G271" s="1">
        <v>45351</v>
      </c>
      <c r="H271" s="3">
        <v>261.142752366987</v>
      </c>
      <c r="J271" s="1">
        <v>45370</v>
      </c>
      <c r="K271" s="3">
        <v>548.93034474516401</v>
      </c>
      <c r="M271" s="5">
        <v>45362</v>
      </c>
      <c r="N271" s="3">
        <v>16019.273999999999</v>
      </c>
    </row>
    <row r="272" spans="1:14" x14ac:dyDescent="0.3">
      <c r="A272" s="4">
        <v>45359</v>
      </c>
      <c r="B272" s="2">
        <v>38722.693099999997</v>
      </c>
      <c r="D272" s="1">
        <v>45351</v>
      </c>
      <c r="E272" s="3">
        <v>2109.0639689352101</v>
      </c>
      <c r="G272" s="1">
        <v>45350</v>
      </c>
      <c r="H272" s="3">
        <v>260.22453043072699</v>
      </c>
      <c r="J272" s="5">
        <v>45369</v>
      </c>
      <c r="K272" s="3">
        <v>547.83232595555705</v>
      </c>
      <c r="M272" s="4">
        <v>45359</v>
      </c>
      <c r="N272" s="3">
        <v>16085.112999999999</v>
      </c>
    </row>
    <row r="273" spans="1:14" x14ac:dyDescent="0.3">
      <c r="A273" s="1">
        <v>45358</v>
      </c>
      <c r="B273" s="2">
        <v>38791.345399999998</v>
      </c>
      <c r="D273" s="1">
        <v>45350</v>
      </c>
      <c r="E273" s="3">
        <v>2112.5525364401701</v>
      </c>
      <c r="G273" s="1">
        <v>45349</v>
      </c>
      <c r="H273" s="3">
        <v>260.72770764118599</v>
      </c>
      <c r="J273" s="4">
        <v>45366</v>
      </c>
      <c r="K273" s="3">
        <v>549.57377548909903</v>
      </c>
      <c r="M273" s="1">
        <v>45358</v>
      </c>
      <c r="N273" s="3">
        <v>16273.375</v>
      </c>
    </row>
    <row r="274" spans="1:14" x14ac:dyDescent="0.3">
      <c r="A274" s="1">
        <v>45357</v>
      </c>
      <c r="B274" s="2">
        <v>38661.050000000003</v>
      </c>
      <c r="D274" s="1">
        <v>45349</v>
      </c>
      <c r="E274" s="3">
        <v>2146.0359657979898</v>
      </c>
      <c r="G274" s="5">
        <v>45348</v>
      </c>
      <c r="H274" s="3">
        <v>260.360408786238</v>
      </c>
      <c r="J274" s="1">
        <v>45365</v>
      </c>
      <c r="K274" s="3">
        <v>551.01574486142795</v>
      </c>
      <c r="M274" s="1">
        <v>45357</v>
      </c>
      <c r="N274" s="3">
        <v>16031.543</v>
      </c>
    </row>
    <row r="275" spans="1:14" x14ac:dyDescent="0.3">
      <c r="A275" s="1">
        <v>45356</v>
      </c>
      <c r="B275" s="2">
        <v>38585.191800000001</v>
      </c>
      <c r="D275" s="5">
        <v>45348</v>
      </c>
      <c r="E275" s="3">
        <v>2126.1714256499499</v>
      </c>
      <c r="G275" s="4">
        <v>45344</v>
      </c>
      <c r="H275" s="3">
        <v>259.77463291476198</v>
      </c>
      <c r="J275" s="1">
        <v>45364</v>
      </c>
      <c r="K275" s="3">
        <v>555.32082576238497</v>
      </c>
      <c r="M275" s="1">
        <v>45356</v>
      </c>
      <c r="N275" s="3">
        <v>15939.588</v>
      </c>
    </row>
    <row r="276" spans="1:14" x14ac:dyDescent="0.3">
      <c r="A276" s="5">
        <v>45355</v>
      </c>
      <c r="B276" s="2">
        <v>38989.834699999999</v>
      </c>
      <c r="D276" s="4">
        <v>45345</v>
      </c>
      <c r="E276" s="3">
        <v>2137.8179401314001</v>
      </c>
      <c r="G276" s="1">
        <v>45343</v>
      </c>
      <c r="H276" s="3">
        <v>254.605802502009</v>
      </c>
      <c r="J276" s="1">
        <v>45363</v>
      </c>
      <c r="K276" s="3">
        <v>553.31978763845996</v>
      </c>
      <c r="M276" s="5">
        <v>45355</v>
      </c>
      <c r="N276" s="3">
        <v>16207.509</v>
      </c>
    </row>
    <row r="277" spans="1:14" x14ac:dyDescent="0.3">
      <c r="A277" s="4">
        <v>45352</v>
      </c>
      <c r="B277" s="2">
        <v>39087.376100000001</v>
      </c>
      <c r="D277" s="1">
        <v>45344</v>
      </c>
      <c r="E277" s="3">
        <v>2140.4400296591798</v>
      </c>
      <c r="G277" s="1">
        <v>45342</v>
      </c>
      <c r="H277" s="3">
        <v>255.77445163012001</v>
      </c>
      <c r="J277" s="5">
        <v>45362</v>
      </c>
      <c r="K277" s="3">
        <v>547.92679595738798</v>
      </c>
      <c r="M277" s="4">
        <v>45352</v>
      </c>
      <c r="N277" s="3">
        <v>16274.941999999999</v>
      </c>
    </row>
    <row r="278" spans="1:14" x14ac:dyDescent="0.3">
      <c r="A278" s="1">
        <v>45351</v>
      </c>
      <c r="B278" s="2">
        <v>38996.385499999997</v>
      </c>
      <c r="D278" s="1">
        <v>45343</v>
      </c>
      <c r="E278" s="3">
        <v>2110.1279903847299</v>
      </c>
      <c r="G278" s="5">
        <v>45341</v>
      </c>
      <c r="H278" s="3">
        <v>256.281260409043</v>
      </c>
      <c r="J278" s="4">
        <v>45359</v>
      </c>
      <c r="K278" s="3">
        <v>550.41396432360398</v>
      </c>
      <c r="M278" s="1">
        <v>45351</v>
      </c>
      <c r="N278" s="3">
        <v>16091.922</v>
      </c>
    </row>
    <row r="279" spans="1:14" x14ac:dyDescent="0.3">
      <c r="A279" s="1">
        <v>45350</v>
      </c>
      <c r="B279" s="2">
        <v>38949.023200000003</v>
      </c>
      <c r="D279" s="1">
        <v>45342</v>
      </c>
      <c r="E279" s="3">
        <v>2077.5007352283101</v>
      </c>
      <c r="G279" s="4">
        <v>45338</v>
      </c>
      <c r="H279" s="3">
        <v>256.22288795685103</v>
      </c>
      <c r="J279" s="1">
        <v>45358</v>
      </c>
      <c r="K279" s="3">
        <v>550.75636506928697</v>
      </c>
      <c r="M279" s="1">
        <v>45350</v>
      </c>
      <c r="N279" s="3">
        <v>15947.737999999999</v>
      </c>
    </row>
    <row r="280" spans="1:14" x14ac:dyDescent="0.3">
      <c r="A280" s="1">
        <v>45349</v>
      </c>
      <c r="B280" s="2">
        <v>38972.409500000002</v>
      </c>
      <c r="D280" s="5">
        <v>45341</v>
      </c>
      <c r="E280" s="3">
        <v>2065.7234554009801</v>
      </c>
      <c r="G280" s="1">
        <v>45337</v>
      </c>
      <c r="H280" s="3">
        <v>254.53899006072101</v>
      </c>
      <c r="J280" s="1">
        <v>45357</v>
      </c>
      <c r="K280" s="3">
        <v>542.90166506843195</v>
      </c>
      <c r="M280" s="1">
        <v>45349</v>
      </c>
      <c r="N280" s="3">
        <v>16035.3</v>
      </c>
    </row>
    <row r="281" spans="1:14" x14ac:dyDescent="0.3">
      <c r="A281" s="5">
        <v>45348</v>
      </c>
      <c r="B281" s="2">
        <v>39069.2304</v>
      </c>
      <c r="D281" s="4">
        <v>45338</v>
      </c>
      <c r="E281" s="3">
        <v>2088.8945706505701</v>
      </c>
      <c r="G281" s="1">
        <v>45336</v>
      </c>
      <c r="H281" s="3">
        <v>250.43719694451801</v>
      </c>
      <c r="J281" s="1">
        <v>45356</v>
      </c>
      <c r="K281" s="3">
        <v>538.70368963234102</v>
      </c>
      <c r="M281" s="5">
        <v>45348</v>
      </c>
      <c r="N281" s="3">
        <v>15976.251</v>
      </c>
    </row>
    <row r="282" spans="1:14" x14ac:dyDescent="0.3">
      <c r="A282" s="4">
        <v>45345</v>
      </c>
      <c r="B282" s="2">
        <v>39131.5285</v>
      </c>
      <c r="D282" s="1">
        <v>45337</v>
      </c>
      <c r="E282" s="3">
        <v>2039.13777448109</v>
      </c>
      <c r="G282" s="5">
        <v>45335</v>
      </c>
      <c r="H282" s="3">
        <v>251.767159625961</v>
      </c>
      <c r="J282" s="5">
        <v>45355</v>
      </c>
      <c r="K282" s="3">
        <v>539.88842096123199</v>
      </c>
      <c r="M282" s="4">
        <v>45345</v>
      </c>
      <c r="N282" s="3">
        <v>15996.823</v>
      </c>
    </row>
    <row r="283" spans="1:14" x14ac:dyDescent="0.3">
      <c r="A283" s="1">
        <v>45344</v>
      </c>
      <c r="B283" s="2">
        <v>39069.113899999997</v>
      </c>
      <c r="D283" s="5">
        <v>45336</v>
      </c>
      <c r="E283" s="3">
        <v>2031.0787649331</v>
      </c>
      <c r="G283" s="4">
        <v>45331</v>
      </c>
      <c r="H283" s="3">
        <v>247.13610180842201</v>
      </c>
      <c r="J283" s="4">
        <v>45352</v>
      </c>
      <c r="K283" s="3">
        <v>539.23013567991495</v>
      </c>
      <c r="M283" s="1">
        <v>45344</v>
      </c>
      <c r="N283" s="3">
        <v>16041.620999999999</v>
      </c>
    </row>
    <row r="284" spans="1:14" x14ac:dyDescent="0.3">
      <c r="A284" s="1">
        <v>45343</v>
      </c>
      <c r="B284" s="2">
        <v>38612.242299999998</v>
      </c>
      <c r="D284" s="4">
        <v>45331</v>
      </c>
      <c r="E284" s="3">
        <v>2013.7064081742301</v>
      </c>
      <c r="G284" s="1">
        <v>45330</v>
      </c>
      <c r="H284" s="3">
        <v>246.89089813138901</v>
      </c>
      <c r="J284" s="1">
        <v>45351</v>
      </c>
      <c r="K284" s="3">
        <v>534.32648784124001</v>
      </c>
      <c r="M284" s="1">
        <v>45343</v>
      </c>
      <c r="N284" s="3">
        <v>15580.87</v>
      </c>
    </row>
    <row r="285" spans="1:14" x14ac:dyDescent="0.3">
      <c r="A285" s="5">
        <v>45342</v>
      </c>
      <c r="B285" s="2">
        <v>38563.800199999998</v>
      </c>
      <c r="D285" s="1">
        <v>45330</v>
      </c>
      <c r="E285" s="3">
        <v>2030.18411967779</v>
      </c>
      <c r="G285" s="1">
        <v>45329</v>
      </c>
      <c r="H285" s="3">
        <v>243.757052233781</v>
      </c>
      <c r="J285" s="1">
        <v>45350</v>
      </c>
      <c r="K285" s="3">
        <v>535.93758465622602</v>
      </c>
      <c r="M285" s="5">
        <v>45342</v>
      </c>
      <c r="N285" s="3">
        <v>15630.782999999999</v>
      </c>
    </row>
    <row r="286" spans="1:14" x14ac:dyDescent="0.3">
      <c r="A286" s="4">
        <v>45338</v>
      </c>
      <c r="B286" s="2">
        <v>38627.994200000001</v>
      </c>
      <c r="D286" s="1">
        <v>45329</v>
      </c>
      <c r="E286" s="3">
        <v>2056.7969919042398</v>
      </c>
      <c r="G286" s="1">
        <v>45328</v>
      </c>
      <c r="H286" s="3">
        <v>244.42787616600401</v>
      </c>
      <c r="J286" s="1">
        <v>45349</v>
      </c>
      <c r="K286" s="3">
        <v>538.21963412386003</v>
      </c>
      <c r="M286" s="4">
        <v>45338</v>
      </c>
      <c r="N286" s="3">
        <v>15775.654</v>
      </c>
    </row>
    <row r="287" spans="1:14" x14ac:dyDescent="0.3">
      <c r="A287" s="1">
        <v>45337</v>
      </c>
      <c r="B287" s="2">
        <v>38773.122799999997</v>
      </c>
      <c r="D287" s="1">
        <v>45328</v>
      </c>
      <c r="E287" s="3">
        <v>2062.9052464716601</v>
      </c>
      <c r="G287" s="5">
        <v>45327</v>
      </c>
      <c r="H287" s="3">
        <v>244.52922580210699</v>
      </c>
      <c r="J287" s="5">
        <v>45348</v>
      </c>
      <c r="K287" s="3">
        <v>537.39519041988694</v>
      </c>
      <c r="M287" s="1">
        <v>45337</v>
      </c>
      <c r="N287" s="3">
        <v>15906.173000000001</v>
      </c>
    </row>
    <row r="288" spans="1:14" x14ac:dyDescent="0.3">
      <c r="A288" s="1">
        <v>45336</v>
      </c>
      <c r="B288" s="2">
        <v>38424.273800000003</v>
      </c>
      <c r="D288" s="5">
        <v>45327</v>
      </c>
      <c r="E288" s="3">
        <v>1982.99686760852</v>
      </c>
      <c r="G288" s="4">
        <v>45324</v>
      </c>
      <c r="H288" s="3">
        <v>243.70169171667101</v>
      </c>
      <c r="J288" s="4">
        <v>45345</v>
      </c>
      <c r="K288" s="3">
        <v>537.922305520397</v>
      </c>
      <c r="M288" s="1">
        <v>45336</v>
      </c>
      <c r="N288" s="3">
        <v>15859.146000000001</v>
      </c>
    </row>
    <row r="289" spans="1:14" x14ac:dyDescent="0.3">
      <c r="A289" s="1">
        <v>45335</v>
      </c>
      <c r="B289" s="2">
        <v>38272.752200000003</v>
      </c>
      <c r="D289" s="4">
        <v>45324</v>
      </c>
      <c r="E289" s="3">
        <v>1986.36334573726</v>
      </c>
      <c r="G289" s="1">
        <v>45323</v>
      </c>
      <c r="H289" s="3">
        <v>245.94631880889099</v>
      </c>
      <c r="J289" s="1">
        <v>45344</v>
      </c>
      <c r="K289" s="3">
        <v>535.84570760638996</v>
      </c>
      <c r="M289" s="1">
        <v>45335</v>
      </c>
      <c r="N289" s="3">
        <v>15655.599</v>
      </c>
    </row>
    <row r="290" spans="1:14" x14ac:dyDescent="0.3">
      <c r="A290" s="5">
        <v>45334</v>
      </c>
      <c r="B290" s="2">
        <v>38797.376799999998</v>
      </c>
      <c r="D290" s="1">
        <v>45323</v>
      </c>
      <c r="E290" s="3">
        <v>1990.6657629546301</v>
      </c>
      <c r="G290" s="1">
        <v>45322</v>
      </c>
      <c r="H290" s="3">
        <v>247.05004084965901</v>
      </c>
      <c r="J290" s="1">
        <v>45343</v>
      </c>
      <c r="K290" s="3">
        <v>531.16921046653601</v>
      </c>
      <c r="M290" s="5">
        <v>45334</v>
      </c>
      <c r="N290" s="3">
        <v>15942.545</v>
      </c>
    </row>
    <row r="291" spans="1:14" x14ac:dyDescent="0.3">
      <c r="A291" s="4">
        <v>45331</v>
      </c>
      <c r="B291" s="2">
        <v>38671.690999999999</v>
      </c>
      <c r="D291" s="1">
        <v>45322</v>
      </c>
      <c r="E291" s="3">
        <v>1980.6945510360599</v>
      </c>
      <c r="G291" s="1">
        <v>45321</v>
      </c>
      <c r="H291" s="3">
        <v>244.348644986468</v>
      </c>
      <c r="J291" s="1">
        <v>45342</v>
      </c>
      <c r="K291" s="3">
        <v>531.39887865006006</v>
      </c>
      <c r="M291" s="4">
        <v>45331</v>
      </c>
      <c r="N291" s="3">
        <v>15990.664000000001</v>
      </c>
    </row>
    <row r="292" spans="1:14" x14ac:dyDescent="0.3">
      <c r="A292" s="1">
        <v>45330</v>
      </c>
      <c r="B292" s="2">
        <v>38726.328399999999</v>
      </c>
      <c r="D292" s="1">
        <v>45321</v>
      </c>
      <c r="E292" s="3">
        <v>2008.7046062141001</v>
      </c>
      <c r="G292" s="5">
        <v>45320</v>
      </c>
      <c r="H292" s="3">
        <v>244.26700115261301</v>
      </c>
      <c r="J292" s="5">
        <v>45341</v>
      </c>
      <c r="K292" s="3">
        <v>530.64985451018197</v>
      </c>
      <c r="M292" s="1">
        <v>45330</v>
      </c>
      <c r="N292" s="3">
        <v>15793.715</v>
      </c>
    </row>
    <row r="293" spans="1:14" x14ac:dyDescent="0.3">
      <c r="A293" s="1">
        <v>45329</v>
      </c>
      <c r="B293" s="2">
        <v>38677.359100000001</v>
      </c>
      <c r="D293" s="5">
        <v>45320</v>
      </c>
      <c r="E293" s="3">
        <v>2057.59701034095</v>
      </c>
      <c r="G293" s="4">
        <v>45317</v>
      </c>
      <c r="H293" s="3">
        <v>241.30041846653901</v>
      </c>
      <c r="J293" s="4">
        <v>45338</v>
      </c>
      <c r="K293" s="3">
        <v>529.63928632994498</v>
      </c>
      <c r="M293" s="1">
        <v>45329</v>
      </c>
      <c r="N293" s="3">
        <v>15756.644</v>
      </c>
    </row>
    <row r="294" spans="1:14" x14ac:dyDescent="0.3">
      <c r="A294" s="1">
        <v>45328</v>
      </c>
      <c r="B294" s="2">
        <v>38521.3557</v>
      </c>
      <c r="D294" s="4">
        <v>45317</v>
      </c>
      <c r="E294" s="3">
        <v>2041.3889742014701</v>
      </c>
      <c r="G294" s="1">
        <v>45316</v>
      </c>
      <c r="H294" s="3">
        <v>245.42140196410199</v>
      </c>
      <c r="J294" s="1">
        <v>45337</v>
      </c>
      <c r="K294" s="3">
        <v>526.20581202473295</v>
      </c>
      <c r="M294" s="1">
        <v>45328</v>
      </c>
      <c r="N294" s="3">
        <v>15608.998</v>
      </c>
    </row>
    <row r="295" spans="1:14" x14ac:dyDescent="0.3">
      <c r="A295" s="5">
        <v>45327</v>
      </c>
      <c r="B295" s="2">
        <v>38380.115700000002</v>
      </c>
      <c r="D295" s="1">
        <v>45316</v>
      </c>
      <c r="E295" s="3">
        <v>2073.7771182971801</v>
      </c>
      <c r="G295" s="1">
        <v>45315</v>
      </c>
      <c r="H295" s="3">
        <v>245.60325423728301</v>
      </c>
      <c r="J295" s="1">
        <v>45336</v>
      </c>
      <c r="K295" s="3">
        <v>520.42042042041896</v>
      </c>
      <c r="M295" s="5">
        <v>45327</v>
      </c>
      <c r="N295" s="3">
        <v>15597.677</v>
      </c>
    </row>
    <row r="296" spans="1:14" x14ac:dyDescent="0.3">
      <c r="A296" s="4">
        <v>45324</v>
      </c>
      <c r="B296" s="2">
        <v>38654.423199999997</v>
      </c>
      <c r="D296" s="1">
        <v>45315</v>
      </c>
      <c r="E296" s="3">
        <v>2033.82964298963</v>
      </c>
      <c r="G296" s="1">
        <v>45314</v>
      </c>
      <c r="H296" s="3">
        <v>246.14161499057099</v>
      </c>
      <c r="J296" s="1">
        <v>45335</v>
      </c>
      <c r="K296" s="3">
        <v>517.064864691205</v>
      </c>
      <c r="M296" s="4">
        <v>45324</v>
      </c>
      <c r="N296" s="3">
        <v>15628.954</v>
      </c>
    </row>
    <row r="297" spans="1:14" x14ac:dyDescent="0.3">
      <c r="A297" s="1">
        <v>45323</v>
      </c>
      <c r="B297" s="2">
        <v>38519.839800000002</v>
      </c>
      <c r="D297" s="1">
        <v>45314</v>
      </c>
      <c r="E297" s="3">
        <v>1962.9476214219001</v>
      </c>
      <c r="G297" s="5">
        <v>45313</v>
      </c>
      <c r="H297" s="3">
        <v>246.78877709501</v>
      </c>
      <c r="J297" s="5">
        <v>45334</v>
      </c>
      <c r="K297" s="3">
        <v>525.04254539971396</v>
      </c>
      <c r="M297" s="1">
        <v>45323</v>
      </c>
      <c r="N297" s="3">
        <v>15361.642</v>
      </c>
    </row>
    <row r="298" spans="1:14" x14ac:dyDescent="0.3">
      <c r="A298" s="1">
        <v>45322</v>
      </c>
      <c r="B298" s="2">
        <v>38150.2958</v>
      </c>
      <c r="D298" s="5">
        <v>45313</v>
      </c>
      <c r="E298" s="3">
        <v>1913.78172329104</v>
      </c>
      <c r="G298" s="4">
        <v>45310</v>
      </c>
      <c r="H298" s="3">
        <v>242.76542459835699</v>
      </c>
      <c r="J298" s="4">
        <v>45331</v>
      </c>
      <c r="K298" s="3">
        <v>522.74467098666105</v>
      </c>
      <c r="M298" s="1">
        <v>45322</v>
      </c>
      <c r="N298" s="3">
        <v>15164.012000000001</v>
      </c>
    </row>
    <row r="299" spans="1:14" x14ac:dyDescent="0.3">
      <c r="A299" s="1">
        <v>45321</v>
      </c>
      <c r="B299" s="2">
        <v>38467.311500000003</v>
      </c>
      <c r="D299" s="4">
        <v>45310</v>
      </c>
      <c r="E299" s="3">
        <v>1958.2590342180999</v>
      </c>
      <c r="G299" s="1">
        <v>45309</v>
      </c>
      <c r="H299" s="3">
        <v>239.393655079323</v>
      </c>
      <c r="J299" s="1">
        <v>45330</v>
      </c>
      <c r="K299" s="3">
        <v>522.92589359799399</v>
      </c>
      <c r="M299" s="1">
        <v>45321</v>
      </c>
      <c r="N299" s="3">
        <v>15509.897000000001</v>
      </c>
    </row>
    <row r="300" spans="1:14" x14ac:dyDescent="0.3">
      <c r="A300" s="5">
        <v>45320</v>
      </c>
      <c r="B300" s="2">
        <v>38333.453099999999</v>
      </c>
      <c r="D300" s="1">
        <v>45309</v>
      </c>
      <c r="E300" s="3">
        <v>1968.05825490998</v>
      </c>
      <c r="G300" s="1">
        <v>45308</v>
      </c>
      <c r="H300" s="3">
        <v>239.471819102273</v>
      </c>
      <c r="J300" s="1">
        <v>45329</v>
      </c>
      <c r="K300" s="3">
        <v>523.07145472954301</v>
      </c>
      <c r="M300" s="5">
        <v>45320</v>
      </c>
      <c r="N300" s="3">
        <v>15628.044</v>
      </c>
    </row>
    <row r="301" spans="1:14" x14ac:dyDescent="0.3">
      <c r="A301" s="4">
        <v>45317</v>
      </c>
      <c r="B301" s="2">
        <v>38109.433100000002</v>
      </c>
      <c r="D301" s="1">
        <v>45308</v>
      </c>
      <c r="E301" s="3">
        <v>1953.3179900268501</v>
      </c>
      <c r="G301" s="1">
        <v>45307</v>
      </c>
      <c r="H301" s="3">
        <v>242.011006930272</v>
      </c>
      <c r="J301" s="1">
        <v>45328</v>
      </c>
      <c r="K301" s="3">
        <v>523.45976405811405</v>
      </c>
      <c r="M301" s="4">
        <v>45317</v>
      </c>
      <c r="N301" s="3">
        <v>15455.362999999999</v>
      </c>
    </row>
    <row r="302" spans="1:14" x14ac:dyDescent="0.3">
      <c r="A302" s="1">
        <v>45316</v>
      </c>
      <c r="B302" s="2">
        <v>38049.1276</v>
      </c>
      <c r="D302" s="1">
        <v>45307</v>
      </c>
      <c r="E302" s="3">
        <v>2027.3345259391699</v>
      </c>
      <c r="G302" s="5">
        <v>45306</v>
      </c>
      <c r="H302" s="3">
        <v>246.35826528512499</v>
      </c>
      <c r="J302" s="5">
        <v>45327</v>
      </c>
      <c r="K302" s="3">
        <v>519.53255067077896</v>
      </c>
      <c r="M302" s="1">
        <v>45316</v>
      </c>
      <c r="N302" s="3">
        <v>15510.495999999999</v>
      </c>
    </row>
    <row r="303" spans="1:14" x14ac:dyDescent="0.3">
      <c r="A303" s="1">
        <v>45315</v>
      </c>
      <c r="B303" s="2">
        <v>37806.389900000002</v>
      </c>
      <c r="D303" s="5">
        <v>45306</v>
      </c>
      <c r="E303" s="3">
        <v>2072.7717773375098</v>
      </c>
      <c r="G303" s="4">
        <v>45303</v>
      </c>
      <c r="H303" s="3">
        <v>245.52870945478401</v>
      </c>
      <c r="J303" s="4">
        <v>45324</v>
      </c>
      <c r="K303" s="3">
        <v>521.869945001617</v>
      </c>
      <c r="M303" s="1">
        <v>45315</v>
      </c>
      <c r="N303" s="3">
        <v>15481.918</v>
      </c>
    </row>
    <row r="304" spans="1:14" x14ac:dyDescent="0.3">
      <c r="A304" s="1">
        <v>45314</v>
      </c>
      <c r="B304" s="2">
        <v>37905.449000000001</v>
      </c>
      <c r="D304" s="4">
        <v>45303</v>
      </c>
      <c r="E304" s="3">
        <v>2077.01985654192</v>
      </c>
      <c r="G304" s="1">
        <v>45302</v>
      </c>
      <c r="H304" s="3">
        <v>241.25729625549701</v>
      </c>
      <c r="J304" s="1">
        <v>45323</v>
      </c>
      <c r="K304" s="3">
        <v>526.05486034856006</v>
      </c>
      <c r="M304" s="1">
        <v>45314</v>
      </c>
      <c r="N304" s="3">
        <v>15425.942999999999</v>
      </c>
    </row>
    <row r="305" spans="1:14" x14ac:dyDescent="0.3">
      <c r="A305" s="5">
        <v>45313</v>
      </c>
      <c r="B305" s="2">
        <v>38001.805999999997</v>
      </c>
      <c r="D305" s="1">
        <v>45302</v>
      </c>
      <c r="E305" s="3">
        <v>2085.3265110329398</v>
      </c>
      <c r="G305" s="1">
        <v>45301</v>
      </c>
      <c r="H305" s="3">
        <v>236.33925753105899</v>
      </c>
      <c r="J305" s="1">
        <v>45322</v>
      </c>
      <c r="K305" s="3">
        <v>525.29852037726198</v>
      </c>
      <c r="M305" s="5">
        <v>45313</v>
      </c>
      <c r="N305" s="3">
        <v>15360.286</v>
      </c>
    </row>
    <row r="306" spans="1:14" x14ac:dyDescent="0.3">
      <c r="A306" s="4">
        <v>45310</v>
      </c>
      <c r="B306" s="2">
        <v>37863.795400000003</v>
      </c>
      <c r="D306" s="1">
        <v>45301</v>
      </c>
      <c r="E306" s="3">
        <v>2058.7126395620999</v>
      </c>
      <c r="G306" s="5">
        <v>45300</v>
      </c>
      <c r="H306" s="3">
        <v>233.70374472208201</v>
      </c>
      <c r="J306" s="1">
        <v>45321</v>
      </c>
      <c r="K306" s="3">
        <v>526.42247780512105</v>
      </c>
      <c r="M306" s="4">
        <v>45310</v>
      </c>
      <c r="N306" s="3">
        <v>15310.968000000001</v>
      </c>
    </row>
    <row r="307" spans="1:14" x14ac:dyDescent="0.3">
      <c r="A307" s="1">
        <v>45309</v>
      </c>
      <c r="B307" s="2">
        <v>37468.613299999997</v>
      </c>
      <c r="D307" s="1">
        <v>45300</v>
      </c>
      <c r="E307" s="3">
        <v>2071.47408421511</v>
      </c>
      <c r="G307" s="4">
        <v>45296</v>
      </c>
      <c r="H307" s="3">
        <v>230.74607673694001</v>
      </c>
      <c r="J307" s="5">
        <v>45320</v>
      </c>
      <c r="K307" s="3">
        <v>525.22451278829203</v>
      </c>
      <c r="M307" s="1">
        <v>45309</v>
      </c>
      <c r="N307" s="3">
        <v>15055.647999999999</v>
      </c>
    </row>
    <row r="308" spans="1:14" x14ac:dyDescent="0.3">
      <c r="A308" s="1">
        <v>45308</v>
      </c>
      <c r="B308" s="2">
        <v>37266.672400000003</v>
      </c>
      <c r="D308" s="5">
        <v>45299</v>
      </c>
      <c r="E308" s="3">
        <v>2078.32575417922</v>
      </c>
      <c r="G308" s="5">
        <v>45295</v>
      </c>
      <c r="H308" s="3">
        <v>230.177637947721</v>
      </c>
      <c r="J308" s="4">
        <v>45317</v>
      </c>
      <c r="K308" s="3">
        <v>525.06267024059105</v>
      </c>
      <c r="M308" s="1">
        <v>45308</v>
      </c>
      <c r="N308" s="3">
        <v>14855.621999999999</v>
      </c>
    </row>
    <row r="309" spans="1:14" x14ac:dyDescent="0.3">
      <c r="A309" s="5">
        <v>45307</v>
      </c>
      <c r="B309" s="2">
        <v>37361.118000000002</v>
      </c>
      <c r="D309" s="4">
        <v>45296</v>
      </c>
      <c r="E309" s="3">
        <v>2116.8744879147898</v>
      </c>
      <c r="G309" s="4">
        <v>45289</v>
      </c>
      <c r="H309" s="3">
        <v>237.23358854388999</v>
      </c>
      <c r="J309" s="1">
        <v>45316</v>
      </c>
      <c r="K309" s="3">
        <v>519.01301518438095</v>
      </c>
      <c r="M309" s="5">
        <v>45307</v>
      </c>
      <c r="N309" s="3">
        <v>14944.347</v>
      </c>
    </row>
    <row r="310" spans="1:14" x14ac:dyDescent="0.3">
      <c r="A310" s="4">
        <v>45303</v>
      </c>
      <c r="B310" s="2">
        <v>37592.981</v>
      </c>
      <c r="D310" s="1">
        <v>45295</v>
      </c>
      <c r="E310" s="3">
        <v>2131.8861182618002</v>
      </c>
      <c r="G310" s="1">
        <v>45288</v>
      </c>
      <c r="H310" s="3">
        <v>237.21352287999201</v>
      </c>
      <c r="J310" s="1">
        <v>45315</v>
      </c>
      <c r="K310" s="3">
        <v>519.219467601156</v>
      </c>
      <c r="M310" s="4">
        <v>45303</v>
      </c>
      <c r="N310" s="3">
        <v>14972.76</v>
      </c>
    </row>
    <row r="311" spans="1:14" x14ac:dyDescent="0.3">
      <c r="A311" s="1">
        <v>45302</v>
      </c>
      <c r="B311" s="2">
        <v>37711.021500000003</v>
      </c>
      <c r="D311" s="1">
        <v>45294</v>
      </c>
      <c r="E311" s="3">
        <v>2132.2688903405901</v>
      </c>
      <c r="G311" s="1">
        <v>45287</v>
      </c>
      <c r="H311" s="3">
        <v>237.47613339915301</v>
      </c>
      <c r="J311" s="1">
        <v>45314</v>
      </c>
      <c r="K311" s="3">
        <v>511.65945071996703</v>
      </c>
      <c r="M311" s="1">
        <v>45302</v>
      </c>
      <c r="N311" s="3">
        <v>14970.184999999999</v>
      </c>
    </row>
    <row r="312" spans="1:14" x14ac:dyDescent="0.3">
      <c r="A312" s="1">
        <v>45301</v>
      </c>
      <c r="B312" s="2">
        <v>37695.731</v>
      </c>
      <c r="D312" s="5">
        <v>45293</v>
      </c>
      <c r="E312" s="3">
        <v>2148.1095259420399</v>
      </c>
      <c r="G312" s="1">
        <v>45286</v>
      </c>
      <c r="H312" s="3">
        <v>233.92225031605599</v>
      </c>
      <c r="J312" s="5">
        <v>45313</v>
      </c>
      <c r="K312" s="3">
        <v>514.52074469821298</v>
      </c>
      <c r="M312" s="1">
        <v>45301</v>
      </c>
      <c r="N312" s="3">
        <v>14969.65</v>
      </c>
    </row>
    <row r="313" spans="1:14" x14ac:dyDescent="0.3">
      <c r="A313" s="1">
        <v>45300</v>
      </c>
      <c r="B313" s="2">
        <v>37525.162100000001</v>
      </c>
      <c r="D313" s="4">
        <v>45289</v>
      </c>
      <c r="E313" s="3">
        <v>2183.1557513510702</v>
      </c>
      <c r="G313" s="5">
        <v>45285</v>
      </c>
      <c r="H313" s="3">
        <v>233.62392862161201</v>
      </c>
      <c r="J313" s="4">
        <v>45310</v>
      </c>
      <c r="K313" s="3">
        <v>511.332926510329</v>
      </c>
      <c r="M313" s="1">
        <v>45300</v>
      </c>
      <c r="N313" s="3">
        <v>14857.709000000001</v>
      </c>
    </row>
    <row r="314" spans="1:14" x14ac:dyDescent="0.3">
      <c r="A314" s="5">
        <v>45299</v>
      </c>
      <c r="B314" s="2">
        <v>37683.010799999996</v>
      </c>
      <c r="D314" s="1">
        <v>45288</v>
      </c>
      <c r="E314" s="3">
        <v>2181.4322283373799</v>
      </c>
      <c r="G314" s="4">
        <v>45282</v>
      </c>
      <c r="H314" s="3">
        <v>232.91236570465401</v>
      </c>
      <c r="J314" s="1">
        <v>45309</v>
      </c>
      <c r="K314" s="3">
        <v>511.56999630282098</v>
      </c>
      <c r="M314" s="5">
        <v>45299</v>
      </c>
      <c r="N314" s="3">
        <v>14843.768</v>
      </c>
    </row>
    <row r="315" spans="1:14" x14ac:dyDescent="0.3">
      <c r="A315" s="4">
        <v>45296</v>
      </c>
      <c r="B315" s="2">
        <v>37466.108800000002</v>
      </c>
      <c r="D315" s="5">
        <v>45287</v>
      </c>
      <c r="E315" s="3">
        <v>2128.6879473488798</v>
      </c>
      <c r="G315" s="1">
        <v>45281</v>
      </c>
      <c r="H315" s="3">
        <v>233.21935256862099</v>
      </c>
      <c r="J315" s="1">
        <v>45308</v>
      </c>
      <c r="K315" s="3">
        <v>508.91701032610302</v>
      </c>
      <c r="M315" s="4">
        <v>45296</v>
      </c>
      <c r="N315" s="3">
        <v>14524.073</v>
      </c>
    </row>
    <row r="316" spans="1:14" x14ac:dyDescent="0.3">
      <c r="A316" s="1">
        <v>45295</v>
      </c>
      <c r="B316" s="2">
        <v>37440.339</v>
      </c>
      <c r="D316" s="4">
        <v>45282</v>
      </c>
      <c r="E316" s="3">
        <v>2091.5992524704402</v>
      </c>
      <c r="G316" s="1">
        <v>45280</v>
      </c>
      <c r="H316" s="3">
        <v>234.57745890219601</v>
      </c>
      <c r="J316" s="1">
        <v>45307</v>
      </c>
      <c r="K316" s="3">
        <v>514.40812509514797</v>
      </c>
      <c r="M316" s="1">
        <v>45295</v>
      </c>
      <c r="N316" s="3">
        <v>14510.3</v>
      </c>
    </row>
    <row r="317" spans="1:14" x14ac:dyDescent="0.3">
      <c r="A317" s="1">
        <v>45294</v>
      </c>
      <c r="B317" s="2">
        <v>37430.189200000001</v>
      </c>
      <c r="D317" s="1">
        <v>45281</v>
      </c>
      <c r="E317" s="3">
        <v>2128.6490017033202</v>
      </c>
      <c r="G317" s="1">
        <v>45279</v>
      </c>
      <c r="H317" s="3">
        <v>230.978931998338</v>
      </c>
      <c r="J317" s="5">
        <v>45306</v>
      </c>
      <c r="K317" s="3">
        <v>519.14255372724199</v>
      </c>
      <c r="M317" s="1">
        <v>45294</v>
      </c>
      <c r="N317" s="3">
        <v>14592.210999999999</v>
      </c>
    </row>
    <row r="318" spans="1:14" x14ac:dyDescent="0.3">
      <c r="A318" s="5">
        <v>45293</v>
      </c>
      <c r="B318" s="2">
        <v>37715.041899999997</v>
      </c>
      <c r="D318" s="1">
        <v>45280</v>
      </c>
      <c r="E318" s="3">
        <v>2127.98406619445</v>
      </c>
      <c r="G318" s="5">
        <v>45278</v>
      </c>
      <c r="H318" s="3">
        <v>229.50105086171499</v>
      </c>
      <c r="J318" s="4">
        <v>45303</v>
      </c>
      <c r="K318" s="3">
        <v>522.00190511644303</v>
      </c>
      <c r="M318" s="5">
        <v>45293</v>
      </c>
      <c r="N318" s="3">
        <v>14765.94</v>
      </c>
    </row>
    <row r="319" spans="1:14" x14ac:dyDescent="0.3">
      <c r="A319" s="4">
        <v>45289</v>
      </c>
      <c r="B319" s="2">
        <v>37689.5357</v>
      </c>
      <c r="D319" s="1">
        <v>45279</v>
      </c>
      <c r="E319" s="3">
        <v>2116.4869266378601</v>
      </c>
      <c r="G319" s="4">
        <v>45275</v>
      </c>
      <c r="H319" s="3">
        <v>231.941962715437</v>
      </c>
      <c r="J319" s="1">
        <v>45302</v>
      </c>
      <c r="K319" s="3">
        <v>518.62699927598305</v>
      </c>
      <c r="M319" s="4">
        <v>45289</v>
      </c>
      <c r="N319" s="3">
        <v>15011.352000000001</v>
      </c>
    </row>
    <row r="320" spans="1:14" x14ac:dyDescent="0.3">
      <c r="A320" s="1">
        <v>45288</v>
      </c>
      <c r="B320" s="2">
        <v>37710.0988</v>
      </c>
      <c r="D320" s="5">
        <v>45278</v>
      </c>
      <c r="E320" s="3">
        <v>2133.12851956849</v>
      </c>
      <c r="G320" s="1">
        <v>45274</v>
      </c>
      <c r="H320" s="3">
        <v>230.395784873482</v>
      </c>
      <c r="J320" s="1">
        <v>45301</v>
      </c>
      <c r="K320" s="3">
        <v>522.68264051168796</v>
      </c>
      <c r="M320" s="1">
        <v>45288</v>
      </c>
      <c r="N320" s="3">
        <v>15095.136</v>
      </c>
    </row>
    <row r="321" spans="1:14" x14ac:dyDescent="0.3">
      <c r="A321" s="1">
        <v>45287</v>
      </c>
      <c r="B321" s="2">
        <v>37656.515899999999</v>
      </c>
      <c r="D321" s="4">
        <v>45275</v>
      </c>
      <c r="E321" s="3">
        <v>2152.1550785004902</v>
      </c>
      <c r="G321" s="1">
        <v>45273</v>
      </c>
      <c r="H321" s="3">
        <v>230.44757838744701</v>
      </c>
      <c r="J321" s="1">
        <v>45300</v>
      </c>
      <c r="K321" s="3">
        <v>521.69255490091302</v>
      </c>
      <c r="M321" s="1">
        <v>45287</v>
      </c>
      <c r="N321" s="3">
        <v>15099.175999999999</v>
      </c>
    </row>
    <row r="322" spans="1:14" x14ac:dyDescent="0.3">
      <c r="A322" s="5">
        <v>45286</v>
      </c>
      <c r="B322" s="2">
        <v>37545.3298</v>
      </c>
      <c r="D322" s="1">
        <v>45274</v>
      </c>
      <c r="E322" s="3">
        <v>2100.8517560263299</v>
      </c>
      <c r="G322" s="1">
        <v>45272</v>
      </c>
      <c r="H322" s="3">
        <v>225.83854775492</v>
      </c>
      <c r="J322" s="5">
        <v>45299</v>
      </c>
      <c r="K322" s="3">
        <v>523.55665531626096</v>
      </c>
      <c r="M322" s="5">
        <v>45286</v>
      </c>
      <c r="N322" s="3">
        <v>15074.573</v>
      </c>
    </row>
    <row r="323" spans="1:14" x14ac:dyDescent="0.3">
      <c r="A323" s="4">
        <v>45282</v>
      </c>
      <c r="B323" s="2">
        <v>37385.965199999999</v>
      </c>
      <c r="D323" s="1">
        <v>45273</v>
      </c>
      <c r="E323" s="3">
        <v>2077.7587156080699</v>
      </c>
      <c r="G323" s="5">
        <v>45271</v>
      </c>
      <c r="H323" s="3">
        <v>224.355500821026</v>
      </c>
      <c r="J323" s="4">
        <v>45296</v>
      </c>
      <c r="K323" s="3">
        <v>521.20920360179105</v>
      </c>
      <c r="M323" s="4">
        <v>45282</v>
      </c>
      <c r="N323" s="3">
        <v>14992.973</v>
      </c>
    </row>
    <row r="324" spans="1:14" x14ac:dyDescent="0.3">
      <c r="A324" s="1">
        <v>45281</v>
      </c>
      <c r="B324" s="2">
        <v>37404.3534</v>
      </c>
      <c r="D324" s="1">
        <v>45272</v>
      </c>
      <c r="E324" s="3">
        <v>2096.9022525579799</v>
      </c>
      <c r="G324" s="4">
        <v>45268</v>
      </c>
      <c r="H324" s="3">
        <v>222.92044435244401</v>
      </c>
      <c r="J324" s="1">
        <v>45295</v>
      </c>
      <c r="K324" s="3">
        <v>522.72304476762702</v>
      </c>
      <c r="M324" s="1">
        <v>45281</v>
      </c>
      <c r="N324" s="3">
        <v>14963.866</v>
      </c>
    </row>
    <row r="325" spans="1:14" x14ac:dyDescent="0.3">
      <c r="A325" s="1">
        <v>45280</v>
      </c>
      <c r="B325" s="2">
        <v>37081.999199999998</v>
      </c>
      <c r="D325" s="5">
        <v>45271</v>
      </c>
      <c r="E325" s="3">
        <v>2075.8100680341799</v>
      </c>
      <c r="G325" s="1">
        <v>45267</v>
      </c>
      <c r="H325" s="3">
        <v>227.99271440466799</v>
      </c>
      <c r="J325" s="1">
        <v>45294</v>
      </c>
      <c r="K325" s="3">
        <v>518.09057848351404</v>
      </c>
      <c r="M325" s="1">
        <v>45280</v>
      </c>
      <c r="N325" s="3">
        <v>14777.942999999999</v>
      </c>
    </row>
    <row r="326" spans="1:14" x14ac:dyDescent="0.3">
      <c r="A326" s="1">
        <v>45279</v>
      </c>
      <c r="B326" s="2">
        <v>37557.918100000003</v>
      </c>
      <c r="D326" s="4">
        <v>45268</v>
      </c>
      <c r="E326" s="3">
        <v>2091.9507697036502</v>
      </c>
      <c r="G326" s="1">
        <v>45266</v>
      </c>
      <c r="H326" s="3">
        <v>227.044328287295</v>
      </c>
      <c r="J326" s="5">
        <v>45293</v>
      </c>
      <c r="K326" s="3">
        <v>523.82620499403595</v>
      </c>
      <c r="M326" s="1">
        <v>45279</v>
      </c>
      <c r="N326" s="3">
        <v>15003.223</v>
      </c>
    </row>
    <row r="327" spans="1:14" x14ac:dyDescent="0.3">
      <c r="A327" s="5">
        <v>45278</v>
      </c>
      <c r="B327" s="2">
        <v>37306.019200000002</v>
      </c>
      <c r="D327" s="1">
        <v>45267</v>
      </c>
      <c r="E327" s="3">
        <v>2092.5685536523501</v>
      </c>
      <c r="G327" s="1">
        <v>45265</v>
      </c>
      <c r="H327" s="3">
        <v>222.737478763155</v>
      </c>
      <c r="J327" s="4">
        <v>45289</v>
      </c>
      <c r="K327" s="3">
        <v>528.61068500105102</v>
      </c>
      <c r="M327" s="5">
        <v>45278</v>
      </c>
      <c r="N327" s="3">
        <v>14905.194</v>
      </c>
    </row>
    <row r="328" spans="1:14" x14ac:dyDescent="0.3">
      <c r="A328" s="4">
        <v>45275</v>
      </c>
      <c r="B328" s="2">
        <v>37305.162400000001</v>
      </c>
      <c r="D328" s="1">
        <v>45266</v>
      </c>
      <c r="E328" s="3">
        <v>2107.67497535559</v>
      </c>
      <c r="G328" s="5">
        <v>45264</v>
      </c>
      <c r="H328" s="3">
        <v>225.755910326101</v>
      </c>
      <c r="J328" s="1">
        <v>45288</v>
      </c>
      <c r="K328" s="3">
        <v>528.70919224984505</v>
      </c>
      <c r="M328" s="4">
        <v>45275</v>
      </c>
      <c r="N328" s="3">
        <v>14813.92</v>
      </c>
    </row>
    <row r="329" spans="1:14" x14ac:dyDescent="0.3">
      <c r="A329" s="1">
        <v>45274</v>
      </c>
      <c r="B329" s="2">
        <v>37248.350100000003</v>
      </c>
      <c r="D329" s="1">
        <v>45265</v>
      </c>
      <c r="E329" s="3">
        <v>2088.2820893231601</v>
      </c>
      <c r="G329" s="4">
        <v>45261</v>
      </c>
      <c r="H329" s="3">
        <v>227.719569511614</v>
      </c>
      <c r="J329" s="5">
        <v>45287</v>
      </c>
      <c r="K329" s="3">
        <v>531.41029911398198</v>
      </c>
      <c r="M329" s="1">
        <v>45274</v>
      </c>
      <c r="N329" s="3">
        <v>14761.558999999999</v>
      </c>
    </row>
    <row r="330" spans="1:14" x14ac:dyDescent="0.3">
      <c r="A330" s="1">
        <v>45273</v>
      </c>
      <c r="B330" s="2">
        <v>37090.237699999998</v>
      </c>
      <c r="D330" s="5">
        <v>45264</v>
      </c>
      <c r="E330" s="3">
        <v>2129.7947746871801</v>
      </c>
      <c r="G330" s="1">
        <v>45260</v>
      </c>
      <c r="H330" s="3">
        <v>225.972670220661</v>
      </c>
      <c r="J330" s="4">
        <v>45282</v>
      </c>
      <c r="K330" s="3">
        <v>525.83482885045305</v>
      </c>
      <c r="M330" s="1">
        <v>45273</v>
      </c>
      <c r="N330" s="3">
        <v>14733.964</v>
      </c>
    </row>
    <row r="331" spans="1:14" x14ac:dyDescent="0.3">
      <c r="A331" s="1">
        <v>45272</v>
      </c>
      <c r="B331" s="2">
        <v>36577.9378</v>
      </c>
      <c r="D331" s="4">
        <v>45261</v>
      </c>
      <c r="E331" s="3">
        <v>2153.78216858835</v>
      </c>
      <c r="G331" s="1">
        <v>45259</v>
      </c>
      <c r="H331" s="3">
        <v>226.305487639224</v>
      </c>
      <c r="J331" s="1">
        <v>45281</v>
      </c>
      <c r="K331" s="3">
        <v>525.01568640401501</v>
      </c>
      <c r="M331" s="1">
        <v>45272</v>
      </c>
      <c r="N331" s="3">
        <v>14533.397000000001</v>
      </c>
    </row>
    <row r="332" spans="1:14" x14ac:dyDescent="0.3">
      <c r="A332" s="5">
        <v>45271</v>
      </c>
      <c r="B332" s="2">
        <v>36404.9303</v>
      </c>
      <c r="D332" s="1">
        <v>45260</v>
      </c>
      <c r="E332" s="3">
        <v>2182.0193070954801</v>
      </c>
      <c r="G332" s="1">
        <v>45258</v>
      </c>
      <c r="H332" s="3">
        <v>226.52827502035001</v>
      </c>
      <c r="J332" s="1">
        <v>45280</v>
      </c>
      <c r="K332" s="3">
        <v>522.77301365068195</v>
      </c>
      <c r="M332" s="5">
        <v>45271</v>
      </c>
      <c r="N332" s="3">
        <v>14432.486000000001</v>
      </c>
    </row>
    <row r="333" spans="1:14" x14ac:dyDescent="0.3">
      <c r="A333" s="4">
        <v>45268</v>
      </c>
      <c r="B333" s="2">
        <v>36247.8724</v>
      </c>
      <c r="D333" s="1">
        <v>45259</v>
      </c>
      <c r="E333" s="3">
        <v>2177.4736680248998</v>
      </c>
      <c r="G333" s="5">
        <v>45257</v>
      </c>
      <c r="H333" s="3">
        <v>224.97928297571301</v>
      </c>
      <c r="J333" s="1">
        <v>45279</v>
      </c>
      <c r="K333" s="3">
        <v>523.78808674169602</v>
      </c>
      <c r="M333" s="4">
        <v>45268</v>
      </c>
      <c r="N333" s="3">
        <v>14403.972</v>
      </c>
    </row>
    <row r="334" spans="1:14" x14ac:dyDescent="0.3">
      <c r="A334" s="1">
        <v>45267</v>
      </c>
      <c r="B334" s="2">
        <v>36117.3753</v>
      </c>
      <c r="D334" s="1">
        <v>45258</v>
      </c>
      <c r="E334" s="3">
        <v>2225.9456408809301</v>
      </c>
      <c r="G334" s="4">
        <v>45254</v>
      </c>
      <c r="H334" s="3">
        <v>225.010238222705</v>
      </c>
      <c r="J334" s="5">
        <v>45278</v>
      </c>
      <c r="K334" s="3">
        <v>519.14633347167705</v>
      </c>
      <c r="M334" s="1">
        <v>45267</v>
      </c>
      <c r="N334" s="3">
        <v>14339.994000000001</v>
      </c>
    </row>
    <row r="335" spans="1:14" x14ac:dyDescent="0.3">
      <c r="A335" s="1">
        <v>45266</v>
      </c>
      <c r="B335" s="2">
        <v>36054.433499999999</v>
      </c>
      <c r="D335" s="5">
        <v>45257</v>
      </c>
      <c r="E335" s="3">
        <v>2249.3980233602801</v>
      </c>
      <c r="G335" s="1">
        <v>45252</v>
      </c>
      <c r="H335" s="3">
        <v>223.71316792615201</v>
      </c>
      <c r="J335" s="4">
        <v>45275</v>
      </c>
      <c r="K335" s="3">
        <v>519.21694228380898</v>
      </c>
      <c r="M335" s="1">
        <v>45266</v>
      </c>
      <c r="N335" s="3">
        <v>14146.712</v>
      </c>
    </row>
    <row r="336" spans="1:14" x14ac:dyDescent="0.3">
      <c r="A336" s="1">
        <v>45265</v>
      </c>
      <c r="B336" s="2">
        <v>36124.559200000003</v>
      </c>
      <c r="D336" s="4">
        <v>45254</v>
      </c>
      <c r="E336" s="3">
        <v>2253.86609847513</v>
      </c>
      <c r="G336" s="1">
        <v>45251</v>
      </c>
      <c r="H336" s="3">
        <v>224.77350225755501</v>
      </c>
      <c r="J336" s="1">
        <v>45274</v>
      </c>
      <c r="K336" s="3">
        <v>523.79539259649903</v>
      </c>
      <c r="M336" s="1">
        <v>45265</v>
      </c>
      <c r="N336" s="3">
        <v>14229.912</v>
      </c>
    </row>
    <row r="337" spans="1:14" x14ac:dyDescent="0.3">
      <c r="A337" s="5">
        <v>45264</v>
      </c>
      <c r="B337" s="2">
        <v>36204.439299999998</v>
      </c>
      <c r="D337" s="1">
        <v>45253</v>
      </c>
      <c r="E337" s="3">
        <v>2296.67376195727</v>
      </c>
      <c r="G337" s="5">
        <v>45250</v>
      </c>
      <c r="H337" s="3">
        <v>225.047384739829</v>
      </c>
      <c r="J337" s="1">
        <v>45273</v>
      </c>
      <c r="K337" s="3">
        <v>513.70540713920798</v>
      </c>
      <c r="M337" s="5">
        <v>45264</v>
      </c>
      <c r="N337" s="3">
        <v>14185.494000000001</v>
      </c>
    </row>
    <row r="338" spans="1:14" x14ac:dyDescent="0.3">
      <c r="A338" s="4">
        <v>45261</v>
      </c>
      <c r="B338" s="2">
        <v>36245.4997</v>
      </c>
      <c r="D338" s="1">
        <v>45252</v>
      </c>
      <c r="E338" s="3">
        <v>2274.7165358370498</v>
      </c>
      <c r="G338" s="4">
        <v>45247</v>
      </c>
      <c r="H338" s="3">
        <v>224.46999064295699</v>
      </c>
      <c r="J338" s="1">
        <v>45272</v>
      </c>
      <c r="K338" s="3">
        <v>510.160693279805</v>
      </c>
      <c r="M338" s="4">
        <v>45261</v>
      </c>
      <c r="N338" s="3">
        <v>14305.031999999999</v>
      </c>
    </row>
    <row r="339" spans="1:14" x14ac:dyDescent="0.3">
      <c r="A339" s="1">
        <v>45260</v>
      </c>
      <c r="B339" s="2">
        <v>35950.892699999997</v>
      </c>
      <c r="D339" s="1">
        <v>45251</v>
      </c>
      <c r="E339" s="3">
        <v>2274.8005336206702</v>
      </c>
      <c r="G339" s="1">
        <v>45246</v>
      </c>
      <c r="H339" s="3">
        <v>221.77964302302399</v>
      </c>
      <c r="J339" s="5">
        <v>45271</v>
      </c>
      <c r="K339" s="3">
        <v>509.74948347107602</v>
      </c>
      <c r="M339" s="1">
        <v>45260</v>
      </c>
      <c r="N339" s="3">
        <v>14226.218000000001</v>
      </c>
    </row>
    <row r="340" spans="1:14" x14ac:dyDescent="0.3">
      <c r="A340" s="1">
        <v>45259</v>
      </c>
      <c r="B340" s="2">
        <v>35430.4202</v>
      </c>
      <c r="D340" s="5">
        <v>45250</v>
      </c>
      <c r="E340" s="3">
        <v>2281.2577793176001</v>
      </c>
      <c r="G340" s="1">
        <v>45245</v>
      </c>
      <c r="H340" s="3">
        <v>221.47142385201499</v>
      </c>
      <c r="J340" s="4">
        <v>45268</v>
      </c>
      <c r="K340" s="3">
        <v>508.19989669421699</v>
      </c>
      <c r="M340" s="1">
        <v>45259</v>
      </c>
      <c r="N340" s="3">
        <v>14258.49</v>
      </c>
    </row>
    <row r="341" spans="1:14" x14ac:dyDescent="0.3">
      <c r="A341" s="1">
        <v>45258</v>
      </c>
      <c r="B341" s="2">
        <v>35416.974999999999</v>
      </c>
      <c r="D341" s="4">
        <v>45247</v>
      </c>
      <c r="E341" s="3">
        <v>2239.1807463854602</v>
      </c>
      <c r="G341" s="1">
        <v>45244</v>
      </c>
      <c r="H341" s="3">
        <v>217.42206410427801</v>
      </c>
      <c r="J341" s="1">
        <v>45267</v>
      </c>
      <c r="K341" s="3">
        <v>505.90863470068302</v>
      </c>
      <c r="M341" s="1">
        <v>45258</v>
      </c>
      <c r="N341" s="3">
        <v>14281.755999999999</v>
      </c>
    </row>
    <row r="342" spans="1:14" x14ac:dyDescent="0.3">
      <c r="A342" s="5">
        <v>45257</v>
      </c>
      <c r="B342" s="2">
        <v>35333.470099999999</v>
      </c>
      <c r="D342" s="1">
        <v>45246</v>
      </c>
      <c r="E342" s="3">
        <v>2285.9365986848002</v>
      </c>
      <c r="G342" s="5">
        <v>45243</v>
      </c>
      <c r="H342" s="3">
        <v>214.78551183178899</v>
      </c>
      <c r="J342" s="1">
        <v>45266</v>
      </c>
      <c r="K342" s="3">
        <v>505.87602238484902</v>
      </c>
      <c r="M342" s="5">
        <v>45257</v>
      </c>
      <c r="N342" s="3">
        <v>14241.022000000001</v>
      </c>
    </row>
    <row r="343" spans="1:14" x14ac:dyDescent="0.3">
      <c r="A343" s="4">
        <v>45254</v>
      </c>
      <c r="B343" s="2">
        <v>35390.150600000001</v>
      </c>
      <c r="D343" s="1">
        <v>45245</v>
      </c>
      <c r="E343" s="3">
        <v>2315.8312731371698</v>
      </c>
      <c r="G343" s="4">
        <v>45240</v>
      </c>
      <c r="H343" s="3">
        <v>214.97102310232299</v>
      </c>
      <c r="J343" s="1">
        <v>45265</v>
      </c>
      <c r="K343" s="3">
        <v>504.79840233173201</v>
      </c>
      <c r="M343" s="4">
        <v>45254</v>
      </c>
      <c r="N343" s="3">
        <v>14250.855</v>
      </c>
    </row>
    <row r="344" spans="1:14" x14ac:dyDescent="0.3">
      <c r="A344" s="1">
        <v>45252</v>
      </c>
      <c r="B344" s="2">
        <v>35273.032800000001</v>
      </c>
      <c r="D344" s="1">
        <v>45244</v>
      </c>
      <c r="E344" s="3">
        <v>2229.1663463263299</v>
      </c>
      <c r="G344" s="1">
        <v>45239</v>
      </c>
      <c r="H344" s="3">
        <v>215.716003700274</v>
      </c>
      <c r="J344" s="5">
        <v>45264</v>
      </c>
      <c r="K344" s="3">
        <v>504.71907677303801</v>
      </c>
      <c r="M344" s="1">
        <v>45252</v>
      </c>
      <c r="N344" s="3">
        <v>14265.857</v>
      </c>
    </row>
    <row r="345" spans="1:14" x14ac:dyDescent="0.3">
      <c r="A345" s="1">
        <v>45251</v>
      </c>
      <c r="B345" s="2">
        <v>35088.293700000002</v>
      </c>
      <c r="D345" s="5">
        <v>45243</v>
      </c>
      <c r="E345" s="3">
        <v>2231.81183642628</v>
      </c>
      <c r="G345" s="1">
        <v>45238</v>
      </c>
      <c r="H345" s="3">
        <v>213.06537722725901</v>
      </c>
      <c r="J345" s="4">
        <v>45261</v>
      </c>
      <c r="K345" s="3">
        <v>507.273973646125</v>
      </c>
      <c r="M345" s="1">
        <v>45251</v>
      </c>
      <c r="N345" s="3">
        <v>14199.982</v>
      </c>
    </row>
    <row r="346" spans="1:14" x14ac:dyDescent="0.3">
      <c r="A346" s="5">
        <v>45250</v>
      </c>
      <c r="B346" s="2">
        <v>35151.037799999998</v>
      </c>
      <c r="D346" s="4">
        <v>45240</v>
      </c>
      <c r="E346" s="3">
        <v>2202.83497234174</v>
      </c>
      <c r="G346" s="1">
        <v>45237</v>
      </c>
      <c r="H346" s="3">
        <v>214.65890647863401</v>
      </c>
      <c r="J346" s="1">
        <v>45260</v>
      </c>
      <c r="K346" s="3">
        <v>502.50922589564698</v>
      </c>
      <c r="M346" s="5">
        <v>45250</v>
      </c>
      <c r="N346" s="3">
        <v>14284.534</v>
      </c>
    </row>
    <row r="347" spans="1:14" x14ac:dyDescent="0.3">
      <c r="A347" s="4">
        <v>45247</v>
      </c>
      <c r="B347" s="2">
        <v>34947.284399999997</v>
      </c>
      <c r="D347" s="1">
        <v>45239</v>
      </c>
      <c r="E347" s="3">
        <v>2242.8231105190998</v>
      </c>
      <c r="G347" s="5">
        <v>45236</v>
      </c>
      <c r="H347" s="3">
        <v>217.95482108348801</v>
      </c>
      <c r="J347" s="1">
        <v>45259</v>
      </c>
      <c r="K347" s="3">
        <v>503.54267664026901</v>
      </c>
      <c r="M347" s="4">
        <v>45247</v>
      </c>
      <c r="N347" s="3">
        <v>14125.481</v>
      </c>
    </row>
    <row r="348" spans="1:14" x14ac:dyDescent="0.3">
      <c r="A348" s="1">
        <v>45246</v>
      </c>
      <c r="B348" s="2">
        <v>34945.471899999997</v>
      </c>
      <c r="D348" s="1">
        <v>45238</v>
      </c>
      <c r="E348" s="3">
        <v>2248.1010390541001</v>
      </c>
      <c r="G348" s="4">
        <v>45232</v>
      </c>
      <c r="H348" s="3">
        <v>212.37629619783499</v>
      </c>
      <c r="J348" s="1">
        <v>45258</v>
      </c>
      <c r="K348" s="3">
        <v>502.28591524529901</v>
      </c>
      <c r="M348" s="1">
        <v>45246</v>
      </c>
      <c r="N348" s="3">
        <v>14113.673000000001</v>
      </c>
    </row>
    <row r="349" spans="1:14" x14ac:dyDescent="0.3">
      <c r="A349" s="1">
        <v>45245</v>
      </c>
      <c r="B349" s="2">
        <v>34991.211799999997</v>
      </c>
      <c r="D349" s="1">
        <v>45237</v>
      </c>
      <c r="E349" s="3">
        <v>2259.8424391242102</v>
      </c>
      <c r="G349" s="1">
        <v>45231</v>
      </c>
      <c r="H349" s="3">
        <v>209.35177210996699</v>
      </c>
      <c r="J349" s="5">
        <v>45257</v>
      </c>
      <c r="K349" s="3">
        <v>502.09750380617697</v>
      </c>
      <c r="M349" s="1">
        <v>45245</v>
      </c>
      <c r="N349" s="3">
        <v>14103.835999999999</v>
      </c>
    </row>
    <row r="350" spans="1:14" x14ac:dyDescent="0.3">
      <c r="A350" s="1">
        <v>45244</v>
      </c>
      <c r="B350" s="2">
        <v>34827.695</v>
      </c>
      <c r="D350" s="5">
        <v>45236</v>
      </c>
      <c r="E350" s="3">
        <v>2297.2828866612099</v>
      </c>
      <c r="G350" s="1">
        <v>45230</v>
      </c>
      <c r="H350" s="3">
        <v>203.460473396179</v>
      </c>
      <c r="J350" s="4">
        <v>45254</v>
      </c>
      <c r="K350" s="3">
        <v>503.17231119278699</v>
      </c>
      <c r="M350" s="1">
        <v>45244</v>
      </c>
      <c r="N350" s="3">
        <v>14094.380999999999</v>
      </c>
    </row>
    <row r="351" spans="1:14" x14ac:dyDescent="0.3">
      <c r="A351" s="5">
        <v>45243</v>
      </c>
      <c r="B351" s="2">
        <v>34337.869599999998</v>
      </c>
      <c r="D351" s="4">
        <v>45233</v>
      </c>
      <c r="E351" s="3">
        <v>2257.6551935686002</v>
      </c>
      <c r="G351" s="5">
        <v>45229</v>
      </c>
      <c r="H351" s="3">
        <v>205.88169014085099</v>
      </c>
      <c r="J351" s="1">
        <v>45253</v>
      </c>
      <c r="K351" s="3">
        <v>499.91821958586303</v>
      </c>
      <c r="M351" s="5">
        <v>45243</v>
      </c>
      <c r="N351" s="3">
        <v>13767.743</v>
      </c>
    </row>
    <row r="352" spans="1:14" x14ac:dyDescent="0.3">
      <c r="A352" s="4">
        <v>45240</v>
      </c>
      <c r="B352" s="2">
        <v>34283.100400000003</v>
      </c>
      <c r="D352" s="1">
        <v>45232</v>
      </c>
      <c r="E352" s="3">
        <v>2202.1611880783098</v>
      </c>
      <c r="G352" s="4">
        <v>45226</v>
      </c>
      <c r="H352" s="3">
        <v>207.16370320856799</v>
      </c>
      <c r="J352" s="1">
        <v>45252</v>
      </c>
      <c r="K352" s="3">
        <v>497.79539046084699</v>
      </c>
      <c r="M352" s="4">
        <v>45240</v>
      </c>
      <c r="N352" s="3">
        <v>13798.108</v>
      </c>
    </row>
    <row r="353" spans="1:14" x14ac:dyDescent="0.3">
      <c r="A353" s="1">
        <v>45239</v>
      </c>
      <c r="B353" s="2">
        <v>33891.938600000001</v>
      </c>
      <c r="D353" s="1">
        <v>45231</v>
      </c>
      <c r="E353" s="3">
        <v>2185.95002236851</v>
      </c>
      <c r="G353" s="1">
        <v>45225</v>
      </c>
      <c r="H353" s="3">
        <v>203.49634259875799</v>
      </c>
      <c r="J353" s="1">
        <v>45251</v>
      </c>
      <c r="K353" s="3">
        <v>497.28910076690801</v>
      </c>
      <c r="M353" s="1">
        <v>45239</v>
      </c>
      <c r="N353" s="3">
        <v>13521.448</v>
      </c>
    </row>
    <row r="354" spans="1:14" x14ac:dyDescent="0.3">
      <c r="A354" s="1">
        <v>45238</v>
      </c>
      <c r="B354" s="2">
        <v>34112.267800000001</v>
      </c>
      <c r="D354" s="1">
        <v>45230</v>
      </c>
      <c r="E354" s="3">
        <v>2187.2617815100198</v>
      </c>
      <c r="G354" s="1">
        <v>45224</v>
      </c>
      <c r="H354" s="3">
        <v>208.174688769049</v>
      </c>
      <c r="J354" s="5">
        <v>45250</v>
      </c>
      <c r="K354" s="3">
        <v>499.05932796639797</v>
      </c>
      <c r="M354" s="1">
        <v>45238</v>
      </c>
      <c r="N354" s="3">
        <v>13650.414000000001</v>
      </c>
    </row>
    <row r="355" spans="1:14" x14ac:dyDescent="0.3">
      <c r="A355" s="1">
        <v>45237</v>
      </c>
      <c r="B355" s="2">
        <v>34152.603300000002</v>
      </c>
      <c r="D355" s="5">
        <v>45229</v>
      </c>
      <c r="E355" s="3">
        <v>2225.70646753446</v>
      </c>
      <c r="G355" s="1">
        <v>45223</v>
      </c>
      <c r="H355" s="3">
        <v>207.20665732774501</v>
      </c>
      <c r="J355" s="4">
        <v>45247</v>
      </c>
      <c r="K355" s="3">
        <v>497.16417259281798</v>
      </c>
      <c r="M355" s="1">
        <v>45237</v>
      </c>
      <c r="N355" s="3">
        <v>13639.856</v>
      </c>
    </row>
    <row r="356" spans="1:14" x14ac:dyDescent="0.3">
      <c r="A356" s="5">
        <v>45236</v>
      </c>
      <c r="B356" s="2">
        <v>34095.856800000001</v>
      </c>
      <c r="D356" s="4">
        <v>45226</v>
      </c>
      <c r="E356" s="3">
        <v>2224.5032858567602</v>
      </c>
      <c r="G356" s="5">
        <v>45222</v>
      </c>
      <c r="H356" s="3">
        <v>207.077822311293</v>
      </c>
      <c r="J356" s="1">
        <v>45246</v>
      </c>
      <c r="K356" s="3">
        <v>489.62741140984599</v>
      </c>
      <c r="M356" s="5">
        <v>45236</v>
      </c>
      <c r="N356" s="3">
        <v>13518.779</v>
      </c>
    </row>
    <row r="357" spans="1:14" x14ac:dyDescent="0.3">
      <c r="A357" s="4">
        <v>45233</v>
      </c>
      <c r="B357" s="2">
        <v>34061.321199999998</v>
      </c>
      <c r="D357" s="1">
        <v>45225</v>
      </c>
      <c r="E357" s="3">
        <v>2179.4225580830398</v>
      </c>
      <c r="G357" s="4">
        <v>45219</v>
      </c>
      <c r="H357" s="3">
        <v>208.61825947676101</v>
      </c>
      <c r="J357" s="1">
        <v>45245</v>
      </c>
      <c r="K357" s="3">
        <v>492.97180043383901</v>
      </c>
      <c r="M357" s="4">
        <v>45233</v>
      </c>
      <c r="N357" s="3">
        <v>13478.282999999999</v>
      </c>
    </row>
    <row r="358" spans="1:14" x14ac:dyDescent="0.3">
      <c r="A358" s="1">
        <v>45232</v>
      </c>
      <c r="B358" s="2">
        <v>33839.080699999999</v>
      </c>
      <c r="D358" s="1">
        <v>45224</v>
      </c>
      <c r="E358" s="3">
        <v>2184.46166238348</v>
      </c>
      <c r="G358" s="1">
        <v>45218</v>
      </c>
      <c r="H358" s="3">
        <v>209.84523968486599</v>
      </c>
      <c r="J358" s="1">
        <v>45244</v>
      </c>
      <c r="K358" s="3">
        <v>492.38468233246499</v>
      </c>
      <c r="M358" s="1">
        <v>45232</v>
      </c>
      <c r="N358" s="3">
        <v>13294.19</v>
      </c>
    </row>
    <row r="359" spans="1:14" x14ac:dyDescent="0.3">
      <c r="A359" s="1">
        <v>45231</v>
      </c>
      <c r="B359" s="2">
        <v>33274.582000000002</v>
      </c>
      <c r="D359" s="5">
        <v>45223</v>
      </c>
      <c r="E359" s="3">
        <v>2171.9966764668202</v>
      </c>
      <c r="G359" s="1">
        <v>45217</v>
      </c>
      <c r="H359" s="3">
        <v>213.72898879401001</v>
      </c>
      <c r="J359" s="5">
        <v>45243</v>
      </c>
      <c r="K359" s="3">
        <v>477.75020324333599</v>
      </c>
      <c r="M359" s="1">
        <v>45231</v>
      </c>
      <c r="N359" s="3">
        <v>13061.468999999999</v>
      </c>
    </row>
    <row r="360" spans="1:14" x14ac:dyDescent="0.3">
      <c r="A360" s="1">
        <v>45230</v>
      </c>
      <c r="B360" s="2">
        <v>33052.868699999999</v>
      </c>
      <c r="D360" s="4">
        <v>45219</v>
      </c>
      <c r="E360" s="3">
        <v>2194.8018916155402</v>
      </c>
      <c r="G360" s="1">
        <v>45216</v>
      </c>
      <c r="H360" s="3">
        <v>213.88711615487401</v>
      </c>
      <c r="J360" s="4">
        <v>45240</v>
      </c>
      <c r="K360" s="3">
        <v>473.50038451679302</v>
      </c>
      <c r="M360" s="1">
        <v>45230</v>
      </c>
      <c r="N360" s="3">
        <v>12851.237999999999</v>
      </c>
    </row>
    <row r="361" spans="1:14" x14ac:dyDescent="0.3">
      <c r="A361" s="5">
        <v>45229</v>
      </c>
      <c r="B361" s="2">
        <v>32928.962399999997</v>
      </c>
      <c r="D361" s="1">
        <v>45218</v>
      </c>
      <c r="E361" s="3">
        <v>2210.7611682750698</v>
      </c>
      <c r="G361" s="5">
        <v>45215</v>
      </c>
      <c r="H361" s="3">
        <v>211.766086956511</v>
      </c>
      <c r="J361" s="1">
        <v>45239</v>
      </c>
      <c r="K361" s="3">
        <v>477.622765476344</v>
      </c>
      <c r="M361" s="5">
        <v>45229</v>
      </c>
      <c r="N361" s="3">
        <v>12789.483</v>
      </c>
    </row>
    <row r="362" spans="1:14" x14ac:dyDescent="0.3">
      <c r="A362" s="4">
        <v>45226</v>
      </c>
      <c r="B362" s="2">
        <v>32417.585200000001</v>
      </c>
      <c r="D362" s="1">
        <v>45217</v>
      </c>
      <c r="E362" s="3">
        <v>2264.8053540410801</v>
      </c>
      <c r="G362" s="4">
        <v>45212</v>
      </c>
      <c r="H362" s="3">
        <v>216.088197927105</v>
      </c>
      <c r="J362" s="1">
        <v>45238</v>
      </c>
      <c r="K362" s="3">
        <v>475.464950694349</v>
      </c>
      <c r="M362" s="4">
        <v>45226</v>
      </c>
      <c r="N362" s="3">
        <v>12643.011</v>
      </c>
    </row>
    <row r="363" spans="1:14" x14ac:dyDescent="0.3">
      <c r="A363" s="1">
        <v>45225</v>
      </c>
      <c r="B363" s="2">
        <v>32784.2952</v>
      </c>
      <c r="D363" s="1">
        <v>45216</v>
      </c>
      <c r="E363" s="3">
        <v>2271.6436605316899</v>
      </c>
      <c r="G363" s="1">
        <v>45211</v>
      </c>
      <c r="H363" s="3">
        <v>216.920293724967</v>
      </c>
      <c r="J363" s="1">
        <v>45237</v>
      </c>
      <c r="K363" s="3">
        <v>473.76079257919901</v>
      </c>
      <c r="M363" s="1">
        <v>45225</v>
      </c>
      <c r="N363" s="3">
        <v>12595.605</v>
      </c>
    </row>
    <row r="364" spans="1:14" x14ac:dyDescent="0.3">
      <c r="A364" s="1">
        <v>45224</v>
      </c>
      <c r="B364" s="2">
        <v>33035.930500000002</v>
      </c>
      <c r="D364" s="5">
        <v>45215</v>
      </c>
      <c r="E364" s="3">
        <v>2256.8394657387098</v>
      </c>
      <c r="G364" s="1">
        <v>45210</v>
      </c>
      <c r="H364" s="3">
        <v>214.123432785777</v>
      </c>
      <c r="J364" s="5">
        <v>45236</v>
      </c>
      <c r="K364" s="3">
        <v>475.23224790253602</v>
      </c>
      <c r="M364" s="1">
        <v>45224</v>
      </c>
      <c r="N364" s="3">
        <v>12821.224</v>
      </c>
    </row>
    <row r="365" spans="1:14" x14ac:dyDescent="0.3">
      <c r="A365" s="1">
        <v>45223</v>
      </c>
      <c r="B365" s="2">
        <v>33141.382700000002</v>
      </c>
      <c r="D365" s="4">
        <v>45212</v>
      </c>
      <c r="E365" s="3">
        <v>2276.6538009304199</v>
      </c>
      <c r="G365" s="5">
        <v>45209</v>
      </c>
      <c r="H365" s="3">
        <v>213.493813046393</v>
      </c>
      <c r="J365" s="4">
        <v>45233</v>
      </c>
      <c r="K365" s="3">
        <v>476.62679040824003</v>
      </c>
      <c r="M365" s="1">
        <v>45223</v>
      </c>
      <c r="N365" s="3">
        <v>13139.875</v>
      </c>
    </row>
    <row r="366" spans="1:14" x14ac:dyDescent="0.3">
      <c r="A366" s="5">
        <v>45222</v>
      </c>
      <c r="B366" s="2">
        <v>32936.410000000003</v>
      </c>
      <c r="D366" s="1">
        <v>45211</v>
      </c>
      <c r="E366" s="3">
        <v>2331.1489448726302</v>
      </c>
      <c r="G366" s="4">
        <v>45205</v>
      </c>
      <c r="H366" s="3">
        <v>207.57212697562201</v>
      </c>
      <c r="J366" s="1">
        <v>45232</v>
      </c>
      <c r="K366" s="3">
        <v>470.96493277543198</v>
      </c>
      <c r="M366" s="5">
        <v>45222</v>
      </c>
      <c r="N366" s="3">
        <v>13018.329</v>
      </c>
    </row>
    <row r="367" spans="1:14" x14ac:dyDescent="0.3">
      <c r="A367" s="4">
        <v>45219</v>
      </c>
      <c r="B367" s="2">
        <v>33127.278400000003</v>
      </c>
      <c r="D367" s="1">
        <v>45210</v>
      </c>
      <c r="E367" s="3">
        <v>2288.2372499872199</v>
      </c>
      <c r="G367" s="1">
        <v>45204</v>
      </c>
      <c r="H367" s="3">
        <v>209.261683501692</v>
      </c>
      <c r="J367" s="1">
        <v>45231</v>
      </c>
      <c r="K367" s="3">
        <v>461.36856010567999</v>
      </c>
      <c r="M367" s="4">
        <v>45219</v>
      </c>
      <c r="N367" s="3">
        <v>12983.807000000001</v>
      </c>
    </row>
    <row r="368" spans="1:14" x14ac:dyDescent="0.3">
      <c r="A368" s="1">
        <v>45218</v>
      </c>
      <c r="B368" s="2">
        <v>33414.174299999999</v>
      </c>
      <c r="D368" s="1">
        <v>45209</v>
      </c>
      <c r="E368" s="3">
        <v>2259.2635698572599</v>
      </c>
      <c r="G368" s="1">
        <v>45203</v>
      </c>
      <c r="H368" s="3">
        <v>204.713519313305</v>
      </c>
      <c r="J368" s="1">
        <v>45230</v>
      </c>
      <c r="K368" s="3">
        <v>458.637392389534</v>
      </c>
      <c r="M368" s="1">
        <v>45218</v>
      </c>
      <c r="N368" s="3">
        <v>13186.174999999999</v>
      </c>
    </row>
    <row r="369" spans="1:14" x14ac:dyDescent="0.3">
      <c r="A369" s="1">
        <v>45217</v>
      </c>
      <c r="B369" s="2">
        <v>33665.084600000002</v>
      </c>
      <c r="D369" s="5">
        <v>45208</v>
      </c>
      <c r="E369" s="3">
        <v>2237.5301766531802</v>
      </c>
      <c r="G369" s="1">
        <v>45202</v>
      </c>
      <c r="H369" s="3">
        <v>209.622466782977</v>
      </c>
      <c r="J369" s="5">
        <v>45229</v>
      </c>
      <c r="K369" s="3">
        <v>457.547970793003</v>
      </c>
      <c r="M369" s="1">
        <v>45217</v>
      </c>
      <c r="N369" s="3">
        <v>13314.302</v>
      </c>
    </row>
    <row r="370" spans="1:14" x14ac:dyDescent="0.3">
      <c r="A370" s="1">
        <v>45216</v>
      </c>
      <c r="B370" s="2">
        <v>33997.654499999997</v>
      </c>
      <c r="D370" s="4">
        <v>45205</v>
      </c>
      <c r="E370" s="3">
        <v>2232.8323522276</v>
      </c>
      <c r="G370" s="5">
        <v>45201</v>
      </c>
      <c r="H370" s="3">
        <v>211.94447781113399</v>
      </c>
      <c r="J370" s="4">
        <v>45226</v>
      </c>
      <c r="K370" s="3">
        <v>453.80885475538997</v>
      </c>
      <c r="M370" s="1">
        <v>45216</v>
      </c>
      <c r="N370" s="3">
        <v>13533.746999999999</v>
      </c>
    </row>
    <row r="371" spans="1:14" x14ac:dyDescent="0.3">
      <c r="A371" s="5">
        <v>45215</v>
      </c>
      <c r="B371" s="2">
        <v>33984.538800000002</v>
      </c>
      <c r="D371" s="1">
        <v>45204</v>
      </c>
      <c r="E371" s="3">
        <v>2198.4508301404799</v>
      </c>
      <c r="G371" s="4">
        <v>45198</v>
      </c>
      <c r="H371" s="3">
        <v>213.30847003683201</v>
      </c>
      <c r="J371" s="1">
        <v>45225</v>
      </c>
      <c r="K371" s="3">
        <v>457.459053613104</v>
      </c>
      <c r="M371" s="5">
        <v>45215</v>
      </c>
      <c r="N371" s="3">
        <v>13567.984</v>
      </c>
    </row>
    <row r="372" spans="1:14" x14ac:dyDescent="0.3">
      <c r="A372" s="4">
        <v>45212</v>
      </c>
      <c r="B372" s="2">
        <v>33670.291299999997</v>
      </c>
      <c r="D372" s="1">
        <v>45203</v>
      </c>
      <c r="E372" s="3">
        <v>2196.5408885369002</v>
      </c>
      <c r="G372" s="1">
        <v>45197</v>
      </c>
      <c r="H372" s="3">
        <v>213.49400495679001</v>
      </c>
      <c r="J372" s="1">
        <v>45224</v>
      </c>
      <c r="K372" s="3">
        <v>459.776064223091</v>
      </c>
      <c r="M372" s="4">
        <v>45212</v>
      </c>
      <c r="N372" s="3">
        <v>13407.234</v>
      </c>
    </row>
    <row r="373" spans="1:14" x14ac:dyDescent="0.3">
      <c r="A373" s="1">
        <v>45211</v>
      </c>
      <c r="B373" s="2">
        <v>33631.142200000002</v>
      </c>
      <c r="D373" s="5">
        <v>45202</v>
      </c>
      <c r="E373" s="3">
        <v>2212.8728294177699</v>
      </c>
      <c r="G373" s="1">
        <v>45196</v>
      </c>
      <c r="H373" s="3">
        <v>216.34632092495499</v>
      </c>
      <c r="J373" s="1">
        <v>45223</v>
      </c>
      <c r="K373" s="3">
        <v>460.67106419473299</v>
      </c>
      <c r="M373" s="1">
        <v>45211</v>
      </c>
      <c r="N373" s="3">
        <v>13574.218999999999</v>
      </c>
    </row>
    <row r="374" spans="1:14" x14ac:dyDescent="0.3">
      <c r="A374" s="1">
        <v>45210</v>
      </c>
      <c r="B374" s="2">
        <v>33804.8747</v>
      </c>
      <c r="D374" s="4">
        <v>45198</v>
      </c>
      <c r="E374" s="3">
        <v>2274.33818177174</v>
      </c>
      <c r="G374" s="1">
        <v>45195</v>
      </c>
      <c r="H374" s="3">
        <v>216.80677624958301</v>
      </c>
      <c r="J374" s="5">
        <v>45222</v>
      </c>
      <c r="K374" s="3">
        <v>462.11781774733703</v>
      </c>
      <c r="M374" s="1">
        <v>45210</v>
      </c>
      <c r="N374" s="3">
        <v>13659.677</v>
      </c>
    </row>
    <row r="375" spans="1:14" x14ac:dyDescent="0.3">
      <c r="A375" s="1">
        <v>45209</v>
      </c>
      <c r="B375" s="2">
        <v>33739.296600000001</v>
      </c>
      <c r="D375" s="1">
        <v>45197</v>
      </c>
      <c r="E375" s="3">
        <v>2218.9761536791402</v>
      </c>
      <c r="G375" s="5">
        <v>45194</v>
      </c>
      <c r="H375" s="3">
        <v>219.49637291778399</v>
      </c>
      <c r="J375" s="4">
        <v>45219</v>
      </c>
      <c r="K375" s="3">
        <v>459.45001165229598</v>
      </c>
      <c r="M375" s="1">
        <v>45209</v>
      </c>
      <c r="N375" s="3">
        <v>13562.843999999999</v>
      </c>
    </row>
    <row r="376" spans="1:14" x14ac:dyDescent="0.3">
      <c r="A376" s="5">
        <v>45208</v>
      </c>
      <c r="B376" s="2">
        <v>33604.647299999997</v>
      </c>
      <c r="D376" s="1">
        <v>45196</v>
      </c>
      <c r="E376" s="3">
        <v>2252.1284894055002</v>
      </c>
      <c r="G376" s="4">
        <v>45191</v>
      </c>
      <c r="H376" s="3">
        <v>218.38922962864601</v>
      </c>
      <c r="J376" s="1">
        <v>45218</v>
      </c>
      <c r="K376" s="3">
        <v>465.18983993991202</v>
      </c>
      <c r="M376" s="5">
        <v>45208</v>
      </c>
      <c r="N376" s="3">
        <v>13484.239</v>
      </c>
    </row>
    <row r="377" spans="1:14" x14ac:dyDescent="0.3">
      <c r="A377" s="4">
        <v>45205</v>
      </c>
      <c r="B377" s="2">
        <v>33407.583500000001</v>
      </c>
      <c r="D377" s="1">
        <v>45195</v>
      </c>
      <c r="E377" s="3">
        <v>2233.3904459901801</v>
      </c>
      <c r="G377" s="1">
        <v>45190</v>
      </c>
      <c r="H377" s="3">
        <v>220.70084022224199</v>
      </c>
      <c r="J377" s="1">
        <v>45217</v>
      </c>
      <c r="K377" s="3">
        <v>468.82703693558699</v>
      </c>
      <c r="M377" s="4">
        <v>45205</v>
      </c>
      <c r="N377" s="3">
        <v>13431.341</v>
      </c>
    </row>
    <row r="378" spans="1:14" x14ac:dyDescent="0.3">
      <c r="A378" s="1">
        <v>45204</v>
      </c>
      <c r="B378" s="2">
        <v>33119.567300000002</v>
      </c>
      <c r="D378" s="5">
        <v>45194</v>
      </c>
      <c r="E378" s="3">
        <v>2268.4489994370201</v>
      </c>
      <c r="G378" s="1">
        <v>45189</v>
      </c>
      <c r="H378" s="3">
        <v>222.637227802886</v>
      </c>
      <c r="J378" s="1">
        <v>45216</v>
      </c>
      <c r="K378" s="3">
        <v>475.61942831762798</v>
      </c>
      <c r="M378" s="1">
        <v>45204</v>
      </c>
      <c r="N378" s="3">
        <v>13219.834000000001</v>
      </c>
    </row>
    <row r="379" spans="1:14" x14ac:dyDescent="0.3">
      <c r="A379" s="1">
        <v>45203</v>
      </c>
      <c r="B379" s="2">
        <v>33129.552300000003</v>
      </c>
      <c r="D379" s="4">
        <v>45191</v>
      </c>
      <c r="E379" s="3">
        <v>2309.1663576260598</v>
      </c>
      <c r="G379" s="5">
        <v>45188</v>
      </c>
      <c r="H379" s="3">
        <v>224.824766671178</v>
      </c>
      <c r="J379" s="5">
        <v>45215</v>
      </c>
      <c r="K379" s="3">
        <v>475.32069893891997</v>
      </c>
      <c r="M379" s="1">
        <v>45203</v>
      </c>
      <c r="N379" s="3">
        <v>13236.01</v>
      </c>
    </row>
    <row r="380" spans="1:14" x14ac:dyDescent="0.3">
      <c r="A380" s="1">
        <v>45202</v>
      </c>
      <c r="B380" s="2">
        <v>33002.383500000004</v>
      </c>
      <c r="D380" s="1">
        <v>45190</v>
      </c>
      <c r="E380" s="3">
        <v>2257.58071734544</v>
      </c>
      <c r="G380" s="4">
        <v>45184</v>
      </c>
      <c r="H380" s="3">
        <v>226.850832093093</v>
      </c>
      <c r="J380" s="4">
        <v>45212</v>
      </c>
      <c r="K380" s="3">
        <v>472.04094286284902</v>
      </c>
      <c r="M380" s="1">
        <v>45202</v>
      </c>
      <c r="N380" s="3">
        <v>13059.466</v>
      </c>
    </row>
    <row r="381" spans="1:14" x14ac:dyDescent="0.3">
      <c r="A381" s="5">
        <v>45201</v>
      </c>
      <c r="B381" s="2">
        <v>33433.3534</v>
      </c>
      <c r="D381" s="1">
        <v>45189</v>
      </c>
      <c r="E381" s="3">
        <v>2286.4593986500199</v>
      </c>
      <c r="G381" s="1">
        <v>45183</v>
      </c>
      <c r="H381" s="3">
        <v>224.91421984130901</v>
      </c>
      <c r="J381" s="1">
        <v>45211</v>
      </c>
      <c r="K381" s="3">
        <v>477.49018452048801</v>
      </c>
      <c r="M381" s="5">
        <v>45201</v>
      </c>
      <c r="N381" s="3">
        <v>13307.772999999999</v>
      </c>
    </row>
    <row r="382" spans="1:14" x14ac:dyDescent="0.3">
      <c r="A382" s="4">
        <v>45198</v>
      </c>
      <c r="B382" s="2">
        <v>33507.499499999998</v>
      </c>
      <c r="D382" s="1">
        <v>45188</v>
      </c>
      <c r="E382" s="3">
        <v>2301.3989590925898</v>
      </c>
      <c r="G382" s="1">
        <v>45182</v>
      </c>
      <c r="H382" s="3">
        <v>221.81430993556901</v>
      </c>
      <c r="J382" s="1">
        <v>45210</v>
      </c>
      <c r="K382" s="3">
        <v>481.11775260380603</v>
      </c>
      <c r="M382" s="4">
        <v>45198</v>
      </c>
      <c r="N382" s="3">
        <v>13219.322</v>
      </c>
    </row>
    <row r="383" spans="1:14" x14ac:dyDescent="0.3">
      <c r="A383" s="1">
        <v>45197</v>
      </c>
      <c r="B383" s="2">
        <v>33666.336900000002</v>
      </c>
      <c r="D383" s="5">
        <v>45187</v>
      </c>
      <c r="E383" s="3">
        <v>2293.4077740685302</v>
      </c>
      <c r="G383" s="1">
        <v>45181</v>
      </c>
      <c r="H383" s="3">
        <v>222.84722599944001</v>
      </c>
      <c r="J383" s="1">
        <v>45209</v>
      </c>
      <c r="K383" s="3">
        <v>479.764189454264</v>
      </c>
      <c r="M383" s="1">
        <v>45197</v>
      </c>
      <c r="N383" s="3">
        <v>13201.276</v>
      </c>
    </row>
    <row r="384" spans="1:14" x14ac:dyDescent="0.3">
      <c r="A384" s="1">
        <v>45196</v>
      </c>
      <c r="B384" s="2">
        <v>33550.273500000003</v>
      </c>
      <c r="D384" s="4">
        <v>45184</v>
      </c>
      <c r="E384" s="3">
        <v>2323.4841611613001</v>
      </c>
      <c r="G384" s="5">
        <v>45180</v>
      </c>
      <c r="H384" s="3">
        <v>221.50197844180499</v>
      </c>
      <c r="J384" s="5">
        <v>45208</v>
      </c>
      <c r="K384" s="3">
        <v>468.86489456112798</v>
      </c>
      <c r="M384" s="1">
        <v>45196</v>
      </c>
      <c r="N384" s="3">
        <v>13092.849</v>
      </c>
    </row>
    <row r="385" spans="1:14" x14ac:dyDescent="0.3">
      <c r="A385" s="1">
        <v>45195</v>
      </c>
      <c r="B385" s="2">
        <v>33618.883399999999</v>
      </c>
      <c r="D385" s="1">
        <v>45183</v>
      </c>
      <c r="E385" s="3">
        <v>2305.4711750954898</v>
      </c>
      <c r="G385" s="4">
        <v>45177</v>
      </c>
      <c r="H385" s="3">
        <v>220.59968878967399</v>
      </c>
      <c r="J385" s="4">
        <v>45205</v>
      </c>
      <c r="K385" s="3">
        <v>471.00482723577198</v>
      </c>
      <c r="M385" s="1">
        <v>45195</v>
      </c>
      <c r="N385" s="3">
        <v>13063.61</v>
      </c>
    </row>
    <row r="386" spans="1:14" x14ac:dyDescent="0.3">
      <c r="A386" s="5">
        <v>45194</v>
      </c>
      <c r="B386" s="2">
        <v>34006.881500000003</v>
      </c>
      <c r="D386" s="1">
        <v>45182</v>
      </c>
      <c r="E386" s="3">
        <v>2301.2918972104699</v>
      </c>
      <c r="G386" s="1">
        <v>45176</v>
      </c>
      <c r="H386" s="3">
        <v>223.987236064916</v>
      </c>
      <c r="J386" s="1">
        <v>45204</v>
      </c>
      <c r="K386" s="3">
        <v>465.49232635409498</v>
      </c>
      <c r="M386" s="5">
        <v>45194</v>
      </c>
      <c r="N386" s="3">
        <v>13271.32</v>
      </c>
    </row>
    <row r="387" spans="1:14" x14ac:dyDescent="0.3">
      <c r="A387" s="4">
        <v>45191</v>
      </c>
      <c r="B387" s="2">
        <v>33963.8439</v>
      </c>
      <c r="D387" s="1">
        <v>45181</v>
      </c>
      <c r="E387" s="3">
        <v>2303.0689033972499</v>
      </c>
      <c r="G387" s="1">
        <v>45175</v>
      </c>
      <c r="H387" s="3">
        <v>225.133897731118</v>
      </c>
      <c r="J387" s="1">
        <v>45203</v>
      </c>
      <c r="K387" s="3">
        <v>462.215500309839</v>
      </c>
      <c r="M387" s="4">
        <v>45191</v>
      </c>
      <c r="N387" s="3">
        <v>13211.807000000001</v>
      </c>
    </row>
    <row r="388" spans="1:14" x14ac:dyDescent="0.3">
      <c r="A388" s="1">
        <v>45190</v>
      </c>
      <c r="B388" s="2">
        <v>34070.416499999999</v>
      </c>
      <c r="D388" s="5">
        <v>45180</v>
      </c>
      <c r="E388" s="3">
        <v>2310.6374013636701</v>
      </c>
      <c r="G388" s="1">
        <v>45174</v>
      </c>
      <c r="H388" s="3">
        <v>223.65960327670001</v>
      </c>
      <c r="J388" s="1">
        <v>45202</v>
      </c>
      <c r="K388" s="3">
        <v>461.19070293123701</v>
      </c>
      <c r="M388" s="1">
        <v>45190</v>
      </c>
      <c r="N388" s="3">
        <v>13223.985000000001</v>
      </c>
    </row>
    <row r="389" spans="1:14" x14ac:dyDescent="0.3">
      <c r="A389" s="1">
        <v>45189</v>
      </c>
      <c r="B389" s="2">
        <v>34440.883199999997</v>
      </c>
      <c r="D389" s="4">
        <v>45176</v>
      </c>
      <c r="E389" s="3">
        <v>2321.9591534742499</v>
      </c>
      <c r="G389" s="5">
        <v>45173</v>
      </c>
      <c r="H389" s="3">
        <v>224.90222586372499</v>
      </c>
      <c r="J389" s="5">
        <v>45201</v>
      </c>
      <c r="K389" s="3">
        <v>466.80145826349298</v>
      </c>
      <c r="M389" s="1">
        <v>45189</v>
      </c>
      <c r="N389" s="3">
        <v>13469.128000000001</v>
      </c>
    </row>
    <row r="390" spans="1:14" x14ac:dyDescent="0.3">
      <c r="A390" s="1">
        <v>45188</v>
      </c>
      <c r="B390" s="2">
        <v>34517.731500000002</v>
      </c>
      <c r="D390" s="1">
        <v>45175</v>
      </c>
      <c r="E390" s="3">
        <v>2352.5935937978202</v>
      </c>
      <c r="G390" s="4">
        <v>45170</v>
      </c>
      <c r="H390" s="3">
        <v>223.692949463183</v>
      </c>
      <c r="J390" s="4">
        <v>45198</v>
      </c>
      <c r="K390" s="3">
        <v>475.88444829663899</v>
      </c>
      <c r="M390" s="1">
        <v>45188</v>
      </c>
      <c r="N390" s="3">
        <v>13678.186</v>
      </c>
    </row>
    <row r="391" spans="1:14" x14ac:dyDescent="0.3">
      <c r="A391" s="5">
        <v>45187</v>
      </c>
      <c r="B391" s="2">
        <v>34624.304100000001</v>
      </c>
      <c r="D391" s="1">
        <v>45174</v>
      </c>
      <c r="E391" s="3">
        <v>2353.9875266238901</v>
      </c>
      <c r="G391" s="1">
        <v>45169</v>
      </c>
      <c r="H391" s="3">
        <v>224.141688998831</v>
      </c>
      <c r="J391" s="1">
        <v>45197</v>
      </c>
      <c r="K391" s="3">
        <v>473.57084028467</v>
      </c>
      <c r="M391" s="5">
        <v>45187</v>
      </c>
      <c r="N391" s="3">
        <v>13710.236999999999</v>
      </c>
    </row>
    <row r="392" spans="1:14" x14ac:dyDescent="0.3">
      <c r="A392" s="4">
        <v>45184</v>
      </c>
      <c r="B392" s="2">
        <v>34618.240599999997</v>
      </c>
      <c r="D392" s="5">
        <v>45173</v>
      </c>
      <c r="E392" s="3">
        <v>2405.4634345600598</v>
      </c>
      <c r="G392" s="1">
        <v>45168</v>
      </c>
      <c r="H392" s="3">
        <v>221.098605032808</v>
      </c>
      <c r="J392" s="1">
        <v>45196</v>
      </c>
      <c r="K392" s="3">
        <v>469.25596925596898</v>
      </c>
      <c r="M392" s="4">
        <v>45184</v>
      </c>
      <c r="N392" s="3">
        <v>13708.334999999999</v>
      </c>
    </row>
    <row r="393" spans="1:14" x14ac:dyDescent="0.3">
      <c r="A393" s="1">
        <v>45183</v>
      </c>
      <c r="B393" s="2">
        <v>34907.113700000002</v>
      </c>
      <c r="D393" s="4">
        <v>45169</v>
      </c>
      <c r="E393" s="3">
        <v>2344.1422140607201</v>
      </c>
      <c r="G393" s="1">
        <v>45167</v>
      </c>
      <c r="H393" s="3">
        <v>220.929389182161</v>
      </c>
      <c r="J393" s="1">
        <v>45195</v>
      </c>
      <c r="K393" s="3">
        <v>473.22079761539999</v>
      </c>
      <c r="M393" s="1">
        <v>45183</v>
      </c>
      <c r="N393" s="3">
        <v>13926.052</v>
      </c>
    </row>
    <row r="394" spans="1:14" x14ac:dyDescent="0.3">
      <c r="A394" s="1">
        <v>45182</v>
      </c>
      <c r="B394" s="2">
        <v>34575.532500000001</v>
      </c>
      <c r="D394" s="1">
        <v>45168</v>
      </c>
      <c r="E394" s="3">
        <v>2355.40461322798</v>
      </c>
      <c r="G394" s="5">
        <v>45166</v>
      </c>
      <c r="H394" s="3">
        <v>219.53043537601499</v>
      </c>
      <c r="J394" s="5">
        <v>45194</v>
      </c>
      <c r="K394" s="3">
        <v>477.01447648497702</v>
      </c>
      <c r="M394" s="1">
        <v>45182</v>
      </c>
      <c r="N394" s="3">
        <v>13813.584999999999</v>
      </c>
    </row>
    <row r="395" spans="1:14" x14ac:dyDescent="0.3">
      <c r="A395" s="1">
        <v>45181</v>
      </c>
      <c r="B395" s="2">
        <v>34645.987699999998</v>
      </c>
      <c r="D395" s="1">
        <v>45167</v>
      </c>
      <c r="E395" s="3">
        <v>2355.70381698847</v>
      </c>
      <c r="G395" s="4">
        <v>45163</v>
      </c>
      <c r="H395" s="3">
        <v>215.99808756233401</v>
      </c>
      <c r="J395" s="4">
        <v>45191</v>
      </c>
      <c r="K395" s="3">
        <v>482.81298266918202</v>
      </c>
      <c r="M395" s="1">
        <v>45181</v>
      </c>
      <c r="N395" s="3">
        <v>13773.615</v>
      </c>
    </row>
    <row r="396" spans="1:14" x14ac:dyDescent="0.3">
      <c r="A396" s="5">
        <v>45180</v>
      </c>
      <c r="B396" s="2">
        <v>34663.716899999999</v>
      </c>
      <c r="D396" s="5">
        <v>45166</v>
      </c>
      <c r="E396" s="3">
        <v>2310.8848046088301</v>
      </c>
      <c r="G396" s="1">
        <v>45162</v>
      </c>
      <c r="H396" s="3">
        <v>221.34235963530401</v>
      </c>
      <c r="J396" s="1">
        <v>45190</v>
      </c>
      <c r="K396" s="3">
        <v>484.58849359452699</v>
      </c>
      <c r="M396" s="5">
        <v>45180</v>
      </c>
      <c r="N396" s="3">
        <v>13917.894</v>
      </c>
    </row>
    <row r="397" spans="1:14" x14ac:dyDescent="0.3">
      <c r="A397" s="4">
        <v>45177</v>
      </c>
      <c r="B397" s="2">
        <v>34576.587</v>
      </c>
      <c r="D397" s="4">
        <v>45163</v>
      </c>
      <c r="E397" s="3">
        <v>2289.2741945765401</v>
      </c>
      <c r="G397" s="1">
        <v>45161</v>
      </c>
      <c r="H397" s="3">
        <v>221.019540150528</v>
      </c>
      <c r="J397" s="1">
        <v>45189</v>
      </c>
      <c r="K397" s="3">
        <v>491.01975121779901</v>
      </c>
      <c r="M397" s="4">
        <v>45177</v>
      </c>
      <c r="N397" s="3">
        <v>13761.526</v>
      </c>
    </row>
    <row r="398" spans="1:14" x14ac:dyDescent="0.3">
      <c r="A398" s="1">
        <v>45176</v>
      </c>
      <c r="B398" s="2">
        <v>34500.727299999999</v>
      </c>
      <c r="D398" s="1">
        <v>45162</v>
      </c>
      <c r="E398" s="3">
        <v>2322.2995804802099</v>
      </c>
      <c r="G398" s="1">
        <v>45160</v>
      </c>
      <c r="H398" s="3">
        <v>218.376131066618</v>
      </c>
      <c r="J398" s="1">
        <v>45188</v>
      </c>
      <c r="K398" s="3">
        <v>487.42779658121702</v>
      </c>
      <c r="M398" s="1">
        <v>45176</v>
      </c>
      <c r="N398" s="3">
        <v>13748.832</v>
      </c>
    </row>
    <row r="399" spans="1:14" x14ac:dyDescent="0.3">
      <c r="A399" s="1">
        <v>45175</v>
      </c>
      <c r="B399" s="2">
        <v>34443.19</v>
      </c>
      <c r="D399" s="1">
        <v>45161</v>
      </c>
      <c r="E399" s="3">
        <v>2276.0040301495901</v>
      </c>
      <c r="G399" s="5">
        <v>45159</v>
      </c>
      <c r="H399" s="3">
        <v>215.951563248263</v>
      </c>
      <c r="J399" s="5">
        <v>45187</v>
      </c>
      <c r="K399" s="3">
        <v>488.23560853065402</v>
      </c>
      <c r="M399" s="1">
        <v>45175</v>
      </c>
      <c r="N399" s="3">
        <v>13872.471</v>
      </c>
    </row>
    <row r="400" spans="1:14" x14ac:dyDescent="0.3">
      <c r="A400" s="5">
        <v>45174</v>
      </c>
      <c r="B400" s="2">
        <v>34641.967299999997</v>
      </c>
      <c r="D400" s="1">
        <v>45160</v>
      </c>
      <c r="E400" s="3">
        <v>2270.2749952147001</v>
      </c>
      <c r="G400" s="4">
        <v>45156</v>
      </c>
      <c r="H400" s="3">
        <v>216.34972827955099</v>
      </c>
      <c r="J400" s="4">
        <v>45184</v>
      </c>
      <c r="K400" s="3">
        <v>492.18458653426302</v>
      </c>
      <c r="M400" s="5">
        <v>45174</v>
      </c>
      <c r="N400" s="3">
        <v>14020.951999999999</v>
      </c>
    </row>
    <row r="401" spans="1:14" x14ac:dyDescent="0.3">
      <c r="A401" s="4">
        <v>45170</v>
      </c>
      <c r="B401" s="2">
        <v>34837.713000000003</v>
      </c>
      <c r="D401" s="5">
        <v>45159</v>
      </c>
      <c r="E401" s="3">
        <v>2248.4708914377702</v>
      </c>
      <c r="G401" s="1">
        <v>45155</v>
      </c>
      <c r="H401" s="3">
        <v>216.86895700472101</v>
      </c>
      <c r="J401" s="1">
        <v>45183</v>
      </c>
      <c r="K401" s="3">
        <v>490.40180471609898</v>
      </c>
      <c r="M401" s="4">
        <v>45170</v>
      </c>
      <c r="N401" s="3">
        <v>14031.815000000001</v>
      </c>
    </row>
    <row r="402" spans="1:14" x14ac:dyDescent="0.3">
      <c r="A402" s="1">
        <v>45169</v>
      </c>
      <c r="B402" s="2">
        <v>34721.9133</v>
      </c>
      <c r="D402" s="4">
        <v>45156</v>
      </c>
      <c r="E402" s="3">
        <v>2291.7246485975902</v>
      </c>
      <c r="G402" s="1">
        <v>45154</v>
      </c>
      <c r="H402" s="3">
        <v>217.060608131187</v>
      </c>
      <c r="J402" s="1">
        <v>45182</v>
      </c>
      <c r="K402" s="3">
        <v>486.98693329328398</v>
      </c>
      <c r="M402" s="1">
        <v>45169</v>
      </c>
      <c r="N402" s="3">
        <v>14034.968999999999</v>
      </c>
    </row>
    <row r="403" spans="1:14" x14ac:dyDescent="0.3">
      <c r="A403" s="1">
        <v>45168</v>
      </c>
      <c r="B403" s="2">
        <v>34890.241399999999</v>
      </c>
      <c r="D403" s="1">
        <v>45155</v>
      </c>
      <c r="E403" s="3">
        <v>2340.7451401129101</v>
      </c>
      <c r="G403" s="1">
        <v>45153</v>
      </c>
      <c r="H403" s="3">
        <v>221.46657965239601</v>
      </c>
      <c r="J403" s="1">
        <v>45181</v>
      </c>
      <c r="K403" s="3">
        <v>489.64582930133503</v>
      </c>
      <c r="M403" s="1">
        <v>45168</v>
      </c>
      <c r="N403" s="3">
        <v>14019.311</v>
      </c>
    </row>
    <row r="404" spans="1:14" x14ac:dyDescent="0.3">
      <c r="A404" s="1">
        <v>45167</v>
      </c>
      <c r="B404" s="2">
        <v>34852.673999999999</v>
      </c>
      <c r="D404" s="1">
        <v>45154</v>
      </c>
      <c r="E404" s="3">
        <v>2340.60784063339</v>
      </c>
      <c r="G404" s="5">
        <v>45152</v>
      </c>
      <c r="H404" s="3">
        <v>220.28246530163801</v>
      </c>
      <c r="J404" s="5">
        <v>45180</v>
      </c>
      <c r="K404" s="3">
        <v>490.33221912920101</v>
      </c>
      <c r="M404" s="1">
        <v>45167</v>
      </c>
      <c r="N404" s="3">
        <v>13943.757</v>
      </c>
    </row>
    <row r="405" spans="1:14" x14ac:dyDescent="0.3">
      <c r="A405" s="5">
        <v>45166</v>
      </c>
      <c r="B405" s="2">
        <v>34559.978300000002</v>
      </c>
      <c r="D405" s="1">
        <v>45153</v>
      </c>
      <c r="E405" s="3">
        <v>2375.18982487536</v>
      </c>
      <c r="G405" s="4">
        <v>45148</v>
      </c>
      <c r="H405" s="3">
        <v>224.37400677123901</v>
      </c>
      <c r="J405" s="4">
        <v>45177</v>
      </c>
      <c r="K405" s="3">
        <v>486.43906405469397</v>
      </c>
      <c r="M405" s="5">
        <v>45166</v>
      </c>
      <c r="N405" s="3">
        <v>13705.130999999999</v>
      </c>
    </row>
    <row r="406" spans="1:14" x14ac:dyDescent="0.3">
      <c r="A406" s="4">
        <v>45163</v>
      </c>
      <c r="B406" s="2">
        <v>34346.8989</v>
      </c>
      <c r="D406" s="5">
        <v>45152</v>
      </c>
      <c r="E406" s="3">
        <v>2400.8632265490101</v>
      </c>
      <c r="G406" s="1">
        <v>45147</v>
      </c>
      <c r="H406" s="3">
        <v>224.07688561089799</v>
      </c>
      <c r="J406" s="1">
        <v>45176</v>
      </c>
      <c r="K406" s="3">
        <v>485.37986669091799</v>
      </c>
      <c r="M406" s="4">
        <v>45163</v>
      </c>
      <c r="N406" s="3">
        <v>13590.646000000001</v>
      </c>
    </row>
    <row r="407" spans="1:14" x14ac:dyDescent="0.3">
      <c r="A407" s="1">
        <v>45162</v>
      </c>
      <c r="B407" s="2">
        <v>34099.415800000002</v>
      </c>
      <c r="D407" s="4">
        <v>45149</v>
      </c>
      <c r="E407" s="3">
        <v>2440.1251071341899</v>
      </c>
      <c r="G407" s="1">
        <v>45146</v>
      </c>
      <c r="H407" s="3">
        <v>225.830299225792</v>
      </c>
      <c r="J407" s="1">
        <v>45175</v>
      </c>
      <c r="K407" s="3">
        <v>487.32608905527701</v>
      </c>
      <c r="M407" s="1">
        <v>45162</v>
      </c>
      <c r="N407" s="3">
        <v>13463.972</v>
      </c>
    </row>
    <row r="408" spans="1:14" x14ac:dyDescent="0.3">
      <c r="A408" s="1">
        <v>45161</v>
      </c>
      <c r="B408" s="2">
        <v>34472.980199999998</v>
      </c>
      <c r="D408" s="1">
        <v>45148</v>
      </c>
      <c r="E408" s="3">
        <v>2461.6976378355498</v>
      </c>
      <c r="G408" s="5">
        <v>45145</v>
      </c>
      <c r="H408" s="3">
        <v>226.36367464382499</v>
      </c>
      <c r="J408" s="1">
        <v>45174</v>
      </c>
      <c r="K408" s="3">
        <v>489.79460572016399</v>
      </c>
      <c r="M408" s="1">
        <v>45161</v>
      </c>
      <c r="N408" s="3">
        <v>13721.032999999999</v>
      </c>
    </row>
    <row r="409" spans="1:14" x14ac:dyDescent="0.3">
      <c r="A409" s="1">
        <v>45160</v>
      </c>
      <c r="B409" s="2">
        <v>34288.834300000002</v>
      </c>
      <c r="D409" s="1">
        <v>45147</v>
      </c>
      <c r="E409" s="3">
        <v>2460.8459384469802</v>
      </c>
      <c r="G409" s="4">
        <v>45142</v>
      </c>
      <c r="H409" s="3">
        <v>227.109347442668</v>
      </c>
      <c r="J409" s="5">
        <v>45173</v>
      </c>
      <c r="K409" s="3">
        <v>494.32235223004398</v>
      </c>
      <c r="M409" s="1">
        <v>45160</v>
      </c>
      <c r="N409" s="3">
        <v>13505.873</v>
      </c>
    </row>
    <row r="410" spans="1:14" x14ac:dyDescent="0.3">
      <c r="A410" s="5">
        <v>45159</v>
      </c>
      <c r="B410" s="2">
        <v>34463.6872</v>
      </c>
      <c r="D410" s="1">
        <v>45146</v>
      </c>
      <c r="E410" s="3">
        <v>2455.07096146709</v>
      </c>
      <c r="G410" s="1">
        <v>45141</v>
      </c>
      <c r="H410" s="3">
        <v>225.615827136251</v>
      </c>
      <c r="J410" s="4">
        <v>45170</v>
      </c>
      <c r="K410" s="3">
        <v>493.54161055750097</v>
      </c>
      <c r="M410" s="5">
        <v>45159</v>
      </c>
      <c r="N410" s="3">
        <v>13497.59</v>
      </c>
    </row>
    <row r="411" spans="1:14" x14ac:dyDescent="0.3">
      <c r="A411" s="4">
        <v>45156</v>
      </c>
      <c r="B411" s="2">
        <v>34500.661399999997</v>
      </c>
      <c r="D411" s="5">
        <v>45145</v>
      </c>
      <c r="E411" s="3">
        <v>2502.6476578411398</v>
      </c>
      <c r="G411" s="1">
        <v>45140</v>
      </c>
      <c r="H411" s="3">
        <v>228.21441529443501</v>
      </c>
      <c r="J411" s="1">
        <v>45169</v>
      </c>
      <c r="K411" s="3">
        <v>496.72600333904302</v>
      </c>
      <c r="M411" s="4">
        <v>45156</v>
      </c>
      <c r="N411" s="3">
        <v>13290.776</v>
      </c>
    </row>
    <row r="412" spans="1:14" x14ac:dyDescent="0.3">
      <c r="A412" s="1">
        <v>45155</v>
      </c>
      <c r="B412" s="2">
        <v>34474.825599999996</v>
      </c>
      <c r="D412" s="4">
        <v>45142</v>
      </c>
      <c r="E412" s="3">
        <v>2501.5311739854001</v>
      </c>
      <c r="G412" s="1">
        <v>45139</v>
      </c>
      <c r="H412" s="3">
        <v>233.579263187262</v>
      </c>
      <c r="J412" s="1">
        <v>45168</v>
      </c>
      <c r="K412" s="3">
        <v>501.55120054182697</v>
      </c>
      <c r="M412" s="1">
        <v>45155</v>
      </c>
      <c r="N412" s="3">
        <v>13316.932000000001</v>
      </c>
    </row>
    <row r="413" spans="1:14" x14ac:dyDescent="0.3">
      <c r="A413" s="1">
        <v>45154</v>
      </c>
      <c r="B413" s="2">
        <v>34765.741900000001</v>
      </c>
      <c r="D413" s="1">
        <v>45141</v>
      </c>
      <c r="E413" s="3">
        <v>2487.90945542588</v>
      </c>
      <c r="G413" s="5">
        <v>45138</v>
      </c>
      <c r="H413" s="3">
        <v>233.147455721108</v>
      </c>
      <c r="J413" s="1">
        <v>45167</v>
      </c>
      <c r="K413" s="3">
        <v>500.15771669730299</v>
      </c>
      <c r="M413" s="1">
        <v>45154</v>
      </c>
      <c r="N413" s="3">
        <v>13474.628000000001</v>
      </c>
    </row>
    <row r="414" spans="1:14" x14ac:dyDescent="0.3">
      <c r="A414" s="1">
        <v>45153</v>
      </c>
      <c r="B414" s="2">
        <v>34946.3946</v>
      </c>
      <c r="D414" s="1">
        <v>45140</v>
      </c>
      <c r="E414" s="3">
        <v>2501.7791678416702</v>
      </c>
      <c r="G414" s="4">
        <v>45135</v>
      </c>
      <c r="H414" s="3">
        <v>232.08806234500801</v>
      </c>
      <c r="J414" s="5">
        <v>45166</v>
      </c>
      <c r="K414" s="3">
        <v>492.61739158652898</v>
      </c>
      <c r="M414" s="1">
        <v>45153</v>
      </c>
      <c r="N414" s="3">
        <v>13631.047</v>
      </c>
    </row>
    <row r="415" spans="1:14" x14ac:dyDescent="0.3">
      <c r="A415" s="5">
        <v>45152</v>
      </c>
      <c r="B415" s="2">
        <v>35307.634299999998</v>
      </c>
      <c r="D415" s="1">
        <v>45139</v>
      </c>
      <c r="E415" s="3">
        <v>2567.7008750994501</v>
      </c>
      <c r="G415" s="1">
        <v>45134</v>
      </c>
      <c r="H415" s="3">
        <v>235.88037865749899</v>
      </c>
      <c r="J415" s="4">
        <v>45163</v>
      </c>
      <c r="K415" s="3">
        <v>487.499055004159</v>
      </c>
      <c r="M415" s="5">
        <v>45152</v>
      </c>
      <c r="N415" s="3">
        <v>13788.331</v>
      </c>
    </row>
    <row r="416" spans="1:14" x14ac:dyDescent="0.3">
      <c r="A416" s="4">
        <v>45149</v>
      </c>
      <c r="B416" s="2">
        <v>35281.403100000003</v>
      </c>
      <c r="D416" s="5">
        <v>45138</v>
      </c>
      <c r="E416" s="3">
        <v>2575.04841295286</v>
      </c>
      <c r="G416" s="1">
        <v>45133</v>
      </c>
      <c r="H416" s="3">
        <v>232.995792026234</v>
      </c>
      <c r="J416" s="1">
        <v>45162</v>
      </c>
      <c r="K416" s="3">
        <v>488.104631681348</v>
      </c>
      <c r="M416" s="4">
        <v>45149</v>
      </c>
      <c r="N416" s="3">
        <v>13644.849</v>
      </c>
    </row>
    <row r="417" spans="1:14" x14ac:dyDescent="0.3">
      <c r="A417" s="1">
        <v>45148</v>
      </c>
      <c r="B417" s="2">
        <v>35176.1486</v>
      </c>
      <c r="D417" s="4">
        <v>45135</v>
      </c>
      <c r="E417" s="3">
        <v>2554.7807793940401</v>
      </c>
      <c r="G417" s="1">
        <v>45132</v>
      </c>
      <c r="H417" s="3">
        <v>231.95535841021999</v>
      </c>
      <c r="J417" s="1">
        <v>45161</v>
      </c>
      <c r="K417" s="3">
        <v>492.39874036268998</v>
      </c>
      <c r="M417" s="1">
        <v>45148</v>
      </c>
      <c r="N417" s="3">
        <v>13721.029</v>
      </c>
    </row>
    <row r="418" spans="1:14" x14ac:dyDescent="0.3">
      <c r="A418" s="1">
        <v>45147</v>
      </c>
      <c r="B418" s="2">
        <v>35123.356599999999</v>
      </c>
      <c r="D418" s="1">
        <v>45134</v>
      </c>
      <c r="E418" s="3">
        <v>2517.09239583199</v>
      </c>
      <c r="G418" s="5">
        <v>45131</v>
      </c>
      <c r="H418" s="3">
        <v>231.20008484161801</v>
      </c>
      <c r="J418" s="1">
        <v>45160</v>
      </c>
      <c r="K418" s="3">
        <v>489.822917683291</v>
      </c>
      <c r="M418" s="1">
        <v>45147</v>
      </c>
      <c r="N418" s="3">
        <v>13705.079</v>
      </c>
    </row>
    <row r="419" spans="1:14" x14ac:dyDescent="0.3">
      <c r="A419" s="1">
        <v>45146</v>
      </c>
      <c r="B419" s="2">
        <v>35314.488700000002</v>
      </c>
      <c r="D419" s="1">
        <v>45133</v>
      </c>
      <c r="E419" s="3">
        <v>2482.42382289223</v>
      </c>
      <c r="G419" s="4">
        <v>45128</v>
      </c>
      <c r="H419" s="3">
        <v>227.83165244374601</v>
      </c>
      <c r="J419" s="5">
        <v>45159</v>
      </c>
      <c r="K419" s="3">
        <v>488.63524978490301</v>
      </c>
      <c r="M419" s="1">
        <v>45146</v>
      </c>
      <c r="N419" s="3">
        <v>13867.187</v>
      </c>
    </row>
    <row r="420" spans="1:14" x14ac:dyDescent="0.3">
      <c r="A420" s="5">
        <v>45145</v>
      </c>
      <c r="B420" s="2">
        <v>35473.128299999997</v>
      </c>
      <c r="D420" s="1">
        <v>45132</v>
      </c>
      <c r="E420" s="3">
        <v>2488.0490583912701</v>
      </c>
      <c r="G420" s="1">
        <v>45127</v>
      </c>
      <c r="H420" s="3">
        <v>231.95916327551799</v>
      </c>
      <c r="J420" s="4">
        <v>45156</v>
      </c>
      <c r="K420" s="3">
        <v>487.22824020252398</v>
      </c>
      <c r="M420" s="5">
        <v>45145</v>
      </c>
      <c r="N420" s="3">
        <v>13977.125</v>
      </c>
    </row>
    <row r="421" spans="1:14" x14ac:dyDescent="0.3">
      <c r="A421" s="4">
        <v>45142</v>
      </c>
      <c r="B421" s="2">
        <v>35065.621500000001</v>
      </c>
      <c r="D421" s="5">
        <v>45131</v>
      </c>
      <c r="E421" s="3">
        <v>2389.3702803020501</v>
      </c>
      <c r="G421" s="1">
        <v>45126</v>
      </c>
      <c r="H421" s="3">
        <v>235.52681320255101</v>
      </c>
      <c r="J421" s="1">
        <v>45155</v>
      </c>
      <c r="K421" s="3">
        <v>490.48788972474398</v>
      </c>
      <c r="M421" s="4">
        <v>45142</v>
      </c>
      <c r="N421" s="3">
        <v>13892.07</v>
      </c>
    </row>
    <row r="422" spans="1:14" x14ac:dyDescent="0.3">
      <c r="A422" s="1">
        <v>45141</v>
      </c>
      <c r="B422" s="2">
        <v>35215.890899999999</v>
      </c>
      <c r="D422" s="4">
        <v>45128</v>
      </c>
      <c r="E422" s="3">
        <v>2440.22770883971</v>
      </c>
      <c r="G422" s="5">
        <v>45125</v>
      </c>
      <c r="H422" s="3">
        <v>234.08897053526599</v>
      </c>
      <c r="J422" s="1">
        <v>45154</v>
      </c>
      <c r="K422" s="3">
        <v>495.08492638263698</v>
      </c>
      <c r="M422" s="1">
        <v>45141</v>
      </c>
      <c r="N422" s="3">
        <v>13959.715</v>
      </c>
    </row>
    <row r="423" spans="1:14" x14ac:dyDescent="0.3">
      <c r="A423" s="1">
        <v>45140</v>
      </c>
      <c r="B423" s="2">
        <v>35282.523500000003</v>
      </c>
      <c r="D423" s="1">
        <v>45127</v>
      </c>
      <c r="E423" s="3">
        <v>2422.4144771363099</v>
      </c>
      <c r="G423" s="4">
        <v>45121</v>
      </c>
      <c r="H423" s="3">
        <v>233.48417789950599</v>
      </c>
      <c r="J423" s="1">
        <v>45153</v>
      </c>
      <c r="K423" s="3">
        <v>496.75604357260403</v>
      </c>
      <c r="M423" s="1">
        <v>45140</v>
      </c>
      <c r="N423" s="3">
        <v>13973.447</v>
      </c>
    </row>
    <row r="424" spans="1:14" x14ac:dyDescent="0.3">
      <c r="A424" s="1">
        <v>45139</v>
      </c>
      <c r="B424" s="2">
        <v>35630.680500000002</v>
      </c>
      <c r="D424" s="1">
        <v>45126</v>
      </c>
      <c r="E424" s="3">
        <v>2426.9829683698199</v>
      </c>
      <c r="G424" s="1">
        <v>45120</v>
      </c>
      <c r="H424" s="3">
        <v>234.87162211112599</v>
      </c>
      <c r="J424" s="5">
        <v>45152</v>
      </c>
      <c r="K424" s="3">
        <v>501.43388326118401</v>
      </c>
      <c r="M424" s="1">
        <v>45139</v>
      </c>
      <c r="N424" s="3">
        <v>14283.913</v>
      </c>
    </row>
    <row r="425" spans="1:14" x14ac:dyDescent="0.3">
      <c r="A425" s="5">
        <v>45138</v>
      </c>
      <c r="B425" s="2">
        <v>35559.533199999998</v>
      </c>
      <c r="D425" s="5">
        <v>45125</v>
      </c>
      <c r="E425" s="3">
        <v>2433.91869752201</v>
      </c>
      <c r="G425" s="1">
        <v>45119</v>
      </c>
      <c r="H425" s="3">
        <v>230.64209386280999</v>
      </c>
      <c r="J425" s="4">
        <v>45149</v>
      </c>
      <c r="K425" s="3">
        <v>502.51712741042502</v>
      </c>
      <c r="M425" s="5">
        <v>45138</v>
      </c>
      <c r="N425" s="3">
        <v>14346.023999999999</v>
      </c>
    </row>
    <row r="426" spans="1:14" x14ac:dyDescent="0.3">
      <c r="A426" s="4">
        <v>45135</v>
      </c>
      <c r="B426" s="2">
        <v>35459.287700000001</v>
      </c>
      <c r="D426" s="4">
        <v>45121</v>
      </c>
      <c r="E426" s="3">
        <v>2484.5504108116402</v>
      </c>
      <c r="G426" s="1">
        <v>45118</v>
      </c>
      <c r="H426" s="3">
        <v>229.419177887015</v>
      </c>
      <c r="J426" s="1">
        <v>45148</v>
      </c>
      <c r="K426" s="3">
        <v>509.67798601275598</v>
      </c>
      <c r="M426" s="4">
        <v>45135</v>
      </c>
      <c r="N426" s="3">
        <v>14316.657999999999</v>
      </c>
    </row>
    <row r="427" spans="1:14" x14ac:dyDescent="0.3">
      <c r="A427" s="1">
        <v>45134</v>
      </c>
      <c r="B427" s="2">
        <v>35282.7212</v>
      </c>
      <c r="D427" s="1">
        <v>45120</v>
      </c>
      <c r="E427" s="3">
        <v>2473.9027601989201</v>
      </c>
      <c r="G427" s="5">
        <v>45117</v>
      </c>
      <c r="H427" s="3">
        <v>227.795131271684</v>
      </c>
      <c r="J427" s="1">
        <v>45147</v>
      </c>
      <c r="K427" s="3">
        <v>505.39321650774201</v>
      </c>
      <c r="M427" s="1">
        <v>45134</v>
      </c>
      <c r="N427" s="3">
        <v>14050.107</v>
      </c>
    </row>
    <row r="428" spans="1:14" x14ac:dyDescent="0.3">
      <c r="A428" s="1">
        <v>45133</v>
      </c>
      <c r="B428" s="2">
        <v>35520.120499999997</v>
      </c>
      <c r="D428" s="1">
        <v>45119</v>
      </c>
      <c r="E428" s="3">
        <v>2410.0370559672801</v>
      </c>
      <c r="G428" s="4">
        <v>45114</v>
      </c>
      <c r="H428" s="3">
        <v>227.97508270571001</v>
      </c>
      <c r="J428" s="1">
        <v>45146</v>
      </c>
      <c r="K428" s="3">
        <v>502.34962920769698</v>
      </c>
      <c r="M428" s="1">
        <v>45133</v>
      </c>
      <c r="N428" s="3">
        <v>14127.281999999999</v>
      </c>
    </row>
    <row r="429" spans="1:14" x14ac:dyDescent="0.3">
      <c r="A429" s="1">
        <v>45132</v>
      </c>
      <c r="B429" s="2">
        <v>35438.065499999997</v>
      </c>
      <c r="D429" s="1">
        <v>45118</v>
      </c>
      <c r="E429" s="3">
        <v>2384.0639333580302</v>
      </c>
      <c r="G429" s="1">
        <v>45113</v>
      </c>
      <c r="H429" s="3">
        <v>227.49562682217399</v>
      </c>
      <c r="J429" s="5">
        <v>45145</v>
      </c>
      <c r="K429" s="3">
        <v>505.73751554025</v>
      </c>
      <c r="M429" s="1">
        <v>45132</v>
      </c>
      <c r="N429" s="3">
        <v>14144.555</v>
      </c>
    </row>
    <row r="430" spans="1:14" x14ac:dyDescent="0.3">
      <c r="A430" s="5">
        <v>45131</v>
      </c>
      <c r="B430" s="2">
        <v>35411.241099999999</v>
      </c>
      <c r="D430" s="5">
        <v>45117</v>
      </c>
      <c r="E430" s="3">
        <v>2360.7808068678401</v>
      </c>
      <c r="G430" s="1">
        <v>45112</v>
      </c>
      <c r="H430" s="3">
        <v>230.49433075220301</v>
      </c>
      <c r="J430" s="4">
        <v>45142</v>
      </c>
      <c r="K430" s="3">
        <v>505.66461514747903</v>
      </c>
      <c r="M430" s="5">
        <v>45131</v>
      </c>
      <c r="N430" s="3">
        <v>14058.866</v>
      </c>
    </row>
    <row r="431" spans="1:14" x14ac:dyDescent="0.3">
      <c r="A431" s="4">
        <v>45128</v>
      </c>
      <c r="B431" s="2">
        <v>35227.688399999999</v>
      </c>
      <c r="D431" s="4">
        <v>45114</v>
      </c>
      <c r="E431" s="3">
        <v>2346.4845596596301</v>
      </c>
      <c r="G431" s="1">
        <v>45111</v>
      </c>
      <c r="H431" s="3">
        <v>231.37777777776401</v>
      </c>
      <c r="J431" s="1">
        <v>45141</v>
      </c>
      <c r="K431" s="3">
        <v>501.16006741524097</v>
      </c>
      <c r="M431" s="4">
        <v>45128</v>
      </c>
      <c r="N431" s="3">
        <v>14032.805</v>
      </c>
    </row>
    <row r="432" spans="1:14" x14ac:dyDescent="0.3">
      <c r="A432" s="1">
        <v>45127</v>
      </c>
      <c r="B432" s="2">
        <v>35225.183900000004</v>
      </c>
      <c r="D432" s="1">
        <v>45113</v>
      </c>
      <c r="E432" s="3">
        <v>2369.4401472825698</v>
      </c>
      <c r="G432" s="5">
        <v>45110</v>
      </c>
      <c r="H432" s="3">
        <v>233.32870178348799</v>
      </c>
      <c r="J432" s="1">
        <v>45140</v>
      </c>
      <c r="K432" s="3">
        <v>503.97524086569598</v>
      </c>
      <c r="M432" s="1">
        <v>45127</v>
      </c>
      <c r="N432" s="3">
        <v>14063.307000000001</v>
      </c>
    </row>
    <row r="433" spans="1:14" x14ac:dyDescent="0.3">
      <c r="A433" s="1">
        <v>45126</v>
      </c>
      <c r="B433" s="2">
        <v>35061.205699999999</v>
      </c>
      <c r="D433" s="1">
        <v>45112</v>
      </c>
      <c r="E433" s="3">
        <v>2443.0952928843599</v>
      </c>
      <c r="G433" s="4">
        <v>45107</v>
      </c>
      <c r="H433" s="3">
        <v>229.968403547675</v>
      </c>
      <c r="J433" s="1">
        <v>45139</v>
      </c>
      <c r="K433" s="3">
        <v>513.03564760921802</v>
      </c>
      <c r="M433" s="1">
        <v>45126</v>
      </c>
      <c r="N433" s="3">
        <v>14358.018</v>
      </c>
    </row>
    <row r="434" spans="1:14" x14ac:dyDescent="0.3">
      <c r="A434" s="1">
        <v>45125</v>
      </c>
      <c r="B434" s="2">
        <v>34951.930899999999</v>
      </c>
      <c r="D434" s="1">
        <v>45111</v>
      </c>
      <c r="E434" s="3">
        <v>2479.3992950911902</v>
      </c>
      <c r="G434" s="1">
        <v>45106</v>
      </c>
      <c r="H434" s="3">
        <v>229.56510326725601</v>
      </c>
      <c r="J434" s="5">
        <v>45138</v>
      </c>
      <c r="K434" s="3">
        <v>518.15493530621097</v>
      </c>
      <c r="M434" s="1">
        <v>45125</v>
      </c>
      <c r="N434" s="3">
        <v>14353.642</v>
      </c>
    </row>
    <row r="435" spans="1:14" x14ac:dyDescent="0.3">
      <c r="A435" s="5">
        <v>45124</v>
      </c>
      <c r="B435" s="2">
        <v>34585.352700000003</v>
      </c>
      <c r="D435" s="5">
        <v>45110</v>
      </c>
      <c r="E435" s="3">
        <v>2464.5871629901999</v>
      </c>
      <c r="G435" s="1">
        <v>45105</v>
      </c>
      <c r="H435" s="3">
        <v>229.779800636841</v>
      </c>
      <c r="J435" s="4">
        <v>45135</v>
      </c>
      <c r="K435" s="3">
        <v>518.56584237484299</v>
      </c>
      <c r="M435" s="5">
        <v>45124</v>
      </c>
      <c r="N435" s="3">
        <v>14244.948</v>
      </c>
    </row>
    <row r="436" spans="1:14" x14ac:dyDescent="0.3">
      <c r="A436" s="4">
        <v>45121</v>
      </c>
      <c r="B436" s="2">
        <v>34509.0317</v>
      </c>
      <c r="D436" s="4">
        <v>45107</v>
      </c>
      <c r="E436" s="3">
        <v>2414.0416028586101</v>
      </c>
      <c r="G436" s="1">
        <v>45104</v>
      </c>
      <c r="H436" s="3">
        <v>225.85083639896399</v>
      </c>
      <c r="J436" s="1">
        <v>45134</v>
      </c>
      <c r="K436" s="3">
        <v>517.63905500751798</v>
      </c>
      <c r="M436" s="4">
        <v>45121</v>
      </c>
      <c r="N436" s="3">
        <v>14113.703</v>
      </c>
    </row>
    <row r="437" spans="1:14" x14ac:dyDescent="0.3">
      <c r="A437" s="1">
        <v>45120</v>
      </c>
      <c r="B437" s="2">
        <v>34395.143300000003</v>
      </c>
      <c r="D437" s="1">
        <v>45106</v>
      </c>
      <c r="E437" s="3">
        <v>2415.58991630944</v>
      </c>
      <c r="G437" s="5">
        <v>45103</v>
      </c>
      <c r="H437" s="3">
        <v>227.866271777017</v>
      </c>
      <c r="J437" s="1">
        <v>45133</v>
      </c>
      <c r="K437" s="3">
        <v>515.87090481890505</v>
      </c>
      <c r="M437" s="1">
        <v>45120</v>
      </c>
      <c r="N437" s="3">
        <v>14138.57</v>
      </c>
    </row>
    <row r="438" spans="1:14" x14ac:dyDescent="0.3">
      <c r="A438" s="1">
        <v>45119</v>
      </c>
      <c r="B438" s="2">
        <v>34347.426200000002</v>
      </c>
      <c r="D438" s="1">
        <v>45105</v>
      </c>
      <c r="E438" s="3">
        <v>2447.7561442706701</v>
      </c>
      <c r="G438" s="4">
        <v>45100</v>
      </c>
      <c r="H438" s="3">
        <v>228.15659799553501</v>
      </c>
      <c r="J438" s="1">
        <v>45132</v>
      </c>
      <c r="K438" s="3">
        <v>517.19297469963396</v>
      </c>
      <c r="M438" s="1">
        <v>45119</v>
      </c>
      <c r="N438" s="3">
        <v>13918.963</v>
      </c>
    </row>
    <row r="439" spans="1:14" x14ac:dyDescent="0.3">
      <c r="A439" s="1">
        <v>45118</v>
      </c>
      <c r="B439" s="2">
        <v>34261.416799999999</v>
      </c>
      <c r="D439" s="1">
        <v>45104</v>
      </c>
      <c r="E439" s="3">
        <v>2444.42132407384</v>
      </c>
      <c r="G439" s="1">
        <v>45099</v>
      </c>
      <c r="H439" s="3">
        <v>232.44273635664999</v>
      </c>
      <c r="J439" s="5">
        <v>45131</v>
      </c>
      <c r="K439" s="3">
        <v>515.13274336283303</v>
      </c>
      <c r="M439" s="1">
        <v>45118</v>
      </c>
      <c r="N439" s="3">
        <v>13760.699000000001</v>
      </c>
    </row>
    <row r="440" spans="1:14" x14ac:dyDescent="0.3">
      <c r="A440" s="5">
        <v>45117</v>
      </c>
      <c r="B440" s="2">
        <v>33944.401100000003</v>
      </c>
      <c r="D440" s="5">
        <v>45103</v>
      </c>
      <c r="E440" s="3">
        <v>2400.2413762276301</v>
      </c>
      <c r="G440" s="1">
        <v>45098</v>
      </c>
      <c r="H440" s="3">
        <v>236.644629264157</v>
      </c>
      <c r="J440" s="4">
        <v>45128</v>
      </c>
      <c r="K440" s="3">
        <v>517.66328528207703</v>
      </c>
      <c r="M440" s="5">
        <v>45117</v>
      </c>
      <c r="N440" s="3">
        <v>13685.481</v>
      </c>
    </row>
    <row r="441" spans="1:14" x14ac:dyDescent="0.3">
      <c r="A441" s="4">
        <v>45114</v>
      </c>
      <c r="B441" s="2">
        <v>33734.880799999999</v>
      </c>
      <c r="D441" s="4">
        <v>45100</v>
      </c>
      <c r="E441" s="3">
        <v>2412.57375667322</v>
      </c>
      <c r="G441" s="1">
        <v>45097</v>
      </c>
      <c r="H441" s="3">
        <v>236.064126131211</v>
      </c>
      <c r="J441" s="1">
        <v>45127</v>
      </c>
      <c r="K441" s="3">
        <v>516.26364577189895</v>
      </c>
      <c r="M441" s="4">
        <v>45114</v>
      </c>
      <c r="N441" s="3">
        <v>13660.716</v>
      </c>
    </row>
    <row r="442" spans="1:14" x14ac:dyDescent="0.3">
      <c r="A442" s="1">
        <v>45113</v>
      </c>
      <c r="B442" s="2">
        <v>33922.256099999999</v>
      </c>
      <c r="D442" s="1">
        <v>45098</v>
      </c>
      <c r="E442" s="3">
        <v>2455.1720173231001</v>
      </c>
      <c r="G442" s="5">
        <v>45096</v>
      </c>
      <c r="H442" s="3">
        <v>235.03606141709801</v>
      </c>
      <c r="J442" s="1">
        <v>45126</v>
      </c>
      <c r="K442" s="3">
        <v>517.31204228348997</v>
      </c>
      <c r="M442" s="1">
        <v>45113</v>
      </c>
      <c r="N442" s="3">
        <v>13679.043</v>
      </c>
    </row>
    <row r="443" spans="1:14" x14ac:dyDescent="0.3">
      <c r="A443" s="1">
        <v>45112</v>
      </c>
      <c r="B443" s="2">
        <v>34288.636599999998</v>
      </c>
      <c r="D443" s="1">
        <v>45097</v>
      </c>
      <c r="E443" s="3">
        <v>2505.47299283131</v>
      </c>
      <c r="G443" s="4">
        <v>45093</v>
      </c>
      <c r="H443" s="3">
        <v>237.66802989704999</v>
      </c>
      <c r="J443" s="1">
        <v>45125</v>
      </c>
      <c r="K443" s="3">
        <v>517.24873426958197</v>
      </c>
      <c r="M443" s="1">
        <v>45112</v>
      </c>
      <c r="N443" s="3">
        <v>13791.654</v>
      </c>
    </row>
    <row r="444" spans="1:14" x14ac:dyDescent="0.3">
      <c r="A444" s="5">
        <v>45110</v>
      </c>
      <c r="B444" s="2">
        <v>34418.474600000001</v>
      </c>
      <c r="D444" s="5">
        <v>45096</v>
      </c>
      <c r="E444" s="3">
        <v>2547.5455766647501</v>
      </c>
      <c r="G444" s="1">
        <v>45092</v>
      </c>
      <c r="H444" s="3">
        <v>238.72167961789299</v>
      </c>
      <c r="J444" s="5">
        <v>45124</v>
      </c>
      <c r="K444" s="3">
        <v>514.43015222153599</v>
      </c>
      <c r="M444" s="5">
        <v>45110</v>
      </c>
      <c r="N444" s="3">
        <v>13816.772999999999</v>
      </c>
    </row>
    <row r="445" spans="1:14" x14ac:dyDescent="0.3">
      <c r="A445" s="4">
        <v>45107</v>
      </c>
      <c r="B445" s="2">
        <v>34407.599900000001</v>
      </c>
      <c r="D445" s="4">
        <v>45093</v>
      </c>
      <c r="E445" s="3">
        <v>2562.8054784710398</v>
      </c>
      <c r="G445" s="1">
        <v>45091</v>
      </c>
      <c r="H445" s="3">
        <v>239.14926118923299</v>
      </c>
      <c r="J445" s="4">
        <v>45121</v>
      </c>
      <c r="K445" s="3">
        <v>517.37378046726997</v>
      </c>
      <c r="M445" s="4">
        <v>45107</v>
      </c>
      <c r="N445" s="3">
        <v>13787.923000000001</v>
      </c>
    </row>
    <row r="446" spans="1:14" x14ac:dyDescent="0.3">
      <c r="A446" s="1">
        <v>45106</v>
      </c>
      <c r="B446" s="2">
        <v>34122.417600000001</v>
      </c>
      <c r="D446" s="1">
        <v>45092</v>
      </c>
      <c r="E446" s="3">
        <v>2535.2136446160598</v>
      </c>
      <c r="G446" s="1">
        <v>45090</v>
      </c>
      <c r="H446" s="3">
        <v>235.49425861206899</v>
      </c>
      <c r="J446" s="1">
        <v>45120</v>
      </c>
      <c r="K446" s="3">
        <v>517.82928334923599</v>
      </c>
      <c r="M446" s="1">
        <v>45106</v>
      </c>
      <c r="N446" s="3">
        <v>13591.331</v>
      </c>
    </row>
    <row r="447" spans="1:14" x14ac:dyDescent="0.3">
      <c r="A447" s="1">
        <v>45105</v>
      </c>
      <c r="B447" s="2">
        <v>33852.657700000003</v>
      </c>
      <c r="D447" s="1">
        <v>45091</v>
      </c>
      <c r="E447" s="3">
        <v>2478.3455919910198</v>
      </c>
      <c r="G447" s="5">
        <v>45089</v>
      </c>
      <c r="H447" s="3">
        <v>232.33524355301</v>
      </c>
      <c r="J447" s="1">
        <v>45119</v>
      </c>
      <c r="K447" s="3">
        <v>510.26562656488397</v>
      </c>
      <c r="M447" s="1">
        <v>45105</v>
      </c>
      <c r="N447" s="3">
        <v>13591.75</v>
      </c>
    </row>
    <row r="448" spans="1:14" x14ac:dyDescent="0.3">
      <c r="A448" s="1">
        <v>45104</v>
      </c>
      <c r="B448" s="2">
        <v>33926.7379</v>
      </c>
      <c r="D448" s="1">
        <v>45090</v>
      </c>
      <c r="E448" s="3">
        <v>2492.0431480181301</v>
      </c>
      <c r="G448" s="4">
        <v>45086</v>
      </c>
      <c r="H448" s="3">
        <v>231.55712645327901</v>
      </c>
      <c r="J448" s="1">
        <v>45118</v>
      </c>
      <c r="K448" s="3">
        <v>497.16046665199002</v>
      </c>
      <c r="M448" s="1">
        <v>45104</v>
      </c>
      <c r="N448" s="3">
        <v>13555.673000000001</v>
      </c>
    </row>
    <row r="449" spans="1:14" x14ac:dyDescent="0.3">
      <c r="A449" s="5">
        <v>45103</v>
      </c>
      <c r="B449" s="2">
        <v>33714.713100000001</v>
      </c>
      <c r="D449" s="5">
        <v>45089</v>
      </c>
      <c r="E449" s="3">
        <v>2476.61901723037</v>
      </c>
      <c r="G449" s="1">
        <v>45085</v>
      </c>
      <c r="H449" s="3">
        <v>227.782521056815</v>
      </c>
      <c r="J449" s="5">
        <v>45117</v>
      </c>
      <c r="K449" s="3">
        <v>493.27408515459399</v>
      </c>
      <c r="M449" s="5">
        <v>45103</v>
      </c>
      <c r="N449" s="3">
        <v>13335.778</v>
      </c>
    </row>
    <row r="450" spans="1:14" x14ac:dyDescent="0.3">
      <c r="A450" s="4">
        <v>45100</v>
      </c>
      <c r="B450" s="2">
        <v>33727.433199999999</v>
      </c>
      <c r="D450" s="4">
        <v>45086</v>
      </c>
      <c r="E450" s="3">
        <v>2473.5865183446399</v>
      </c>
      <c r="G450" s="1">
        <v>45084</v>
      </c>
      <c r="H450" s="3">
        <v>227.77631860680299</v>
      </c>
      <c r="J450" s="4">
        <v>45114</v>
      </c>
      <c r="K450" s="3">
        <v>490.93581040325603</v>
      </c>
      <c r="M450" s="4">
        <v>45100</v>
      </c>
      <c r="N450" s="3">
        <v>13492.516</v>
      </c>
    </row>
    <row r="451" spans="1:14" x14ac:dyDescent="0.3">
      <c r="A451" s="1">
        <v>45099</v>
      </c>
      <c r="B451" s="2">
        <v>33946.707900000001</v>
      </c>
      <c r="D451" s="1">
        <v>45085</v>
      </c>
      <c r="E451" s="3">
        <v>2462.7609616660802</v>
      </c>
      <c r="G451" s="1">
        <v>45083</v>
      </c>
      <c r="H451" s="3">
        <v>232.80656019478701</v>
      </c>
      <c r="J451" s="1">
        <v>45113</v>
      </c>
      <c r="K451" s="3">
        <v>486.88665585228802</v>
      </c>
      <c r="M451" s="1">
        <v>45099</v>
      </c>
      <c r="N451" s="3">
        <v>13630.609</v>
      </c>
    </row>
    <row r="452" spans="1:14" x14ac:dyDescent="0.3">
      <c r="A452" s="1">
        <v>45098</v>
      </c>
      <c r="B452" s="2">
        <v>33951.519099999998</v>
      </c>
      <c r="D452" s="1">
        <v>45084</v>
      </c>
      <c r="E452" s="3">
        <v>2454.9859729660802</v>
      </c>
      <c r="G452" s="5">
        <v>45082</v>
      </c>
      <c r="H452" s="3">
        <v>230.88311595242399</v>
      </c>
      <c r="J452" s="1">
        <v>45112</v>
      </c>
      <c r="K452" s="3">
        <v>496.91287693826803</v>
      </c>
      <c r="M452" s="1">
        <v>45098</v>
      </c>
      <c r="N452" s="3">
        <v>13502.199000000001</v>
      </c>
    </row>
    <row r="453" spans="1:14" x14ac:dyDescent="0.3">
      <c r="A453" s="5">
        <v>45097</v>
      </c>
      <c r="B453" s="2">
        <v>34053.873699999996</v>
      </c>
      <c r="D453" s="1">
        <v>45083</v>
      </c>
      <c r="E453" s="3">
        <v>2435.20081601429</v>
      </c>
      <c r="G453" s="4">
        <v>45079</v>
      </c>
      <c r="H453" s="3">
        <v>225.26954409033101</v>
      </c>
      <c r="J453" s="1">
        <v>45111</v>
      </c>
      <c r="K453" s="3">
        <v>501.756637697553</v>
      </c>
      <c r="M453" s="5">
        <v>45097</v>
      </c>
      <c r="N453" s="3">
        <v>13667.294</v>
      </c>
    </row>
    <row r="454" spans="1:14" x14ac:dyDescent="0.3">
      <c r="A454" s="4">
        <v>45093</v>
      </c>
      <c r="B454" s="2">
        <v>34299.115899999997</v>
      </c>
      <c r="D454" s="5">
        <v>45082</v>
      </c>
      <c r="E454" s="3">
        <v>2437.9305945394199</v>
      </c>
      <c r="G454" s="1">
        <v>45078</v>
      </c>
      <c r="H454" s="3">
        <v>224.42546292959199</v>
      </c>
      <c r="J454" s="5">
        <v>45110</v>
      </c>
      <c r="K454" s="3">
        <v>502.97323542568898</v>
      </c>
      <c r="M454" s="4">
        <v>45093</v>
      </c>
      <c r="N454" s="3">
        <v>13689.571</v>
      </c>
    </row>
    <row r="455" spans="1:14" x14ac:dyDescent="0.3">
      <c r="A455" s="1">
        <v>45092</v>
      </c>
      <c r="B455" s="2">
        <v>34408.061199999996</v>
      </c>
      <c r="D455" s="4">
        <v>45079</v>
      </c>
      <c r="E455" s="3">
        <v>2417.8551834130799</v>
      </c>
      <c r="G455" s="1">
        <v>45077</v>
      </c>
      <c r="H455" s="3">
        <v>221.672742930959</v>
      </c>
      <c r="J455" s="4">
        <v>45107</v>
      </c>
      <c r="K455" s="3">
        <v>503.96578622939597</v>
      </c>
      <c r="M455" s="1">
        <v>45092</v>
      </c>
      <c r="N455" s="3">
        <v>13782.821</v>
      </c>
    </row>
    <row r="456" spans="1:14" x14ac:dyDescent="0.3">
      <c r="A456" s="1">
        <v>45091</v>
      </c>
      <c r="B456" s="2">
        <v>33979.3321</v>
      </c>
      <c r="D456" s="1">
        <v>45078</v>
      </c>
      <c r="E456" s="3">
        <v>2326.6718606314498</v>
      </c>
      <c r="G456" s="1">
        <v>45076</v>
      </c>
      <c r="H456" s="3">
        <v>224.108734530356</v>
      </c>
      <c r="J456" s="1">
        <v>45106</v>
      </c>
      <c r="K456" s="3">
        <v>496.09438656338801</v>
      </c>
      <c r="M456" s="1">
        <v>45091</v>
      </c>
      <c r="N456" s="3">
        <v>13626.477000000001</v>
      </c>
    </row>
    <row r="457" spans="1:14" x14ac:dyDescent="0.3">
      <c r="A457" s="1">
        <v>45090</v>
      </c>
      <c r="B457" s="2">
        <v>34212.117899999997</v>
      </c>
      <c r="D457" s="1">
        <v>45077</v>
      </c>
      <c r="E457" s="3">
        <v>2328.8295997343398</v>
      </c>
      <c r="G457" s="5">
        <v>45075</v>
      </c>
      <c r="H457" s="3">
        <v>222.397749928797</v>
      </c>
      <c r="J457" s="1">
        <v>45105</v>
      </c>
      <c r="K457" s="3">
        <v>497.594134270219</v>
      </c>
      <c r="M457" s="1">
        <v>45090</v>
      </c>
      <c r="N457" s="3">
        <v>13573.32</v>
      </c>
    </row>
    <row r="458" spans="1:14" x14ac:dyDescent="0.3">
      <c r="A458" s="5">
        <v>45089</v>
      </c>
      <c r="B458" s="2">
        <v>34066.330199999997</v>
      </c>
      <c r="D458" s="1">
        <v>45076</v>
      </c>
      <c r="E458" s="3">
        <v>2373.69704241713</v>
      </c>
      <c r="G458" s="4">
        <v>45072</v>
      </c>
      <c r="H458" s="3">
        <v>219.85713269803699</v>
      </c>
      <c r="J458" s="1">
        <v>45104</v>
      </c>
      <c r="K458" s="3">
        <v>496.33420640226302</v>
      </c>
      <c r="M458" s="5">
        <v>45089</v>
      </c>
      <c r="N458" s="3">
        <v>13461.921</v>
      </c>
    </row>
    <row r="459" spans="1:14" x14ac:dyDescent="0.3">
      <c r="A459" s="4">
        <v>45086</v>
      </c>
      <c r="B459" s="2">
        <v>33876.779900000001</v>
      </c>
      <c r="D459" s="5">
        <v>45075</v>
      </c>
      <c r="E459" s="3">
        <v>2369.8705910908402</v>
      </c>
      <c r="G459" s="1">
        <v>45071</v>
      </c>
      <c r="H459" s="3">
        <v>219.92952516956899</v>
      </c>
      <c r="J459" s="5">
        <v>45103</v>
      </c>
      <c r="K459" s="3">
        <v>493.60477161456203</v>
      </c>
      <c r="M459" s="4">
        <v>45086</v>
      </c>
      <c r="N459" s="3">
        <v>13259.143</v>
      </c>
    </row>
    <row r="460" spans="1:14" x14ac:dyDescent="0.3">
      <c r="A460" s="1">
        <v>45085</v>
      </c>
      <c r="B460" s="2">
        <v>33833.610399999998</v>
      </c>
      <c r="D460" s="4">
        <v>45071</v>
      </c>
      <c r="E460" s="3">
        <v>2392.8063614433299</v>
      </c>
      <c r="G460" s="1">
        <v>45070</v>
      </c>
      <c r="H460" s="3">
        <v>220.010612361976</v>
      </c>
      <c r="J460" s="4">
        <v>45100</v>
      </c>
      <c r="K460" s="3">
        <v>493.42305849557903</v>
      </c>
      <c r="M460" s="1">
        <v>45085</v>
      </c>
      <c r="N460" s="3">
        <v>13238.523999999999</v>
      </c>
    </row>
    <row r="461" spans="1:14" x14ac:dyDescent="0.3">
      <c r="A461" s="1">
        <v>45084</v>
      </c>
      <c r="B461" s="2">
        <v>33665.018700000001</v>
      </c>
      <c r="D461" s="1">
        <v>45070</v>
      </c>
      <c r="E461" s="3">
        <v>2441.6510199128802</v>
      </c>
      <c r="G461" s="1">
        <v>45069</v>
      </c>
      <c r="H461" s="3">
        <v>223.392769519415</v>
      </c>
      <c r="J461" s="1">
        <v>45099</v>
      </c>
      <c r="K461" s="3">
        <v>498.17034423822702</v>
      </c>
      <c r="M461" s="1">
        <v>45084</v>
      </c>
      <c r="N461" s="3">
        <v>13104.895</v>
      </c>
    </row>
    <row r="462" spans="1:14" x14ac:dyDescent="0.3">
      <c r="A462" s="1">
        <v>45083</v>
      </c>
      <c r="B462" s="2">
        <v>33573.275300000001</v>
      </c>
      <c r="D462" s="1">
        <v>45069</v>
      </c>
      <c r="E462" s="3">
        <v>2479.4561625132401</v>
      </c>
      <c r="G462" s="5">
        <v>45068</v>
      </c>
      <c r="H462" s="3">
        <v>224.291630591624</v>
      </c>
      <c r="J462" s="1">
        <v>45098</v>
      </c>
      <c r="K462" s="3">
        <v>501.97710946595998</v>
      </c>
      <c r="M462" s="1">
        <v>45083</v>
      </c>
      <c r="N462" s="3">
        <v>13276.418</v>
      </c>
    </row>
    <row r="463" spans="1:14" x14ac:dyDescent="0.3">
      <c r="A463" s="5">
        <v>45082</v>
      </c>
      <c r="B463" s="2">
        <v>33562.861900000004</v>
      </c>
      <c r="D463" s="5">
        <v>45068</v>
      </c>
      <c r="E463" s="3">
        <v>2513.7862316526398</v>
      </c>
      <c r="G463" s="4">
        <v>45065</v>
      </c>
      <c r="H463" s="3">
        <v>223.329829648409</v>
      </c>
      <c r="J463" s="1">
        <v>45097</v>
      </c>
      <c r="K463" s="3">
        <v>501.39178464998002</v>
      </c>
      <c r="M463" s="5">
        <v>45082</v>
      </c>
      <c r="N463" s="3">
        <v>13229.429</v>
      </c>
    </row>
    <row r="464" spans="1:14" x14ac:dyDescent="0.3">
      <c r="A464" s="4">
        <v>45079</v>
      </c>
      <c r="B464" s="2">
        <v>33762.759700000002</v>
      </c>
      <c r="D464" s="4">
        <v>45065</v>
      </c>
      <c r="E464" s="3">
        <v>2488.8128262872301</v>
      </c>
      <c r="G464" s="1">
        <v>45064</v>
      </c>
      <c r="H464" s="3">
        <v>220.41619205536699</v>
      </c>
      <c r="J464" s="5">
        <v>45096</v>
      </c>
      <c r="K464" s="3">
        <v>504.64186635793499</v>
      </c>
      <c r="M464" s="4">
        <v>45079</v>
      </c>
      <c r="N464" s="3">
        <v>13240.766</v>
      </c>
    </row>
    <row r="465" spans="1:14" x14ac:dyDescent="0.3">
      <c r="A465" s="1">
        <v>45078</v>
      </c>
      <c r="B465" s="2">
        <v>33061.568500000001</v>
      </c>
      <c r="D465" s="1">
        <v>45064</v>
      </c>
      <c r="E465" s="3">
        <v>2520.53893133673</v>
      </c>
      <c r="G465" s="1">
        <v>45063</v>
      </c>
      <c r="H465" s="3">
        <v>218.59221326359599</v>
      </c>
      <c r="J465" s="4">
        <v>45093</v>
      </c>
      <c r="K465" s="3">
        <v>510.35357400564197</v>
      </c>
      <c r="M465" s="1">
        <v>45078</v>
      </c>
      <c r="N465" s="3">
        <v>13100.982</v>
      </c>
    </row>
    <row r="466" spans="1:14" x14ac:dyDescent="0.3">
      <c r="A466" s="1">
        <v>45077</v>
      </c>
      <c r="B466" s="2">
        <v>32908.267399999997</v>
      </c>
      <c r="D466" s="1">
        <v>45063</v>
      </c>
      <c r="E466" s="3">
        <v>2498.12518358642</v>
      </c>
      <c r="G466" s="1">
        <v>45062</v>
      </c>
      <c r="H466" s="3">
        <v>218.838380875567</v>
      </c>
      <c r="J466" s="1">
        <v>45092</v>
      </c>
      <c r="K466" s="3">
        <v>508.20874285839398</v>
      </c>
      <c r="M466" s="1">
        <v>45077</v>
      </c>
      <c r="N466" s="3">
        <v>12935.285</v>
      </c>
    </row>
    <row r="467" spans="1:14" x14ac:dyDescent="0.3">
      <c r="A467" s="5">
        <v>45076</v>
      </c>
      <c r="B467" s="2">
        <v>33042.784899999999</v>
      </c>
      <c r="D467" s="1">
        <v>45062</v>
      </c>
      <c r="E467" s="3">
        <v>2548.8964021433999</v>
      </c>
      <c r="G467" s="5">
        <v>45061</v>
      </c>
      <c r="H467" s="3">
        <v>217.66468297699799</v>
      </c>
      <c r="J467" s="1">
        <v>45091</v>
      </c>
      <c r="K467" s="3">
        <v>503.57421367299202</v>
      </c>
      <c r="M467" s="5">
        <v>45076</v>
      </c>
      <c r="N467" s="3">
        <v>13017.425999999999</v>
      </c>
    </row>
    <row r="468" spans="1:14" x14ac:dyDescent="0.3">
      <c r="A468" s="4">
        <v>45072</v>
      </c>
      <c r="B468" s="2">
        <v>33093.336000000003</v>
      </c>
      <c r="D468" s="5">
        <v>45061</v>
      </c>
      <c r="E468" s="3">
        <v>2547.8254768131701</v>
      </c>
      <c r="G468" s="4">
        <v>45058</v>
      </c>
      <c r="H468" s="3">
        <v>216.55220691178499</v>
      </c>
      <c r="J468" s="1">
        <v>45090</v>
      </c>
      <c r="K468" s="3">
        <v>499.913672170067</v>
      </c>
      <c r="M468" s="4">
        <v>45072</v>
      </c>
      <c r="N468" s="3">
        <v>12975.688</v>
      </c>
    </row>
    <row r="469" spans="1:14" x14ac:dyDescent="0.3">
      <c r="A469" s="1">
        <v>45071</v>
      </c>
      <c r="B469" s="2">
        <v>32764.654699999999</v>
      </c>
      <c r="D469" s="4">
        <v>45058</v>
      </c>
      <c r="E469" s="3">
        <v>2502.80409584168</v>
      </c>
      <c r="G469" s="1">
        <v>45057</v>
      </c>
      <c r="H469" s="3">
        <v>216.491155046834</v>
      </c>
      <c r="J469" s="5">
        <v>45089</v>
      </c>
      <c r="K469" s="3">
        <v>495.605778643115</v>
      </c>
      <c r="M469" s="1">
        <v>45071</v>
      </c>
      <c r="N469" s="3">
        <v>12698.093999999999</v>
      </c>
    </row>
    <row r="470" spans="1:14" x14ac:dyDescent="0.3">
      <c r="A470" s="1">
        <v>45070</v>
      </c>
      <c r="B470" s="2">
        <v>32799.915300000001</v>
      </c>
      <c r="D470" s="1">
        <v>45057</v>
      </c>
      <c r="E470" s="3">
        <v>2519.7547092756099</v>
      </c>
      <c r="G470" s="1">
        <v>45056</v>
      </c>
      <c r="H470" s="3">
        <v>216.77966354025699</v>
      </c>
      <c r="J470" s="4">
        <v>45086</v>
      </c>
      <c r="K470" s="3">
        <v>494.37393201431701</v>
      </c>
      <c r="M470" s="1">
        <v>45070</v>
      </c>
      <c r="N470" s="3">
        <v>12484.162</v>
      </c>
    </row>
    <row r="471" spans="1:14" x14ac:dyDescent="0.3">
      <c r="A471" s="1">
        <v>45069</v>
      </c>
      <c r="B471" s="2">
        <v>33055.504999999997</v>
      </c>
      <c r="D471" s="1">
        <v>45056</v>
      </c>
      <c r="E471" s="3">
        <v>2523.4246312966802</v>
      </c>
      <c r="G471" s="1">
        <v>45055</v>
      </c>
      <c r="H471" s="3">
        <v>216.27705051401901</v>
      </c>
      <c r="J471" s="1">
        <v>45085</v>
      </c>
      <c r="K471" s="3">
        <v>496.67946008883598</v>
      </c>
      <c r="M471" s="1">
        <v>45069</v>
      </c>
      <c r="N471" s="3">
        <v>12560.245000000001</v>
      </c>
    </row>
    <row r="472" spans="1:14" x14ac:dyDescent="0.3">
      <c r="A472" s="5">
        <v>45068</v>
      </c>
      <c r="B472" s="2">
        <v>33286.5772</v>
      </c>
      <c r="D472" s="1">
        <v>45055</v>
      </c>
      <c r="E472" s="3">
        <v>2533.74228434423</v>
      </c>
      <c r="G472" s="5">
        <v>45054</v>
      </c>
      <c r="H472" s="3">
        <v>214.31655315367499</v>
      </c>
      <c r="J472" s="1">
        <v>45084</v>
      </c>
      <c r="K472" s="3">
        <v>492.91857430148502</v>
      </c>
      <c r="M472" s="5">
        <v>45068</v>
      </c>
      <c r="N472" s="3">
        <v>12720.776</v>
      </c>
    </row>
    <row r="473" spans="1:14" x14ac:dyDescent="0.3">
      <c r="A473" s="4">
        <v>45065</v>
      </c>
      <c r="B473" s="2">
        <v>33426.630899999996</v>
      </c>
      <c r="D473" s="5">
        <v>45054</v>
      </c>
      <c r="E473" s="3">
        <v>2586.0371781314102</v>
      </c>
      <c r="G473" s="4">
        <v>45048</v>
      </c>
      <c r="H473" s="3">
        <v>213.56441807661301</v>
      </c>
      <c r="J473" s="1">
        <v>45083</v>
      </c>
      <c r="K473" s="3">
        <v>493.58008060981098</v>
      </c>
      <c r="M473" s="4">
        <v>45065</v>
      </c>
      <c r="N473" s="3">
        <v>12657.897000000001</v>
      </c>
    </row>
    <row r="474" spans="1:14" x14ac:dyDescent="0.3">
      <c r="A474" s="1">
        <v>45064</v>
      </c>
      <c r="B474" s="2">
        <v>33535.905700000003</v>
      </c>
      <c r="D474" s="4">
        <v>45051</v>
      </c>
      <c r="E474" s="3">
        <v>2554.8984376991002</v>
      </c>
      <c r="G474" s="5">
        <v>45047</v>
      </c>
      <c r="H474" s="3">
        <v>211.835757928438</v>
      </c>
      <c r="J474" s="5">
        <v>45082</v>
      </c>
      <c r="K474" s="3">
        <v>492.67832849506601</v>
      </c>
      <c r="M474" s="1">
        <v>45064</v>
      </c>
      <c r="N474" s="3">
        <v>12688.838</v>
      </c>
    </row>
    <row r="475" spans="1:14" x14ac:dyDescent="0.3">
      <c r="A475" s="1">
        <v>45063</v>
      </c>
      <c r="B475" s="2">
        <v>33420.765099999997</v>
      </c>
      <c r="D475" s="1">
        <v>45050</v>
      </c>
      <c r="E475" s="3">
        <v>2542.1138480751401</v>
      </c>
      <c r="G475" s="4">
        <v>45044</v>
      </c>
      <c r="H475" s="3">
        <v>211.74376284120501</v>
      </c>
      <c r="J475" s="4">
        <v>45079</v>
      </c>
      <c r="K475" s="3">
        <v>494.77549622079999</v>
      </c>
      <c r="M475" s="1">
        <v>45063</v>
      </c>
      <c r="N475" s="3">
        <v>12500.566000000001</v>
      </c>
    </row>
    <row r="476" spans="1:14" x14ac:dyDescent="0.3">
      <c r="A476" s="1">
        <v>45062</v>
      </c>
      <c r="B476" s="2">
        <v>33012.137799999997</v>
      </c>
      <c r="D476" s="1">
        <v>45049</v>
      </c>
      <c r="E476" s="3">
        <v>2509.4791016446202</v>
      </c>
      <c r="G476" s="1">
        <v>45043</v>
      </c>
      <c r="H476" s="3">
        <v>212.465880244884</v>
      </c>
      <c r="J476" s="1">
        <v>45078</v>
      </c>
      <c r="K476" s="3">
        <v>489.91692493113101</v>
      </c>
      <c r="M476" s="1">
        <v>45062</v>
      </c>
      <c r="N476" s="3">
        <v>12343.053</v>
      </c>
    </row>
    <row r="477" spans="1:14" x14ac:dyDescent="0.3">
      <c r="A477" s="5">
        <v>45061</v>
      </c>
      <c r="B477" s="2">
        <v>33348.5962</v>
      </c>
      <c r="D477" s="5">
        <v>45048</v>
      </c>
      <c r="E477" s="3">
        <v>2539.4359020089901</v>
      </c>
      <c r="G477" s="1">
        <v>45042</v>
      </c>
      <c r="H477" s="3">
        <v>212.60264851115801</v>
      </c>
      <c r="J477" s="1">
        <v>45077</v>
      </c>
      <c r="K477" s="3">
        <v>482.84043906245</v>
      </c>
      <c r="M477" s="5">
        <v>45061</v>
      </c>
      <c r="N477" s="3">
        <v>12365.209000000001</v>
      </c>
    </row>
    <row r="478" spans="1:14" x14ac:dyDescent="0.3">
      <c r="A478" s="4">
        <v>45058</v>
      </c>
      <c r="B478" s="2">
        <v>33300.6155</v>
      </c>
      <c r="D478" s="4">
        <v>45044</v>
      </c>
      <c r="E478" s="3">
        <v>2534.5015606089601</v>
      </c>
      <c r="G478" s="1">
        <v>45041</v>
      </c>
      <c r="H478" s="3">
        <v>214.045845486491</v>
      </c>
      <c r="J478" s="1">
        <v>45076</v>
      </c>
      <c r="K478" s="3">
        <v>490.09885050068999</v>
      </c>
      <c r="M478" s="4">
        <v>45058</v>
      </c>
      <c r="N478" s="3">
        <v>12284.743</v>
      </c>
    </row>
    <row r="479" spans="1:14" x14ac:dyDescent="0.3">
      <c r="A479" s="1">
        <v>45057</v>
      </c>
      <c r="B479" s="2">
        <v>33309.512999999999</v>
      </c>
      <c r="D479" s="1">
        <v>45043</v>
      </c>
      <c r="E479" s="3">
        <v>2527.5851965093302</v>
      </c>
      <c r="G479" s="5">
        <v>45040</v>
      </c>
      <c r="H479" s="3">
        <v>213.03471911786201</v>
      </c>
      <c r="J479" s="5">
        <v>45075</v>
      </c>
      <c r="K479" s="3">
        <v>493.362879225813</v>
      </c>
      <c r="M479" s="1">
        <v>45057</v>
      </c>
      <c r="N479" s="3">
        <v>12328.507</v>
      </c>
    </row>
    <row r="480" spans="1:14" x14ac:dyDescent="0.3">
      <c r="A480" s="1">
        <v>45056</v>
      </c>
      <c r="B480" s="2">
        <v>33531.325100000002</v>
      </c>
      <c r="D480" s="1">
        <v>45042</v>
      </c>
      <c r="E480" s="3">
        <v>2517.0420669095702</v>
      </c>
      <c r="G480" s="4">
        <v>45037</v>
      </c>
      <c r="H480" s="3">
        <v>212.92858740216499</v>
      </c>
      <c r="J480" s="4">
        <v>45072</v>
      </c>
      <c r="K480" s="3">
        <v>494.81495780115398</v>
      </c>
      <c r="M480" s="1">
        <v>45056</v>
      </c>
      <c r="N480" s="3">
        <v>12306.441999999999</v>
      </c>
    </row>
    <row r="481" spans="1:14" x14ac:dyDescent="0.3">
      <c r="A481" s="1">
        <v>45055</v>
      </c>
      <c r="B481" s="2">
        <v>33561.807399999998</v>
      </c>
      <c r="D481" s="1">
        <v>45041</v>
      </c>
      <c r="E481" s="3">
        <v>2499.2203424378399</v>
      </c>
      <c r="G481" s="1">
        <v>45036</v>
      </c>
      <c r="H481" s="3">
        <v>213.49601430381401</v>
      </c>
      <c r="J481" s="1">
        <v>45071</v>
      </c>
      <c r="K481" s="3">
        <v>488.98083436950901</v>
      </c>
      <c r="M481" s="1">
        <v>45055</v>
      </c>
      <c r="N481" s="3">
        <v>12179.553</v>
      </c>
    </row>
    <row r="482" spans="1:14" x14ac:dyDescent="0.3">
      <c r="A482" s="5">
        <v>45054</v>
      </c>
      <c r="B482" s="2">
        <v>33618.685700000002</v>
      </c>
      <c r="D482" s="5">
        <v>45040</v>
      </c>
      <c r="E482" s="3">
        <v>2542.95906537056</v>
      </c>
      <c r="G482" s="1">
        <v>45035</v>
      </c>
      <c r="H482" s="3">
        <v>212.38963545919199</v>
      </c>
      <c r="J482" s="1">
        <v>45070</v>
      </c>
      <c r="K482" s="3">
        <v>491.87992390451501</v>
      </c>
      <c r="M482" s="5">
        <v>45054</v>
      </c>
      <c r="N482" s="3">
        <v>12256.916999999999</v>
      </c>
    </row>
    <row r="483" spans="1:14" x14ac:dyDescent="0.3">
      <c r="A483" s="4">
        <v>45051</v>
      </c>
      <c r="B483" s="2">
        <v>33674.3776</v>
      </c>
      <c r="D483" s="4">
        <v>45037</v>
      </c>
      <c r="E483" s="3">
        <v>2558.2325581395398</v>
      </c>
      <c r="G483" s="1">
        <v>45034</v>
      </c>
      <c r="H483" s="3">
        <v>213.728316802156</v>
      </c>
      <c r="J483" s="1">
        <v>45069</v>
      </c>
      <c r="K483" s="3">
        <v>501.89516302709001</v>
      </c>
      <c r="M483" s="4">
        <v>45051</v>
      </c>
      <c r="N483" s="3">
        <v>12235.413</v>
      </c>
    </row>
    <row r="484" spans="1:14" x14ac:dyDescent="0.3">
      <c r="A484" s="1">
        <v>45050</v>
      </c>
      <c r="B484" s="2">
        <v>33127.739800000003</v>
      </c>
      <c r="D484" s="1">
        <v>45036</v>
      </c>
      <c r="E484" s="3">
        <v>2598.4725336322999</v>
      </c>
      <c r="G484" s="5">
        <v>45033</v>
      </c>
      <c r="H484" s="3">
        <v>212.068868064865</v>
      </c>
      <c r="J484" s="5">
        <v>45068</v>
      </c>
      <c r="K484" s="3">
        <v>506.940690609527</v>
      </c>
      <c r="M484" s="1">
        <v>45050</v>
      </c>
      <c r="N484" s="3">
        <v>11966.397999999999</v>
      </c>
    </row>
    <row r="485" spans="1:14" x14ac:dyDescent="0.3">
      <c r="A485" s="1">
        <v>45049</v>
      </c>
      <c r="B485" s="2">
        <v>33414.2402</v>
      </c>
      <c r="D485" s="1">
        <v>45035</v>
      </c>
      <c r="E485" s="3">
        <v>2594.7513249082899</v>
      </c>
      <c r="G485" s="4">
        <v>45030</v>
      </c>
      <c r="H485" s="3">
        <v>213.003438738124</v>
      </c>
      <c r="J485" s="4">
        <v>45065</v>
      </c>
      <c r="K485" s="3">
        <v>506.45422630299799</v>
      </c>
      <c r="M485" s="1">
        <v>45049</v>
      </c>
      <c r="N485" s="3">
        <v>12025.328</v>
      </c>
    </row>
    <row r="486" spans="1:14" x14ac:dyDescent="0.3">
      <c r="A486" s="1">
        <v>45048</v>
      </c>
      <c r="B486" s="2">
        <v>33684.527399999999</v>
      </c>
      <c r="D486" s="1">
        <v>45034</v>
      </c>
      <c r="E486" s="3">
        <v>2630.6717283022799</v>
      </c>
      <c r="G486" s="1">
        <v>45029</v>
      </c>
      <c r="H486" s="3">
        <v>212.40924864212801</v>
      </c>
      <c r="J486" s="1">
        <v>45064</v>
      </c>
      <c r="K486" s="3">
        <v>501.60996780064397</v>
      </c>
      <c r="M486" s="1">
        <v>45048</v>
      </c>
      <c r="N486" s="3">
        <v>12080.505999999999</v>
      </c>
    </row>
    <row r="487" spans="1:14" x14ac:dyDescent="0.3">
      <c r="A487" s="5">
        <v>45047</v>
      </c>
      <c r="B487" s="2">
        <v>34051.698700000001</v>
      </c>
      <c r="D487" s="5">
        <v>45033</v>
      </c>
      <c r="E487" s="3">
        <v>2647.71569077103</v>
      </c>
      <c r="G487" s="1">
        <v>45028</v>
      </c>
      <c r="H487" s="3">
        <v>210.95778245191701</v>
      </c>
      <c r="J487" s="1">
        <v>45063</v>
      </c>
      <c r="K487" s="3">
        <v>502.91028517542901</v>
      </c>
      <c r="M487" s="5">
        <v>45047</v>
      </c>
      <c r="N487" s="3">
        <v>12212.598</v>
      </c>
    </row>
    <row r="488" spans="1:14" x14ac:dyDescent="0.3">
      <c r="A488" s="4">
        <v>45044</v>
      </c>
      <c r="B488" s="2">
        <v>34098.1636</v>
      </c>
      <c r="D488" s="4">
        <v>45030</v>
      </c>
      <c r="E488" s="3">
        <v>2604.13449532401</v>
      </c>
      <c r="G488" s="1">
        <v>45027</v>
      </c>
      <c r="H488" s="3">
        <v>208.92906846240399</v>
      </c>
      <c r="J488" s="1">
        <v>45062</v>
      </c>
      <c r="K488" s="3">
        <v>504.70822065100498</v>
      </c>
      <c r="M488" s="4">
        <v>45044</v>
      </c>
      <c r="N488" s="3">
        <v>12226.584000000001</v>
      </c>
    </row>
    <row r="489" spans="1:14" x14ac:dyDescent="0.3">
      <c r="A489" s="1">
        <v>45043</v>
      </c>
      <c r="B489" s="2">
        <v>33826.162799999998</v>
      </c>
      <c r="D489" s="1">
        <v>45029</v>
      </c>
      <c r="E489" s="3">
        <v>2591.7525510528999</v>
      </c>
      <c r="G489" s="5">
        <v>45026</v>
      </c>
      <c r="H489" s="3">
        <v>206.83877245509601</v>
      </c>
      <c r="J489" s="5">
        <v>45061</v>
      </c>
      <c r="K489" s="3">
        <v>507.36581176138299</v>
      </c>
      <c r="M489" s="1">
        <v>45043</v>
      </c>
      <c r="N489" s="3">
        <v>12142.237999999999</v>
      </c>
    </row>
    <row r="490" spans="1:14" x14ac:dyDescent="0.3">
      <c r="A490" s="1">
        <v>45042</v>
      </c>
      <c r="B490" s="2">
        <v>33301.867700000003</v>
      </c>
      <c r="D490" s="1">
        <v>45028</v>
      </c>
      <c r="E490" s="3">
        <v>2587.3092308084201</v>
      </c>
      <c r="G490" s="4">
        <v>45023</v>
      </c>
      <c r="H490" s="3">
        <v>208.26693408006301</v>
      </c>
      <c r="J490" s="4">
        <v>45058</v>
      </c>
      <c r="K490" s="3">
        <v>504.962954123862</v>
      </c>
      <c r="M490" s="1">
        <v>45042</v>
      </c>
      <c r="N490" s="3">
        <v>11854.351000000001</v>
      </c>
    </row>
    <row r="491" spans="1:14" x14ac:dyDescent="0.3">
      <c r="A491" s="1">
        <v>45041</v>
      </c>
      <c r="B491" s="2">
        <v>33530.830800000003</v>
      </c>
      <c r="D491" s="5">
        <v>45027</v>
      </c>
      <c r="E491" s="3">
        <v>2609.7841873264201</v>
      </c>
      <c r="G491" s="1">
        <v>45022</v>
      </c>
      <c r="H491" s="3">
        <v>208.50508500304599</v>
      </c>
      <c r="J491" s="1">
        <v>45057</v>
      </c>
      <c r="K491" s="3">
        <v>505.99727148704198</v>
      </c>
      <c r="M491" s="1">
        <v>45041</v>
      </c>
      <c r="N491" s="3">
        <v>11799.156999999999</v>
      </c>
    </row>
    <row r="492" spans="1:14" x14ac:dyDescent="0.3">
      <c r="A492" s="5">
        <v>45040</v>
      </c>
      <c r="B492" s="2">
        <v>33875.395799999998</v>
      </c>
      <c r="D492" s="4">
        <v>45022</v>
      </c>
      <c r="E492" s="3">
        <v>2590.0277714081799</v>
      </c>
      <c r="G492" s="1">
        <v>45021</v>
      </c>
      <c r="H492" s="3">
        <v>211.813723250316</v>
      </c>
      <c r="J492" s="1">
        <v>45056</v>
      </c>
      <c r="K492" s="3">
        <v>509.07493823771603</v>
      </c>
      <c r="M492" s="5">
        <v>45040</v>
      </c>
      <c r="N492" s="3">
        <v>12037.204</v>
      </c>
    </row>
    <row r="493" spans="1:14" x14ac:dyDescent="0.3">
      <c r="A493" s="4">
        <v>45037</v>
      </c>
      <c r="B493" s="2">
        <v>33808.960899999998</v>
      </c>
      <c r="D493" s="1">
        <v>45020</v>
      </c>
      <c r="E493" s="3">
        <v>2582.9806479558802</v>
      </c>
      <c r="G493" s="1">
        <v>45020</v>
      </c>
      <c r="H493" s="3">
        <v>214.80309818512501</v>
      </c>
      <c r="J493" s="1">
        <v>45055</v>
      </c>
      <c r="K493" s="3">
        <v>510.08866627941501</v>
      </c>
      <c r="M493" s="4">
        <v>45037</v>
      </c>
      <c r="N493" s="3">
        <v>12072.456</v>
      </c>
    </row>
    <row r="494" spans="1:14" x14ac:dyDescent="0.3">
      <c r="A494" s="1">
        <v>45036</v>
      </c>
      <c r="B494" s="2">
        <v>33786.618300000002</v>
      </c>
      <c r="D494" s="5">
        <v>45019</v>
      </c>
      <c r="E494" s="3">
        <v>2599.9617824657898</v>
      </c>
      <c r="G494" s="5">
        <v>45019</v>
      </c>
      <c r="H494" s="3">
        <v>212.88535609092699</v>
      </c>
      <c r="J494" s="5">
        <v>45054</v>
      </c>
      <c r="K494" s="3">
        <v>513.82103085523102</v>
      </c>
      <c r="M494" s="1">
        <v>45036</v>
      </c>
      <c r="N494" s="3">
        <v>12059.558000000001</v>
      </c>
    </row>
    <row r="495" spans="1:14" x14ac:dyDescent="0.3">
      <c r="A495" s="1">
        <v>45035</v>
      </c>
      <c r="B495" s="2">
        <v>33897.013500000001</v>
      </c>
      <c r="D495" s="4">
        <v>45016</v>
      </c>
      <c r="E495" s="3">
        <v>2598.9056627810701</v>
      </c>
      <c r="G495" s="4">
        <v>45016</v>
      </c>
      <c r="H495" s="3">
        <v>211.171624369292</v>
      </c>
      <c r="J495" s="4">
        <v>45051</v>
      </c>
      <c r="K495" s="3">
        <v>512.630964316009</v>
      </c>
      <c r="M495" s="1">
        <v>45035</v>
      </c>
      <c r="N495" s="3">
        <v>12157.226000000001</v>
      </c>
    </row>
    <row r="496" spans="1:14" x14ac:dyDescent="0.3">
      <c r="A496" s="1">
        <v>45034</v>
      </c>
      <c r="B496" s="2">
        <v>33976.6299</v>
      </c>
      <c r="J496" s="1">
        <v>45050</v>
      </c>
      <c r="K496" s="3">
        <v>506.88189565944901</v>
      </c>
      <c r="M496" s="1">
        <v>45034</v>
      </c>
      <c r="N496" s="3">
        <v>12153.412</v>
      </c>
    </row>
    <row r="497" spans="1:14" x14ac:dyDescent="0.3">
      <c r="A497" s="5">
        <v>45033</v>
      </c>
      <c r="B497" s="2">
        <v>33987.175199999998</v>
      </c>
      <c r="J497" s="1">
        <v>45049</v>
      </c>
      <c r="K497" s="3">
        <v>511.49031230646699</v>
      </c>
      <c r="M497" s="5">
        <v>45033</v>
      </c>
      <c r="N497" s="3">
        <v>12157.724</v>
      </c>
    </row>
    <row r="498" spans="1:14" x14ac:dyDescent="0.3">
      <c r="A498" s="4">
        <v>45030</v>
      </c>
      <c r="B498" s="2">
        <v>33886.4683</v>
      </c>
      <c r="J498" s="1">
        <v>45048</v>
      </c>
      <c r="K498" s="3">
        <v>507.143878482574</v>
      </c>
      <c r="M498" s="4">
        <v>45030</v>
      </c>
      <c r="N498" s="3">
        <v>12123.465</v>
      </c>
    </row>
    <row r="499" spans="1:14" x14ac:dyDescent="0.3">
      <c r="A499" s="1">
        <v>45029</v>
      </c>
      <c r="B499" s="2">
        <v>34029.685599999997</v>
      </c>
      <c r="J499" s="5">
        <v>45047</v>
      </c>
      <c r="K499" s="3">
        <v>512.41274858422105</v>
      </c>
      <c r="M499" s="1">
        <v>45029</v>
      </c>
      <c r="N499" s="3">
        <v>12166.272000000001</v>
      </c>
    </row>
    <row r="500" spans="1:14" x14ac:dyDescent="0.3">
      <c r="A500" s="1">
        <v>45028</v>
      </c>
      <c r="B500" s="2">
        <v>33646.498699999996</v>
      </c>
      <c r="J500" s="4">
        <v>45044</v>
      </c>
      <c r="K500" s="3">
        <v>514.23785594639799</v>
      </c>
      <c r="M500" s="1">
        <v>45028</v>
      </c>
      <c r="N500" s="3">
        <v>11929.337</v>
      </c>
    </row>
    <row r="501" spans="1:14" x14ac:dyDescent="0.3">
      <c r="A501" s="1">
        <v>45027</v>
      </c>
      <c r="B501" s="2">
        <v>33684.790999999997</v>
      </c>
      <c r="J501" s="1">
        <v>45043</v>
      </c>
      <c r="K501" s="3">
        <v>511.688684030611</v>
      </c>
      <c r="M501" s="1">
        <v>45027</v>
      </c>
      <c r="N501" s="3">
        <v>12031.877</v>
      </c>
    </row>
    <row r="502" spans="1:14" x14ac:dyDescent="0.3">
      <c r="A502" s="5">
        <v>45026</v>
      </c>
      <c r="B502" s="2">
        <v>33586.522700000001</v>
      </c>
      <c r="J502" s="1">
        <v>45042</v>
      </c>
      <c r="K502" s="3">
        <v>511.38220357695099</v>
      </c>
      <c r="M502" s="5">
        <v>45026</v>
      </c>
      <c r="N502" s="3">
        <v>12084.355</v>
      </c>
    </row>
    <row r="503" spans="1:14" x14ac:dyDescent="0.3">
      <c r="A503" s="4">
        <v>45022</v>
      </c>
      <c r="B503" s="2">
        <v>33485.2886</v>
      </c>
      <c r="J503" s="1">
        <v>45041</v>
      </c>
      <c r="K503" s="3">
        <v>512.48066183166895</v>
      </c>
      <c r="M503" s="4">
        <v>45022</v>
      </c>
      <c r="N503" s="3">
        <v>12087.957</v>
      </c>
    </row>
    <row r="504" spans="1:14" x14ac:dyDescent="0.3">
      <c r="A504" s="1">
        <v>45021</v>
      </c>
      <c r="B504" s="2">
        <v>33482.718200000003</v>
      </c>
      <c r="J504" s="5">
        <v>45040</v>
      </c>
      <c r="K504" s="3">
        <v>517.78695402552705</v>
      </c>
      <c r="M504" s="1">
        <v>45021</v>
      </c>
      <c r="N504" s="3">
        <v>11996.861999999999</v>
      </c>
    </row>
    <row r="505" spans="1:14" x14ac:dyDescent="0.3">
      <c r="A505" s="1">
        <v>45020</v>
      </c>
      <c r="B505" s="2">
        <v>33402.376799999998</v>
      </c>
      <c r="J505" s="4">
        <v>45037</v>
      </c>
      <c r="K505" s="3">
        <v>515.28835272531501</v>
      </c>
      <c r="M505" s="1">
        <v>45020</v>
      </c>
      <c r="N505" s="3">
        <v>12126.326999999999</v>
      </c>
    </row>
    <row r="506" spans="1:14" x14ac:dyDescent="0.3">
      <c r="A506" s="5">
        <v>45019</v>
      </c>
      <c r="B506" s="2">
        <v>33601.154199999997</v>
      </c>
      <c r="J506" s="1">
        <v>45036</v>
      </c>
      <c r="K506" s="3">
        <v>512.62845047870906</v>
      </c>
      <c r="M506" s="5">
        <v>45019</v>
      </c>
      <c r="N506" s="3">
        <v>12189.453</v>
      </c>
    </row>
    <row r="507" spans="1:14" x14ac:dyDescent="0.3">
      <c r="A507" s="4">
        <v>45016</v>
      </c>
      <c r="B507" s="2">
        <v>33274.153599999998</v>
      </c>
      <c r="J507" s="1">
        <v>45035</v>
      </c>
      <c r="K507" s="3">
        <v>512.78877435891695</v>
      </c>
      <c r="M507" s="4">
        <v>45016</v>
      </c>
      <c r="N507" s="3">
        <v>12221.906999999999</v>
      </c>
    </row>
    <row r="508" spans="1:14" x14ac:dyDescent="0.3">
      <c r="J508" s="1">
        <v>45034</v>
      </c>
      <c r="K508" s="3">
        <v>514.12522353508905</v>
      </c>
    </row>
    <row r="509" spans="1:14" x14ac:dyDescent="0.3">
      <c r="J509" s="5">
        <v>45033</v>
      </c>
      <c r="K509" s="3">
        <v>510.06828735318197</v>
      </c>
    </row>
    <row r="510" spans="1:14" x14ac:dyDescent="0.3">
      <c r="J510" s="4">
        <v>45030</v>
      </c>
      <c r="K510" s="3">
        <v>513.60151360151394</v>
      </c>
    </row>
    <row r="511" spans="1:14" x14ac:dyDescent="0.3">
      <c r="J511" s="1">
        <v>45029</v>
      </c>
      <c r="K511" s="3">
        <v>512.67297646526094</v>
      </c>
    </row>
    <row r="512" spans="1:14" x14ac:dyDescent="0.3">
      <c r="J512" s="1">
        <v>45028</v>
      </c>
      <c r="K512" s="3">
        <v>508.10989010989101</v>
      </c>
    </row>
    <row r="513" spans="10:11" x14ac:dyDescent="0.3">
      <c r="J513" s="5">
        <v>45027</v>
      </c>
      <c r="K513" s="3">
        <v>503.813046182047</v>
      </c>
    </row>
    <row r="514" spans="10:11" x14ac:dyDescent="0.3">
      <c r="J514" s="4">
        <v>45022</v>
      </c>
      <c r="K514" s="3">
        <v>501.16298116297997</v>
      </c>
    </row>
    <row r="515" spans="10:11" x14ac:dyDescent="0.3">
      <c r="J515" s="1">
        <v>45021</v>
      </c>
      <c r="K515" s="3">
        <v>497.819402952529</v>
      </c>
    </row>
    <row r="516" spans="10:11" x14ac:dyDescent="0.3">
      <c r="J516" s="1">
        <v>45020</v>
      </c>
      <c r="K516" s="3">
        <v>500.87615542997497</v>
      </c>
    </row>
    <row r="517" spans="10:11" x14ac:dyDescent="0.3">
      <c r="J517" s="5">
        <v>45019</v>
      </c>
      <c r="K517" s="3">
        <v>498.68714931633798</v>
      </c>
    </row>
    <row r="518" spans="10:11" x14ac:dyDescent="0.3">
      <c r="J518" s="4">
        <v>45016</v>
      </c>
      <c r="K518" s="3">
        <v>496.25510790275098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834-2B07-4B71-8466-EBAA86A3C127}">
  <dimension ref="A1:AK133"/>
  <sheetViews>
    <sheetView topLeftCell="Q115" workbookViewId="0">
      <selection activeCell="AG133" sqref="AG133"/>
    </sheetView>
  </sheetViews>
  <sheetFormatPr defaultRowHeight="14.4" outlineLevelRow="1" x14ac:dyDescent="0.3"/>
  <cols>
    <col min="1" max="1" width="6.6640625" customWidth="1"/>
    <col min="2" max="3" width="12.6640625" customWidth="1"/>
    <col min="4" max="5" width="6.6640625" customWidth="1"/>
    <col min="6" max="7" width="12.6640625" customWidth="1"/>
    <col min="8" max="9" width="6.6640625" customWidth="1"/>
    <col min="10" max="11" width="12.6640625" customWidth="1"/>
    <col min="12" max="13" width="6.6640625" customWidth="1"/>
    <col min="14" max="15" width="12.6640625" customWidth="1"/>
    <col min="16" max="17" width="6.6640625" customWidth="1"/>
    <col min="18" max="19" width="12.6640625" customWidth="1"/>
    <col min="23" max="27" width="10.88671875" bestFit="1" customWidth="1"/>
    <col min="29" max="29" width="10.5546875" customWidth="1"/>
    <col min="30" max="30" width="12" customWidth="1"/>
    <col min="31" max="31" width="10.44140625" bestFit="1" customWidth="1"/>
    <col min="32" max="32" width="16.33203125" bestFit="1" customWidth="1"/>
    <col min="33" max="34" width="12.6640625" bestFit="1" customWidth="1"/>
    <col min="35" max="35" width="12" bestFit="1" customWidth="1"/>
    <col min="36" max="36" width="12.21875" bestFit="1" customWidth="1"/>
    <col min="37" max="37" width="30.21875" bestFit="1" customWidth="1"/>
    <col min="38" max="42" width="12" bestFit="1" customWidth="1"/>
    <col min="43" max="43" width="9.109375" bestFit="1" customWidth="1"/>
    <col min="44" max="44" width="9.77734375" bestFit="1" customWidth="1"/>
    <col min="46" max="46" width="16.33203125" bestFit="1" customWidth="1"/>
    <col min="47" max="47" width="17.33203125" bestFit="1" customWidth="1"/>
    <col min="48" max="48" width="10" bestFit="1" customWidth="1"/>
    <col min="49" max="49" width="18.77734375" bestFit="1" customWidth="1"/>
    <col min="50" max="50" width="11.33203125" bestFit="1" customWidth="1"/>
  </cols>
  <sheetData>
    <row r="1" spans="1:27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17" t="s">
        <v>4</v>
      </c>
      <c r="W1" s="117"/>
      <c r="X1" s="117"/>
      <c r="Y1" s="117"/>
      <c r="Z1" s="117"/>
      <c r="AA1" s="117"/>
    </row>
    <row r="2" spans="1:27" x14ac:dyDescent="0.3">
      <c r="A2" s="14"/>
      <c r="B2" s="14" t="s">
        <v>10</v>
      </c>
      <c r="C2" s="14" t="s">
        <v>5</v>
      </c>
      <c r="D2" s="14"/>
      <c r="E2" s="14"/>
      <c r="F2" s="14" t="s">
        <v>10</v>
      </c>
      <c r="G2" s="14" t="s">
        <v>6</v>
      </c>
      <c r="H2" s="14"/>
      <c r="I2" s="14"/>
      <c r="J2" s="14" t="s">
        <v>10</v>
      </c>
      <c r="K2" s="14" t="s">
        <v>7</v>
      </c>
      <c r="L2" s="14"/>
      <c r="M2" s="14"/>
      <c r="N2" s="14" t="s">
        <v>10</v>
      </c>
      <c r="O2" s="14" t="s">
        <v>8</v>
      </c>
      <c r="P2" s="14"/>
      <c r="Q2" s="14"/>
      <c r="R2" s="14" t="s">
        <v>10</v>
      </c>
      <c r="S2" s="14" t="s">
        <v>9</v>
      </c>
      <c r="T2" s="14"/>
      <c r="U2" s="14"/>
      <c r="V2" s="14" t="s">
        <v>11</v>
      </c>
      <c r="W2" s="14" t="s">
        <v>5</v>
      </c>
      <c r="X2" s="14" t="s">
        <v>6</v>
      </c>
      <c r="Y2" s="14" t="s">
        <v>7</v>
      </c>
      <c r="Z2" s="14" t="s">
        <v>8</v>
      </c>
      <c r="AA2" s="14" t="s">
        <v>9</v>
      </c>
    </row>
    <row r="3" spans="1:27" x14ac:dyDescent="0.3">
      <c r="A3" s="14">
        <f t="shared" ref="A3:A34" si="0">WEEKDAY(B3,2)</f>
        <v>5</v>
      </c>
      <c r="B3" s="50">
        <v>45807</v>
      </c>
      <c r="C3" s="51">
        <v>42215.73</v>
      </c>
      <c r="D3" s="14"/>
      <c r="E3" s="14">
        <f t="shared" ref="E3:E34" si="1">WEEKDAY(F3,2)</f>
        <v>5</v>
      </c>
      <c r="F3" s="50">
        <v>45807</v>
      </c>
      <c r="G3" s="51">
        <v>2969.99</v>
      </c>
      <c r="H3" s="14"/>
      <c r="I3" s="14">
        <f t="shared" ref="I3:I34" si="2">WEEKDAY(J3,2)</f>
        <v>5</v>
      </c>
      <c r="J3" s="50">
        <v>45807</v>
      </c>
      <c r="K3" s="54">
        <v>263.3</v>
      </c>
      <c r="L3" s="14"/>
      <c r="M3" s="14">
        <f t="shared" ref="M3:M34" si="3">WEEKDAY(N3,2)</f>
        <v>5</v>
      </c>
      <c r="N3" s="50">
        <v>45807</v>
      </c>
      <c r="O3" s="54">
        <v>626.24</v>
      </c>
      <c r="P3" s="14"/>
      <c r="Q3" s="14">
        <f t="shared" ref="Q3:Q34" si="4">WEEKDAY(R3,2)</f>
        <v>5</v>
      </c>
      <c r="R3" s="50">
        <v>45807</v>
      </c>
      <c r="S3" s="51">
        <v>19175.87</v>
      </c>
      <c r="T3" s="14"/>
      <c r="U3" s="14"/>
      <c r="V3" s="14">
        <v>113</v>
      </c>
      <c r="W3" s="19">
        <f t="shared" ref="W3:W34" si="5">(C3-C4)/C4</f>
        <v>1.4726317072273837E-2</v>
      </c>
      <c r="X3" s="19">
        <f t="shared" ref="X3:X34" si="6">(G3-G4)/G4</f>
        <v>-1.4356591719903831E-2</v>
      </c>
      <c r="Y3" s="19">
        <f t="shared" ref="Y3:Y34" si="7">(K3-K4)/K4</f>
        <v>9.9731492136556302E-3</v>
      </c>
      <c r="Z3" s="19">
        <f t="shared" ref="Z3:Z34" si="8">(O3-O4)/O4</f>
        <v>1.0896059661980016E-2</v>
      </c>
      <c r="AA3" s="19">
        <f t="shared" ref="AA3:AA34" si="9">(S3-S4)/S4</f>
        <v>2.3411169539114943E-2</v>
      </c>
    </row>
    <row r="4" spans="1:27" x14ac:dyDescent="0.3">
      <c r="A4" s="14">
        <f t="shared" si="0"/>
        <v>5</v>
      </c>
      <c r="B4" s="52">
        <v>45800</v>
      </c>
      <c r="C4" s="53">
        <v>41603.07</v>
      </c>
      <c r="D4" s="14"/>
      <c r="E4" s="14">
        <f t="shared" si="1"/>
        <v>5</v>
      </c>
      <c r="F4" s="52">
        <v>45800</v>
      </c>
      <c r="G4" s="53">
        <v>3013.25</v>
      </c>
      <c r="H4" s="14"/>
      <c r="I4" s="14">
        <f t="shared" si="2"/>
        <v>5</v>
      </c>
      <c r="J4" s="52">
        <v>45800</v>
      </c>
      <c r="K4" s="55">
        <v>260.7</v>
      </c>
      <c r="L4" s="14"/>
      <c r="M4" s="14">
        <f t="shared" si="3"/>
        <v>5</v>
      </c>
      <c r="N4" s="52">
        <v>45800</v>
      </c>
      <c r="O4" s="55">
        <v>619.49</v>
      </c>
      <c r="P4" s="14"/>
      <c r="Q4" s="14">
        <f t="shared" si="4"/>
        <v>5</v>
      </c>
      <c r="R4" s="52">
        <v>45800</v>
      </c>
      <c r="S4" s="53">
        <v>18737.21</v>
      </c>
      <c r="T4" s="14"/>
      <c r="U4" s="14"/>
      <c r="V4" s="14">
        <v>112</v>
      </c>
      <c r="W4" s="19">
        <f t="shared" si="5"/>
        <v>-2.4655407581900587E-2</v>
      </c>
      <c r="X4" s="19">
        <f t="shared" si="6"/>
        <v>8.5618558943925966E-3</v>
      </c>
      <c r="Y4" s="19">
        <f t="shared" si="7"/>
        <v>5.5542698449432912E-3</v>
      </c>
      <c r="Z4" s="19">
        <f t="shared" si="8"/>
        <v>1.0356525426493171E-2</v>
      </c>
      <c r="AA4" s="19">
        <f t="shared" si="9"/>
        <v>-2.466750992915551E-2</v>
      </c>
    </row>
    <row r="5" spans="1:27" outlineLevel="1" x14ac:dyDescent="0.3">
      <c r="A5" s="14">
        <f t="shared" si="0"/>
        <v>5</v>
      </c>
      <c r="B5" s="52">
        <v>45793</v>
      </c>
      <c r="C5" s="53">
        <v>42654.74</v>
      </c>
      <c r="D5" s="14"/>
      <c r="E5" s="14">
        <f t="shared" si="1"/>
        <v>5</v>
      </c>
      <c r="F5" s="52">
        <v>45793</v>
      </c>
      <c r="G5" s="53">
        <v>2987.67</v>
      </c>
      <c r="H5" s="14"/>
      <c r="I5" s="14">
        <f t="shared" si="2"/>
        <v>5</v>
      </c>
      <c r="J5" s="52">
        <v>45793</v>
      </c>
      <c r="K5" s="55">
        <v>259.26</v>
      </c>
      <c r="L5" s="14"/>
      <c r="M5" s="14">
        <f t="shared" si="3"/>
        <v>5</v>
      </c>
      <c r="N5" s="52">
        <v>45793</v>
      </c>
      <c r="O5" s="55">
        <v>613.14</v>
      </c>
      <c r="P5" s="14"/>
      <c r="Q5" s="14">
        <f t="shared" si="4"/>
        <v>5</v>
      </c>
      <c r="R5" s="52">
        <v>45793</v>
      </c>
      <c r="S5" s="53">
        <v>19211.099999999999</v>
      </c>
      <c r="T5" s="14"/>
      <c r="U5" s="14"/>
      <c r="V5" s="14">
        <v>111</v>
      </c>
      <c r="W5" s="19">
        <f t="shared" si="5"/>
        <v>3.4069845413434108E-2</v>
      </c>
      <c r="X5" s="19">
        <f t="shared" si="6"/>
        <v>1.6273049802199496E-2</v>
      </c>
      <c r="Y5" s="19">
        <f t="shared" si="7"/>
        <v>4.7279491551696258E-3</v>
      </c>
      <c r="Z5" s="19">
        <f t="shared" si="8"/>
        <v>1.3387544625148788E-2</v>
      </c>
      <c r="AA5" s="19">
        <f t="shared" si="9"/>
        <v>7.1514625532380111E-2</v>
      </c>
    </row>
    <row r="6" spans="1:27" x14ac:dyDescent="0.3">
      <c r="A6" s="14">
        <f t="shared" si="0"/>
        <v>5</v>
      </c>
      <c r="B6" s="52">
        <v>45786</v>
      </c>
      <c r="C6" s="53">
        <v>41249.379999999997</v>
      </c>
      <c r="D6" s="14"/>
      <c r="E6" s="14">
        <f t="shared" si="1"/>
        <v>5</v>
      </c>
      <c r="F6" s="52">
        <v>45786</v>
      </c>
      <c r="G6" s="53">
        <v>2939.83</v>
      </c>
      <c r="H6" s="14"/>
      <c r="I6" s="14">
        <f t="shared" si="2"/>
        <v>5</v>
      </c>
      <c r="J6" s="52">
        <v>45786</v>
      </c>
      <c r="K6" s="55">
        <v>258.04000000000002</v>
      </c>
      <c r="L6" s="14"/>
      <c r="M6" s="14">
        <f t="shared" si="3"/>
        <v>5</v>
      </c>
      <c r="N6" s="52">
        <v>45786</v>
      </c>
      <c r="O6" s="55">
        <v>605.04</v>
      </c>
      <c r="P6" s="14"/>
      <c r="Q6" s="14">
        <f t="shared" si="4"/>
        <v>5</v>
      </c>
      <c r="R6" s="52">
        <v>45786</v>
      </c>
      <c r="S6" s="53">
        <v>17928.919999999998</v>
      </c>
      <c r="T6" s="14"/>
      <c r="U6" s="14"/>
      <c r="V6" s="14">
        <v>110</v>
      </c>
      <c r="W6" s="19">
        <f t="shared" si="5"/>
        <v>-1.6470046660695718E-3</v>
      </c>
      <c r="X6" s="19">
        <f t="shared" si="6"/>
        <v>1.2397419959157389E-2</v>
      </c>
      <c r="Y6" s="19">
        <f t="shared" si="7"/>
        <v>1.5385826151969564E-2</v>
      </c>
      <c r="Z6" s="19">
        <f t="shared" si="8"/>
        <v>-1.4193761346757115E-3</v>
      </c>
      <c r="AA6" s="19">
        <f t="shared" si="9"/>
        <v>-2.7150257568670411E-3</v>
      </c>
    </row>
    <row r="7" spans="1:27" x14ac:dyDescent="0.3">
      <c r="A7" s="14">
        <f t="shared" si="0"/>
        <v>5</v>
      </c>
      <c r="B7" s="52">
        <v>45779</v>
      </c>
      <c r="C7" s="53">
        <v>41317.43</v>
      </c>
      <c r="D7" s="14"/>
      <c r="E7" s="14">
        <f t="shared" si="1"/>
        <v>5</v>
      </c>
      <c r="F7" s="52">
        <v>45779</v>
      </c>
      <c r="G7" s="53">
        <v>2903.83</v>
      </c>
      <c r="H7" s="14"/>
      <c r="I7" s="14">
        <f t="shared" si="2"/>
        <v>5</v>
      </c>
      <c r="J7" s="52">
        <v>45779</v>
      </c>
      <c r="K7" s="55">
        <v>254.13</v>
      </c>
      <c r="L7" s="14"/>
      <c r="M7" s="14">
        <f t="shared" si="3"/>
        <v>5</v>
      </c>
      <c r="N7" s="52">
        <v>45779</v>
      </c>
      <c r="O7" s="55">
        <v>605.9</v>
      </c>
      <c r="P7" s="14"/>
      <c r="Q7" s="14">
        <f t="shared" si="4"/>
        <v>5</v>
      </c>
      <c r="R7" s="52">
        <v>45779</v>
      </c>
      <c r="S7" s="53">
        <v>17977.73</v>
      </c>
      <c r="T7" s="14"/>
      <c r="U7" s="14"/>
      <c r="V7" s="14">
        <v>109</v>
      </c>
      <c r="W7" s="19">
        <f t="shared" si="5"/>
        <v>3.0013087863188209E-2</v>
      </c>
      <c r="X7" s="19">
        <f t="shared" si="6"/>
        <v>2.4734096988432302E-2</v>
      </c>
      <c r="Y7" s="19">
        <f t="shared" si="7"/>
        <v>2.2532491047358445E-2</v>
      </c>
      <c r="Z7" s="19">
        <f t="shared" si="8"/>
        <v>2.4448802921682541E-2</v>
      </c>
      <c r="AA7" s="19">
        <f t="shared" si="9"/>
        <v>3.4216881609209999E-2</v>
      </c>
    </row>
    <row r="8" spans="1:27" x14ac:dyDescent="0.3">
      <c r="A8" s="14">
        <f t="shared" si="0"/>
        <v>5</v>
      </c>
      <c r="B8" s="52">
        <v>45772</v>
      </c>
      <c r="C8" s="53">
        <v>40113.5</v>
      </c>
      <c r="D8" s="14"/>
      <c r="E8" s="14">
        <f t="shared" si="1"/>
        <v>5</v>
      </c>
      <c r="F8" s="52">
        <v>45772</v>
      </c>
      <c r="G8" s="53">
        <v>2833.74</v>
      </c>
      <c r="H8" s="14"/>
      <c r="I8" s="14">
        <f t="shared" si="2"/>
        <v>5</v>
      </c>
      <c r="J8" s="52">
        <v>45772</v>
      </c>
      <c r="K8" s="55">
        <v>248.53</v>
      </c>
      <c r="L8" s="14"/>
      <c r="M8" s="14">
        <f t="shared" si="3"/>
        <v>5</v>
      </c>
      <c r="N8" s="52">
        <v>45772</v>
      </c>
      <c r="O8" s="55">
        <v>591.44000000000005</v>
      </c>
      <c r="P8" s="14"/>
      <c r="Q8" s="14">
        <f t="shared" si="4"/>
        <v>5</v>
      </c>
      <c r="R8" s="52">
        <v>45772</v>
      </c>
      <c r="S8" s="53">
        <v>17382.939999999999</v>
      </c>
      <c r="T8" s="14"/>
      <c r="U8" s="14"/>
      <c r="V8" s="14">
        <v>108</v>
      </c>
      <c r="W8" s="19">
        <f t="shared" si="5"/>
        <v>2.4813864718489384E-2</v>
      </c>
      <c r="X8" s="19">
        <f t="shared" si="6"/>
        <v>2.8032229627022964E-2</v>
      </c>
      <c r="Y8" s="19">
        <f t="shared" si="7"/>
        <v>1.7356420647591016E-2</v>
      </c>
      <c r="Z8" s="19">
        <f t="shared" si="8"/>
        <v>2.5274763374128977E-2</v>
      </c>
      <c r="AA8" s="19">
        <f t="shared" si="9"/>
        <v>6.7325291883743726E-2</v>
      </c>
    </row>
    <row r="9" spans="1:27" x14ac:dyDescent="0.3">
      <c r="A9" s="14">
        <f t="shared" si="0"/>
        <v>5</v>
      </c>
      <c r="B9" s="52">
        <v>45765</v>
      </c>
      <c r="C9" s="53">
        <v>39142.230000000003</v>
      </c>
      <c r="D9" s="14"/>
      <c r="E9" s="14">
        <f t="shared" si="1"/>
        <v>5</v>
      </c>
      <c r="F9" s="52">
        <v>45765</v>
      </c>
      <c r="G9" s="53">
        <v>2756.47</v>
      </c>
      <c r="H9" s="14"/>
      <c r="I9" s="14">
        <f t="shared" si="2"/>
        <v>5</v>
      </c>
      <c r="J9" s="52">
        <v>45765</v>
      </c>
      <c r="K9" s="55">
        <v>244.29</v>
      </c>
      <c r="L9" s="14"/>
      <c r="M9" s="14">
        <f t="shared" si="3"/>
        <v>5</v>
      </c>
      <c r="N9" s="52">
        <v>45765</v>
      </c>
      <c r="O9" s="55">
        <v>576.86</v>
      </c>
      <c r="P9" s="14"/>
      <c r="Q9" s="14">
        <f t="shared" si="4"/>
        <v>5</v>
      </c>
      <c r="R9" s="52">
        <v>45765</v>
      </c>
      <c r="S9" s="53">
        <v>16286.45</v>
      </c>
      <c r="T9" s="14"/>
      <c r="U9" s="14"/>
      <c r="V9" s="14">
        <v>107</v>
      </c>
      <c r="W9" s="19">
        <f t="shared" si="5"/>
        <v>-2.6620439159658622E-2</v>
      </c>
      <c r="X9" s="19">
        <f t="shared" si="6"/>
        <v>2.1864770583023486E-2</v>
      </c>
      <c r="Y9" s="19">
        <f t="shared" si="7"/>
        <v>4.3840533264965988E-2</v>
      </c>
      <c r="Z9" s="19">
        <f t="shared" si="8"/>
        <v>4.3127610712283729E-2</v>
      </c>
      <c r="AA9" s="19">
        <f t="shared" si="9"/>
        <v>-2.6189784303947538E-2</v>
      </c>
    </row>
    <row r="10" spans="1:27" x14ac:dyDescent="0.3">
      <c r="A10" s="14">
        <f t="shared" si="0"/>
        <v>5</v>
      </c>
      <c r="B10" s="52">
        <v>45758</v>
      </c>
      <c r="C10" s="53">
        <v>40212.71</v>
      </c>
      <c r="D10" s="14"/>
      <c r="E10" s="14">
        <f t="shared" si="1"/>
        <v>5</v>
      </c>
      <c r="F10" s="52">
        <v>45758</v>
      </c>
      <c r="G10" s="53">
        <v>2697.49</v>
      </c>
      <c r="H10" s="14"/>
      <c r="I10" s="14">
        <f t="shared" si="2"/>
        <v>5</v>
      </c>
      <c r="J10" s="52">
        <v>45758</v>
      </c>
      <c r="K10" s="55">
        <v>234.03</v>
      </c>
      <c r="L10" s="14"/>
      <c r="M10" s="14">
        <f t="shared" si="3"/>
        <v>5</v>
      </c>
      <c r="N10" s="52">
        <v>45758</v>
      </c>
      <c r="O10" s="55">
        <v>553.01</v>
      </c>
      <c r="P10" s="14"/>
      <c r="Q10" s="14">
        <f t="shared" si="4"/>
        <v>5</v>
      </c>
      <c r="R10" s="52">
        <v>45758</v>
      </c>
      <c r="S10" s="53">
        <v>16724.46</v>
      </c>
      <c r="T10" s="14"/>
      <c r="U10" s="14"/>
      <c r="V10" s="14">
        <v>106</v>
      </c>
      <c r="W10" s="19">
        <f t="shared" si="5"/>
        <v>4.9533001034063509E-2</v>
      </c>
      <c r="X10" s="19">
        <f t="shared" si="6"/>
        <v>-8.223041800774368E-2</v>
      </c>
      <c r="Y10" s="19">
        <f t="shared" si="7"/>
        <v>1.7698730213950221E-2</v>
      </c>
      <c r="Z10" s="19">
        <f t="shared" si="8"/>
        <v>1.7067294429220333E-2</v>
      </c>
      <c r="AA10" s="19">
        <f t="shared" si="9"/>
        <v>7.2920535880968251E-2</v>
      </c>
    </row>
    <row r="11" spans="1:27" x14ac:dyDescent="0.3">
      <c r="A11" s="14">
        <f t="shared" si="0"/>
        <v>5</v>
      </c>
      <c r="B11" s="52">
        <v>45751</v>
      </c>
      <c r="C11" s="53">
        <v>38314.86</v>
      </c>
      <c r="D11" s="14"/>
      <c r="E11" s="14">
        <f t="shared" si="1"/>
        <v>5</v>
      </c>
      <c r="F11" s="52">
        <v>45751</v>
      </c>
      <c r="G11" s="53">
        <v>2939.18</v>
      </c>
      <c r="H11" s="14"/>
      <c r="I11" s="14">
        <f t="shared" si="2"/>
        <v>5</v>
      </c>
      <c r="J11" s="52">
        <v>45751</v>
      </c>
      <c r="K11" s="55">
        <v>229.96</v>
      </c>
      <c r="L11" s="14"/>
      <c r="M11" s="14">
        <f t="shared" si="3"/>
        <v>5</v>
      </c>
      <c r="N11" s="52">
        <v>45751</v>
      </c>
      <c r="O11" s="55">
        <v>543.73</v>
      </c>
      <c r="P11" s="14"/>
      <c r="Q11" s="14">
        <f t="shared" si="4"/>
        <v>5</v>
      </c>
      <c r="R11" s="52">
        <v>45751</v>
      </c>
      <c r="S11" s="53">
        <v>15587.79</v>
      </c>
      <c r="T11" s="14"/>
      <c r="U11" s="14"/>
      <c r="V11" s="14">
        <v>105</v>
      </c>
      <c r="W11" s="19">
        <f t="shared" si="5"/>
        <v>-7.8613028466596777E-2</v>
      </c>
      <c r="X11" s="19">
        <f t="shared" si="6"/>
        <v>-2.4170147212132943E-2</v>
      </c>
      <c r="Y11" s="19">
        <f t="shared" si="7"/>
        <v>-7.1918637501008936E-2</v>
      </c>
      <c r="Z11" s="19">
        <f t="shared" si="8"/>
        <v>-7.3603325779905499E-2</v>
      </c>
      <c r="AA11" s="19">
        <f t="shared" si="9"/>
        <v>-0.10016746531632245</v>
      </c>
    </row>
    <row r="12" spans="1:27" x14ac:dyDescent="0.3">
      <c r="A12" s="14">
        <f t="shared" si="0"/>
        <v>5</v>
      </c>
      <c r="B12" s="15">
        <v>45744</v>
      </c>
      <c r="C12" s="16">
        <v>41583.896000000001</v>
      </c>
      <c r="D12" s="14"/>
      <c r="E12" s="14">
        <f t="shared" si="1"/>
        <v>5</v>
      </c>
      <c r="F12" s="17">
        <v>45744</v>
      </c>
      <c r="G12" s="16">
        <v>3011.98</v>
      </c>
      <c r="H12" s="14"/>
      <c r="I12" s="14">
        <f t="shared" si="2"/>
        <v>5</v>
      </c>
      <c r="J12" s="17">
        <v>45744</v>
      </c>
      <c r="K12" s="18">
        <v>247.78</v>
      </c>
      <c r="L12" s="14"/>
      <c r="M12" s="14">
        <f t="shared" si="3"/>
        <v>5</v>
      </c>
      <c r="N12" s="17">
        <v>45744</v>
      </c>
      <c r="O12" s="18">
        <v>586.92999999999995</v>
      </c>
      <c r="P12" s="14"/>
      <c r="Q12" s="14">
        <f t="shared" si="4"/>
        <v>5</v>
      </c>
      <c r="R12" s="17">
        <v>45744</v>
      </c>
      <c r="S12" s="16">
        <v>17322.990000000002</v>
      </c>
      <c r="T12" s="14"/>
      <c r="U12" s="14"/>
      <c r="V12" s="14">
        <v>104</v>
      </c>
      <c r="W12" s="19">
        <f t="shared" si="5"/>
        <v>-9.5617354975981311E-3</v>
      </c>
      <c r="X12" s="19">
        <f t="shared" si="6"/>
        <v>-1.1681399667933216E-2</v>
      </c>
      <c r="Y12" s="19">
        <f t="shared" si="7"/>
        <v>-1.807085678053421E-2</v>
      </c>
      <c r="Z12" s="19">
        <f t="shared" si="8"/>
        <v>-1.258390673104426E-2</v>
      </c>
      <c r="AA12" s="19">
        <f t="shared" si="9"/>
        <v>-2.5925478167233992E-2</v>
      </c>
    </row>
    <row r="13" spans="1:27" x14ac:dyDescent="0.3">
      <c r="A13" s="14">
        <f t="shared" si="0"/>
        <v>5</v>
      </c>
      <c r="B13" s="20">
        <v>45737</v>
      </c>
      <c r="C13" s="21">
        <v>41985.3488</v>
      </c>
      <c r="D13" s="14"/>
      <c r="E13" s="14">
        <f t="shared" si="1"/>
        <v>5</v>
      </c>
      <c r="F13" s="22">
        <v>45737</v>
      </c>
      <c r="G13" s="21">
        <v>3047.58</v>
      </c>
      <c r="H13" s="14"/>
      <c r="I13" s="14">
        <f t="shared" si="2"/>
        <v>5</v>
      </c>
      <c r="J13" s="22">
        <v>45737</v>
      </c>
      <c r="K13" s="23">
        <v>252.34</v>
      </c>
      <c r="L13" s="14"/>
      <c r="M13" s="14">
        <f t="shared" si="3"/>
        <v>5</v>
      </c>
      <c r="N13" s="22">
        <v>45737</v>
      </c>
      <c r="O13" s="23">
        <v>594.41</v>
      </c>
      <c r="P13" s="14"/>
      <c r="Q13" s="14">
        <f t="shared" si="4"/>
        <v>5</v>
      </c>
      <c r="R13" s="22">
        <v>45737</v>
      </c>
      <c r="S13" s="21">
        <v>17784.05</v>
      </c>
      <c r="T13" s="14"/>
      <c r="U13" s="14"/>
      <c r="V13" s="14">
        <v>103</v>
      </c>
      <c r="W13" s="19">
        <f t="shared" si="5"/>
        <v>1.1983162215195275E-2</v>
      </c>
      <c r="X13" s="19">
        <f t="shared" si="6"/>
        <v>-1.1341296463306247E-2</v>
      </c>
      <c r="Y13" s="19">
        <f t="shared" si="7"/>
        <v>1.2153543780835109E-2</v>
      </c>
      <c r="Z13" s="19">
        <f t="shared" si="8"/>
        <v>-4.0359875557051899E-4</v>
      </c>
      <c r="AA13" s="19">
        <f t="shared" si="9"/>
        <v>1.6874984862642426E-3</v>
      </c>
    </row>
    <row r="14" spans="1:27" x14ac:dyDescent="0.3">
      <c r="A14" s="14">
        <f t="shared" si="0"/>
        <v>5</v>
      </c>
      <c r="B14" s="20">
        <v>45730</v>
      </c>
      <c r="C14" s="21">
        <v>41488.189100000003</v>
      </c>
      <c r="D14" s="14"/>
      <c r="E14" s="14">
        <f t="shared" si="1"/>
        <v>5</v>
      </c>
      <c r="F14" s="22">
        <v>45730</v>
      </c>
      <c r="G14" s="21">
        <v>3082.54</v>
      </c>
      <c r="H14" s="14"/>
      <c r="I14" s="14">
        <f t="shared" si="2"/>
        <v>5</v>
      </c>
      <c r="J14" s="22">
        <v>45730</v>
      </c>
      <c r="K14" s="23">
        <v>249.31</v>
      </c>
      <c r="L14" s="14"/>
      <c r="M14" s="14">
        <f t="shared" si="3"/>
        <v>5</v>
      </c>
      <c r="N14" s="22">
        <v>45730</v>
      </c>
      <c r="O14" s="23">
        <v>594.65</v>
      </c>
      <c r="P14" s="14"/>
      <c r="Q14" s="14">
        <f t="shared" si="4"/>
        <v>5</v>
      </c>
      <c r="R14" s="22">
        <v>45730</v>
      </c>
      <c r="S14" s="21">
        <v>17754.09</v>
      </c>
      <c r="T14" s="14"/>
      <c r="U14" s="14"/>
      <c r="V14" s="14">
        <v>102</v>
      </c>
      <c r="W14" s="19">
        <f t="shared" si="5"/>
        <v>-3.0688652691661461E-2</v>
      </c>
      <c r="X14" s="19">
        <f t="shared" si="6"/>
        <v>-1.15406938525524E-2</v>
      </c>
      <c r="Y14" s="19">
        <f t="shared" si="7"/>
        <v>4.8156025522695352E-4</v>
      </c>
      <c r="Z14" s="19">
        <f t="shared" si="8"/>
        <v>-7.9080398405045275E-3</v>
      </c>
      <c r="AA14" s="19">
        <f t="shared" si="9"/>
        <v>-2.4297903630534308E-2</v>
      </c>
    </row>
    <row r="15" spans="1:27" x14ac:dyDescent="0.3">
      <c r="A15" s="14">
        <f t="shared" si="0"/>
        <v>5</v>
      </c>
      <c r="B15" s="20">
        <v>45723</v>
      </c>
      <c r="C15" s="21">
        <v>42801.716099999998</v>
      </c>
      <c r="D15" s="14"/>
      <c r="E15" s="14">
        <f t="shared" si="1"/>
        <v>5</v>
      </c>
      <c r="F15" s="22">
        <v>45723</v>
      </c>
      <c r="G15" s="21">
        <v>3118.53</v>
      </c>
      <c r="H15" s="14"/>
      <c r="I15" s="14">
        <f t="shared" si="2"/>
        <v>5</v>
      </c>
      <c r="J15" s="22">
        <v>45723</v>
      </c>
      <c r="K15" s="23">
        <v>249.19</v>
      </c>
      <c r="L15" s="14"/>
      <c r="M15" s="14">
        <f t="shared" si="3"/>
        <v>5</v>
      </c>
      <c r="N15" s="22">
        <v>45723</v>
      </c>
      <c r="O15" s="23">
        <v>599.39</v>
      </c>
      <c r="P15" s="14"/>
      <c r="Q15" s="14">
        <f t="shared" si="4"/>
        <v>5</v>
      </c>
      <c r="R15" s="22">
        <v>45723</v>
      </c>
      <c r="S15" s="21">
        <v>18196.22</v>
      </c>
      <c r="T15" s="14"/>
      <c r="U15" s="14"/>
      <c r="V15" s="14">
        <v>101</v>
      </c>
      <c r="W15" s="19">
        <f t="shared" si="5"/>
        <v>-2.3703699401954513E-2</v>
      </c>
      <c r="X15" s="19">
        <f t="shared" si="6"/>
        <v>5.7343866549128673E-2</v>
      </c>
      <c r="Y15" s="19">
        <f t="shared" si="7"/>
        <v>1.0011348897535664E-2</v>
      </c>
      <c r="Z15" s="19">
        <f t="shared" si="8"/>
        <v>3.6863409908663061E-2</v>
      </c>
      <c r="AA15" s="19">
        <f t="shared" si="9"/>
        <v>-3.454397663747754E-2</v>
      </c>
    </row>
    <row r="16" spans="1:27" x14ac:dyDescent="0.3">
      <c r="A16" s="14">
        <f t="shared" si="0"/>
        <v>5</v>
      </c>
      <c r="B16" s="20">
        <v>45716</v>
      </c>
      <c r="C16" s="21">
        <v>43840.907800000001</v>
      </c>
      <c r="D16" s="14"/>
      <c r="E16" s="14">
        <f t="shared" si="1"/>
        <v>5</v>
      </c>
      <c r="F16" s="22">
        <v>45716</v>
      </c>
      <c r="G16" s="21">
        <v>2949.4</v>
      </c>
      <c r="H16" s="14"/>
      <c r="I16" s="14">
        <f t="shared" si="2"/>
        <v>5</v>
      </c>
      <c r="J16" s="22">
        <v>45716</v>
      </c>
      <c r="K16" s="23">
        <v>246.72</v>
      </c>
      <c r="L16" s="14"/>
      <c r="M16" s="14">
        <f t="shared" si="3"/>
        <v>5</v>
      </c>
      <c r="N16" s="22">
        <v>45716</v>
      </c>
      <c r="O16" s="23">
        <v>578.08000000000004</v>
      </c>
      <c r="P16" s="14"/>
      <c r="Q16" s="14">
        <f t="shared" si="4"/>
        <v>5</v>
      </c>
      <c r="R16" s="22">
        <v>45716</v>
      </c>
      <c r="S16" s="21">
        <v>18847.28</v>
      </c>
      <c r="T16" s="14"/>
      <c r="U16" s="14"/>
      <c r="V16" s="14">
        <v>100</v>
      </c>
      <c r="W16" s="19">
        <f t="shared" si="5"/>
        <v>9.5073637454975799E-3</v>
      </c>
      <c r="X16" s="19">
        <f t="shared" si="6"/>
        <v>-2.3962459585480177E-2</v>
      </c>
      <c r="Y16" s="19">
        <f t="shared" si="7"/>
        <v>-5.0127050127050161E-2</v>
      </c>
      <c r="Z16" s="19">
        <f t="shared" si="8"/>
        <v>-1.9509331675903307E-3</v>
      </c>
      <c r="AA16" s="19">
        <f t="shared" si="9"/>
        <v>-3.4661424574152527E-2</v>
      </c>
    </row>
    <row r="17" spans="1:27" x14ac:dyDescent="0.3">
      <c r="A17" s="14">
        <f t="shared" si="0"/>
        <v>5</v>
      </c>
      <c r="B17" s="20">
        <v>45709</v>
      </c>
      <c r="C17" s="21">
        <v>43428.021800000002</v>
      </c>
      <c r="D17" s="14"/>
      <c r="E17" s="14">
        <f t="shared" si="1"/>
        <v>5</v>
      </c>
      <c r="F17" s="22">
        <v>45709</v>
      </c>
      <c r="G17" s="21">
        <v>3021.81</v>
      </c>
      <c r="H17" s="14"/>
      <c r="I17" s="14">
        <f t="shared" si="2"/>
        <v>5</v>
      </c>
      <c r="J17" s="22">
        <v>45709</v>
      </c>
      <c r="K17" s="23">
        <v>259.74</v>
      </c>
      <c r="L17" s="14"/>
      <c r="M17" s="14">
        <f t="shared" si="3"/>
        <v>5</v>
      </c>
      <c r="N17" s="22">
        <v>45709</v>
      </c>
      <c r="O17" s="23">
        <v>579.21</v>
      </c>
      <c r="P17" s="14"/>
      <c r="Q17" s="14">
        <f t="shared" si="4"/>
        <v>5</v>
      </c>
      <c r="R17" s="22">
        <v>45709</v>
      </c>
      <c r="S17" s="21">
        <v>19524.009999999998</v>
      </c>
      <c r="T17" s="14"/>
      <c r="U17" s="14"/>
      <c r="V17" s="14">
        <v>99</v>
      </c>
      <c r="W17" s="19">
        <f t="shared" si="5"/>
        <v>-2.509886953459739E-2</v>
      </c>
      <c r="X17" s="19">
        <f t="shared" si="6"/>
        <v>3.9877078938584248E-2</v>
      </c>
      <c r="Y17" s="19">
        <f t="shared" si="7"/>
        <v>1.0661478599221825E-2</v>
      </c>
      <c r="Z17" s="19">
        <f t="shared" si="8"/>
        <v>-5.5217158732065008E-4</v>
      </c>
      <c r="AA17" s="19">
        <f t="shared" si="9"/>
        <v>-2.5104397763593533E-2</v>
      </c>
    </row>
    <row r="18" spans="1:27" x14ac:dyDescent="0.3">
      <c r="A18" s="14">
        <f t="shared" si="0"/>
        <v>5</v>
      </c>
      <c r="B18" s="20">
        <v>45702</v>
      </c>
      <c r="C18" s="21">
        <v>44546.078000000001</v>
      </c>
      <c r="D18" s="14"/>
      <c r="E18" s="14">
        <f t="shared" si="1"/>
        <v>5</v>
      </c>
      <c r="F18" s="22">
        <v>45702</v>
      </c>
      <c r="G18" s="21">
        <v>2905.93</v>
      </c>
      <c r="H18" s="14"/>
      <c r="I18" s="14">
        <f t="shared" si="2"/>
        <v>5</v>
      </c>
      <c r="J18" s="22">
        <v>45702</v>
      </c>
      <c r="K18" s="23">
        <v>257</v>
      </c>
      <c r="L18" s="14"/>
      <c r="M18" s="14">
        <f t="shared" si="3"/>
        <v>5</v>
      </c>
      <c r="N18" s="22">
        <v>45702</v>
      </c>
      <c r="O18" s="23">
        <v>579.53</v>
      </c>
      <c r="P18" s="14"/>
      <c r="Q18" s="14">
        <f t="shared" si="4"/>
        <v>5</v>
      </c>
      <c r="R18" s="22">
        <v>45702</v>
      </c>
      <c r="S18" s="21">
        <v>20026.77</v>
      </c>
      <c r="T18" s="14"/>
      <c r="U18" s="14"/>
      <c r="V18" s="14">
        <v>98</v>
      </c>
      <c r="W18" s="19">
        <f t="shared" si="5"/>
        <v>5.4776587108414211E-3</v>
      </c>
      <c r="X18" s="19">
        <f t="shared" si="6"/>
        <v>7.1231614258856504E-2</v>
      </c>
      <c r="Y18" s="19">
        <f t="shared" si="7"/>
        <v>3.1617159139701091E-3</v>
      </c>
      <c r="Z18" s="19">
        <f t="shared" si="8"/>
        <v>3.3951828724353206E-2</v>
      </c>
      <c r="AA18" s="19">
        <f t="shared" si="9"/>
        <v>2.5782906665847084E-2</v>
      </c>
    </row>
    <row r="19" spans="1:27" x14ac:dyDescent="0.3">
      <c r="A19" s="14">
        <f t="shared" si="0"/>
        <v>5</v>
      </c>
      <c r="B19" s="20">
        <v>45695</v>
      </c>
      <c r="C19" s="21">
        <v>44303.399100000002</v>
      </c>
      <c r="D19" s="14"/>
      <c r="E19" s="14">
        <f t="shared" si="1"/>
        <v>5</v>
      </c>
      <c r="F19" s="22">
        <v>45695</v>
      </c>
      <c r="G19" s="21">
        <v>2712.7</v>
      </c>
      <c r="H19" s="14"/>
      <c r="I19" s="14">
        <f t="shared" si="2"/>
        <v>5</v>
      </c>
      <c r="J19" s="22">
        <v>45695</v>
      </c>
      <c r="K19" s="23">
        <v>256.19</v>
      </c>
      <c r="L19" s="14"/>
      <c r="M19" s="14">
        <f t="shared" si="3"/>
        <v>5</v>
      </c>
      <c r="N19" s="22">
        <v>45695</v>
      </c>
      <c r="O19" s="23">
        <v>560.5</v>
      </c>
      <c r="P19" s="14"/>
      <c r="Q19" s="14">
        <f t="shared" si="4"/>
        <v>5</v>
      </c>
      <c r="R19" s="22">
        <v>45695</v>
      </c>
      <c r="S19" s="21">
        <v>19523.400000000001</v>
      </c>
      <c r="T19" s="14"/>
      <c r="U19" s="14"/>
      <c r="V19" s="14">
        <v>97</v>
      </c>
      <c r="W19" s="19">
        <f t="shared" si="5"/>
        <v>-5.4162514036865698E-3</v>
      </c>
      <c r="X19" s="19">
        <f t="shared" si="6"/>
        <v>4.4837055952917378E-2</v>
      </c>
      <c r="Y19" s="19">
        <f t="shared" si="7"/>
        <v>4.6272695188424254E-3</v>
      </c>
      <c r="Z19" s="19">
        <f t="shared" si="8"/>
        <v>2.5757521554038111E-3</v>
      </c>
      <c r="AA19" s="19">
        <f t="shared" si="9"/>
        <v>-5.3007422261893171E-3</v>
      </c>
    </row>
    <row r="20" spans="1:27" x14ac:dyDescent="0.3">
      <c r="A20" s="14">
        <f t="shared" si="0"/>
        <v>5</v>
      </c>
      <c r="B20" s="20">
        <v>45688</v>
      </c>
      <c r="C20" s="21">
        <v>44544.664199999999</v>
      </c>
      <c r="D20" s="14"/>
      <c r="E20" s="14">
        <f t="shared" si="1"/>
        <v>2</v>
      </c>
      <c r="F20" s="25">
        <v>45685</v>
      </c>
      <c r="G20" s="26">
        <v>2596.29</v>
      </c>
      <c r="H20" s="14"/>
      <c r="I20" s="14">
        <f t="shared" si="2"/>
        <v>5</v>
      </c>
      <c r="J20" s="22">
        <v>45688</v>
      </c>
      <c r="K20" s="23">
        <v>255.01</v>
      </c>
      <c r="L20" s="14"/>
      <c r="M20" s="14">
        <f t="shared" si="3"/>
        <v>5</v>
      </c>
      <c r="N20" s="22">
        <v>45688</v>
      </c>
      <c r="O20" s="23">
        <v>559.05999999999995</v>
      </c>
      <c r="P20" s="14"/>
      <c r="Q20" s="14">
        <f t="shared" si="4"/>
        <v>5</v>
      </c>
      <c r="R20" s="22">
        <v>45688</v>
      </c>
      <c r="S20" s="21">
        <v>19627.439999999999</v>
      </c>
      <c r="T20" s="14"/>
      <c r="U20" s="14"/>
      <c r="V20" s="14">
        <v>96</v>
      </c>
      <c r="W20" s="19">
        <f t="shared" si="5"/>
        <v>2.7106233346425234E-3</v>
      </c>
      <c r="X20" s="19">
        <f t="shared" si="6"/>
        <v>7.5167253931049047E-3</v>
      </c>
      <c r="Y20" s="19">
        <f t="shared" si="7"/>
        <v>-3.9060974180696066E-3</v>
      </c>
      <c r="Z20" s="19">
        <f t="shared" si="8"/>
        <v>5.1420352391224377E-3</v>
      </c>
      <c r="AA20" s="19">
        <f t="shared" si="9"/>
        <v>-1.63804292809069E-2</v>
      </c>
    </row>
    <row r="21" spans="1:27" x14ac:dyDescent="0.3">
      <c r="A21" s="14">
        <f t="shared" si="0"/>
        <v>5</v>
      </c>
      <c r="B21" s="20">
        <v>45681</v>
      </c>
      <c r="C21" s="21">
        <v>44424.246800000001</v>
      </c>
      <c r="D21" s="14"/>
      <c r="E21" s="14">
        <f t="shared" si="1"/>
        <v>5</v>
      </c>
      <c r="F21" s="22">
        <v>45681</v>
      </c>
      <c r="G21" s="21">
        <v>2576.92</v>
      </c>
      <c r="H21" s="14"/>
      <c r="I21" s="14">
        <f t="shared" si="2"/>
        <v>5</v>
      </c>
      <c r="J21" s="22">
        <v>45681</v>
      </c>
      <c r="K21" s="23">
        <v>256.01</v>
      </c>
      <c r="L21" s="14"/>
      <c r="M21" s="14">
        <f t="shared" si="3"/>
        <v>5</v>
      </c>
      <c r="N21" s="22">
        <v>45681</v>
      </c>
      <c r="O21" s="23">
        <v>556.20000000000005</v>
      </c>
      <c r="P21" s="14"/>
      <c r="Q21" s="14">
        <f t="shared" si="4"/>
        <v>5</v>
      </c>
      <c r="R21" s="22">
        <v>45681</v>
      </c>
      <c r="S21" s="21">
        <v>19954.3</v>
      </c>
      <c r="T21" s="14"/>
      <c r="U21" s="14"/>
      <c r="V21" s="14">
        <v>95</v>
      </c>
      <c r="W21" s="19">
        <f t="shared" si="5"/>
        <v>2.1532823745566951E-2</v>
      </c>
      <c r="X21" s="19">
        <f t="shared" si="6"/>
        <v>2.4489925735095296E-2</v>
      </c>
      <c r="Y21" s="19">
        <f t="shared" si="7"/>
        <v>4.0648754115686359E-2</v>
      </c>
      <c r="Z21" s="19">
        <f t="shared" si="8"/>
        <v>3.4194232163775498E-2</v>
      </c>
      <c r="AA21" s="19">
        <f t="shared" si="9"/>
        <v>1.6510274984462642E-2</v>
      </c>
    </row>
    <row r="22" spans="1:27" x14ac:dyDescent="0.3">
      <c r="A22" s="14">
        <f t="shared" si="0"/>
        <v>5</v>
      </c>
      <c r="B22" s="20">
        <v>45674</v>
      </c>
      <c r="C22" s="21">
        <v>43487.830999999998</v>
      </c>
      <c r="D22" s="14"/>
      <c r="E22" s="14">
        <f t="shared" si="1"/>
        <v>5</v>
      </c>
      <c r="F22" s="22">
        <v>45674</v>
      </c>
      <c r="G22" s="21">
        <v>2515.3200000000002</v>
      </c>
      <c r="H22" s="14"/>
      <c r="I22" s="14">
        <f t="shared" si="2"/>
        <v>5</v>
      </c>
      <c r="J22" s="22">
        <v>45674</v>
      </c>
      <c r="K22" s="23">
        <v>246.01</v>
      </c>
      <c r="L22" s="14"/>
      <c r="M22" s="14">
        <f t="shared" si="3"/>
        <v>5</v>
      </c>
      <c r="N22" s="22">
        <v>45674</v>
      </c>
      <c r="O22" s="23">
        <v>537.80999999999995</v>
      </c>
      <c r="P22" s="14"/>
      <c r="Q22" s="14">
        <f t="shared" si="4"/>
        <v>5</v>
      </c>
      <c r="R22" s="22">
        <v>45674</v>
      </c>
      <c r="S22" s="21">
        <v>19630.2</v>
      </c>
      <c r="T22" s="14"/>
      <c r="U22" s="14"/>
      <c r="V22" s="14">
        <v>94</v>
      </c>
      <c r="W22" s="19">
        <f t="shared" si="5"/>
        <v>3.6944211581353123E-2</v>
      </c>
      <c r="X22" s="19">
        <f t="shared" si="6"/>
        <v>2.7445437946514301E-2</v>
      </c>
      <c r="Y22" s="19">
        <f t="shared" si="7"/>
        <v>-1.0139620971311351E-2</v>
      </c>
      <c r="Z22" s="19">
        <f t="shared" si="8"/>
        <v>2.6394137180808287E-2</v>
      </c>
      <c r="AA22" s="19">
        <f t="shared" si="9"/>
        <v>2.4453556404126355E-2</v>
      </c>
    </row>
    <row r="23" spans="1:27" x14ac:dyDescent="0.3">
      <c r="A23" s="14">
        <f t="shared" si="0"/>
        <v>5</v>
      </c>
      <c r="B23" s="20">
        <v>45667</v>
      </c>
      <c r="C23" s="21">
        <v>41938.448100000001</v>
      </c>
      <c r="D23" s="14"/>
      <c r="E23" s="14">
        <f t="shared" si="1"/>
        <v>5</v>
      </c>
      <c r="F23" s="22">
        <v>45667</v>
      </c>
      <c r="G23" s="21">
        <v>2448.13</v>
      </c>
      <c r="H23" s="14"/>
      <c r="I23" s="14">
        <f t="shared" si="2"/>
        <v>5</v>
      </c>
      <c r="J23" s="22">
        <v>45667</v>
      </c>
      <c r="K23" s="23">
        <v>248.53</v>
      </c>
      <c r="L23" s="14"/>
      <c r="M23" s="14">
        <f t="shared" si="3"/>
        <v>5</v>
      </c>
      <c r="N23" s="22">
        <v>45667</v>
      </c>
      <c r="O23" s="23">
        <v>523.98</v>
      </c>
      <c r="P23" s="14"/>
      <c r="Q23" s="14">
        <f t="shared" si="4"/>
        <v>5</v>
      </c>
      <c r="R23" s="22">
        <v>45667</v>
      </c>
      <c r="S23" s="21">
        <v>19161.63</v>
      </c>
      <c r="T23" s="14"/>
      <c r="U23" s="14"/>
      <c r="V23" s="14">
        <v>93</v>
      </c>
      <c r="W23" s="19">
        <f t="shared" si="5"/>
        <v>-1.8573500474937613E-2</v>
      </c>
      <c r="X23" s="19">
        <f t="shared" si="6"/>
        <v>-3.6385535529428456E-2</v>
      </c>
      <c r="Y23" s="19">
        <f t="shared" si="7"/>
        <v>-2.2997090966270912E-2</v>
      </c>
      <c r="Z23" s="19">
        <f t="shared" si="8"/>
        <v>2.6725717776417677E-4</v>
      </c>
      <c r="AA23" s="19">
        <f t="shared" si="9"/>
        <v>-2.3446004623457282E-2</v>
      </c>
    </row>
    <row r="24" spans="1:27" x14ac:dyDescent="0.3">
      <c r="A24" s="14">
        <f t="shared" si="0"/>
        <v>5</v>
      </c>
      <c r="B24" s="20">
        <v>45660</v>
      </c>
      <c r="C24" s="21">
        <v>42732.133399999999</v>
      </c>
      <c r="D24" s="14"/>
      <c r="E24" s="14">
        <f t="shared" si="1"/>
        <v>5</v>
      </c>
      <c r="F24" s="22">
        <v>45660</v>
      </c>
      <c r="G24" s="21">
        <v>2540.5700000000002</v>
      </c>
      <c r="H24" s="14"/>
      <c r="I24" s="14">
        <f t="shared" si="2"/>
        <v>1</v>
      </c>
      <c r="J24" s="25">
        <v>45656</v>
      </c>
      <c r="K24" s="27">
        <v>254.38</v>
      </c>
      <c r="L24" s="14"/>
      <c r="M24" s="14">
        <f t="shared" si="3"/>
        <v>5</v>
      </c>
      <c r="N24" s="22">
        <v>45660</v>
      </c>
      <c r="O24" s="23">
        <v>523.84</v>
      </c>
      <c r="P24" s="14"/>
      <c r="Q24" s="14">
        <f t="shared" si="4"/>
        <v>5</v>
      </c>
      <c r="R24" s="22">
        <v>45660</v>
      </c>
      <c r="S24" s="21">
        <v>19621.68</v>
      </c>
      <c r="T24" s="14"/>
      <c r="U24" s="14"/>
      <c r="V24" s="14">
        <v>92</v>
      </c>
      <c r="W24" s="19">
        <f t="shared" si="5"/>
        <v>-6.0493403968676484E-3</v>
      </c>
      <c r="X24" s="19">
        <f t="shared" si="6"/>
        <v>-1.8471012757014019E-2</v>
      </c>
      <c r="Y24" s="19">
        <f t="shared" si="7"/>
        <v>-3.3303295067194072E-3</v>
      </c>
      <c r="Z24" s="19">
        <f t="shared" si="8"/>
        <v>-9.454655472354587E-3</v>
      </c>
      <c r="AA24" s="19">
        <f t="shared" si="9"/>
        <v>-5.088218606299582E-3</v>
      </c>
    </row>
    <row r="25" spans="1:27" x14ac:dyDescent="0.3">
      <c r="A25" s="14">
        <f t="shared" si="0"/>
        <v>5</v>
      </c>
      <c r="B25" s="20">
        <v>45653</v>
      </c>
      <c r="C25" s="21">
        <v>42992.207900000001</v>
      </c>
      <c r="D25" s="14"/>
      <c r="E25" s="14">
        <f t="shared" si="1"/>
        <v>5</v>
      </c>
      <c r="F25" s="22">
        <v>45653</v>
      </c>
      <c r="G25" s="21">
        <v>2588.38</v>
      </c>
      <c r="H25" s="14"/>
      <c r="I25" s="14">
        <f t="shared" si="2"/>
        <v>5</v>
      </c>
      <c r="J25" s="22">
        <v>45653</v>
      </c>
      <c r="K25" s="23">
        <v>255.23</v>
      </c>
      <c r="L25" s="14"/>
      <c r="M25" s="14">
        <f t="shared" si="3"/>
        <v>5</v>
      </c>
      <c r="N25" s="22">
        <v>45653</v>
      </c>
      <c r="O25" s="23">
        <v>528.84</v>
      </c>
      <c r="P25" s="14"/>
      <c r="Q25" s="14">
        <f t="shared" si="4"/>
        <v>5</v>
      </c>
      <c r="R25" s="22">
        <v>45653</v>
      </c>
      <c r="S25" s="21">
        <v>19722.03</v>
      </c>
      <c r="T25" s="14"/>
      <c r="U25" s="14"/>
      <c r="V25" s="14">
        <v>91</v>
      </c>
      <c r="W25" s="19">
        <f t="shared" si="5"/>
        <v>3.5469184977112407E-3</v>
      </c>
      <c r="X25" s="19">
        <f t="shared" si="6"/>
        <v>2.0485566270570344E-2</v>
      </c>
      <c r="Y25" s="19">
        <f t="shared" si="7"/>
        <v>3.1482379566763627E-2</v>
      </c>
      <c r="Z25" s="19">
        <f t="shared" si="8"/>
        <v>9.7376560888991145E-3</v>
      </c>
      <c r="AA25" s="19">
        <f t="shared" si="9"/>
        <v>7.6346525244474573E-3</v>
      </c>
    </row>
    <row r="26" spans="1:27" x14ac:dyDescent="0.3">
      <c r="A26" s="14">
        <f t="shared" si="0"/>
        <v>5</v>
      </c>
      <c r="B26" s="20">
        <v>45646</v>
      </c>
      <c r="C26" s="21">
        <v>42840.256999999998</v>
      </c>
      <c r="D26" s="14"/>
      <c r="E26" s="14">
        <f t="shared" si="1"/>
        <v>5</v>
      </c>
      <c r="F26" s="22">
        <v>45646</v>
      </c>
      <c r="G26" s="21">
        <v>2536.42</v>
      </c>
      <c r="H26" s="14"/>
      <c r="I26" s="14">
        <f t="shared" si="2"/>
        <v>5</v>
      </c>
      <c r="J26" s="22">
        <v>45646</v>
      </c>
      <c r="K26" s="23">
        <v>247.44</v>
      </c>
      <c r="L26" s="14"/>
      <c r="M26" s="14">
        <f t="shared" si="3"/>
        <v>5</v>
      </c>
      <c r="N26" s="22">
        <v>45646</v>
      </c>
      <c r="O26" s="23">
        <v>523.74</v>
      </c>
      <c r="P26" s="14"/>
      <c r="Q26" s="14">
        <f t="shared" si="4"/>
        <v>5</v>
      </c>
      <c r="R26" s="22">
        <v>45646</v>
      </c>
      <c r="S26" s="21">
        <v>19572.599999999999</v>
      </c>
      <c r="T26" s="14"/>
      <c r="U26" s="14"/>
      <c r="V26" s="14">
        <v>90</v>
      </c>
      <c r="W26" s="19">
        <f t="shared" si="5"/>
        <v>-2.2538158932188062E-2</v>
      </c>
      <c r="X26" s="19">
        <f t="shared" si="6"/>
        <v>-1.2535914226316006E-2</v>
      </c>
      <c r="Y26" s="19">
        <f t="shared" si="7"/>
        <v>-3.6823666796418762E-2</v>
      </c>
      <c r="Z26" s="19">
        <f t="shared" si="8"/>
        <v>-3.4367048932482734E-2</v>
      </c>
      <c r="AA26" s="19">
        <f t="shared" si="9"/>
        <v>-1.7771113359348785E-2</v>
      </c>
    </row>
    <row r="27" spans="1:27" x14ac:dyDescent="0.3">
      <c r="A27" s="14">
        <f t="shared" si="0"/>
        <v>5</v>
      </c>
      <c r="B27" s="20">
        <v>45639</v>
      </c>
      <c r="C27" s="21">
        <v>43828.060799999999</v>
      </c>
      <c r="D27" s="14"/>
      <c r="E27" s="14">
        <f t="shared" si="1"/>
        <v>5</v>
      </c>
      <c r="F27" s="22">
        <v>45639</v>
      </c>
      <c r="G27" s="21">
        <v>2568.62</v>
      </c>
      <c r="H27" s="14"/>
      <c r="I27" s="14">
        <f t="shared" si="2"/>
        <v>5</v>
      </c>
      <c r="J27" s="22">
        <v>45639</v>
      </c>
      <c r="K27" s="23">
        <v>256.89999999999998</v>
      </c>
      <c r="L27" s="14"/>
      <c r="M27" s="14">
        <f t="shared" si="3"/>
        <v>5</v>
      </c>
      <c r="N27" s="22">
        <v>45639</v>
      </c>
      <c r="O27" s="23">
        <v>542.38</v>
      </c>
      <c r="P27" s="14"/>
      <c r="Q27" s="14">
        <f t="shared" si="4"/>
        <v>5</v>
      </c>
      <c r="R27" s="22">
        <v>45639</v>
      </c>
      <c r="S27" s="21">
        <v>19926.72</v>
      </c>
      <c r="T27" s="14"/>
      <c r="U27" s="14"/>
      <c r="V27" s="14">
        <v>89</v>
      </c>
      <c r="W27" s="19">
        <f t="shared" si="5"/>
        <v>-1.8244081036764653E-2</v>
      </c>
      <c r="X27" s="19">
        <f t="shared" si="6"/>
        <v>5.8228095937346612E-3</v>
      </c>
      <c r="Y27" s="19">
        <f t="shared" si="7"/>
        <v>-1.4046668713540163E-2</v>
      </c>
      <c r="Z27" s="19">
        <f t="shared" si="8"/>
        <v>-1.390833227278508E-2</v>
      </c>
      <c r="AA27" s="19">
        <f t="shared" si="9"/>
        <v>3.3711367251484142E-3</v>
      </c>
    </row>
    <row r="28" spans="1:27" x14ac:dyDescent="0.3">
      <c r="A28" s="14">
        <f t="shared" si="0"/>
        <v>5</v>
      </c>
      <c r="B28" s="20">
        <v>45632</v>
      </c>
      <c r="C28" s="21">
        <v>44642.522599999997</v>
      </c>
      <c r="D28" s="14"/>
      <c r="E28" s="14">
        <f t="shared" si="1"/>
        <v>5</v>
      </c>
      <c r="F28" s="22">
        <v>45632</v>
      </c>
      <c r="G28" s="21">
        <v>2553.75</v>
      </c>
      <c r="H28" s="14"/>
      <c r="I28" s="14">
        <f t="shared" si="2"/>
        <v>5</v>
      </c>
      <c r="J28" s="22">
        <v>45632</v>
      </c>
      <c r="K28" s="23">
        <v>260.56</v>
      </c>
      <c r="L28" s="14"/>
      <c r="M28" s="14">
        <f t="shared" si="3"/>
        <v>5</v>
      </c>
      <c r="N28" s="22">
        <v>45632</v>
      </c>
      <c r="O28" s="23">
        <v>550.03</v>
      </c>
      <c r="P28" s="14"/>
      <c r="Q28" s="14">
        <f t="shared" si="4"/>
        <v>5</v>
      </c>
      <c r="R28" s="22">
        <v>45632</v>
      </c>
      <c r="S28" s="21">
        <v>19859.77</v>
      </c>
      <c r="T28" s="14"/>
      <c r="U28" s="14"/>
      <c r="V28" s="14">
        <v>88</v>
      </c>
      <c r="W28" s="19">
        <f t="shared" si="5"/>
        <v>-5.9702298449280482E-3</v>
      </c>
      <c r="X28" s="19">
        <f t="shared" si="6"/>
        <v>2.3124722058629022E-2</v>
      </c>
      <c r="Y28" s="19">
        <f t="shared" si="7"/>
        <v>2.1203213795806374E-2</v>
      </c>
      <c r="Z28" s="19">
        <f t="shared" si="8"/>
        <v>1.934802349932345E-2</v>
      </c>
      <c r="AA28" s="19">
        <f t="shared" si="9"/>
        <v>3.3385072564141242E-2</v>
      </c>
    </row>
    <row r="29" spans="1:27" x14ac:dyDescent="0.3">
      <c r="A29" s="14">
        <f t="shared" si="0"/>
        <v>5</v>
      </c>
      <c r="B29" s="20">
        <v>45625</v>
      </c>
      <c r="C29" s="21">
        <v>44910.6495</v>
      </c>
      <c r="D29" s="14"/>
      <c r="E29" s="14">
        <f t="shared" si="1"/>
        <v>5</v>
      </c>
      <c r="F29" s="22">
        <v>45625</v>
      </c>
      <c r="G29" s="21">
        <v>2496.0300000000002</v>
      </c>
      <c r="H29" s="14"/>
      <c r="I29" s="14">
        <f t="shared" si="2"/>
        <v>5</v>
      </c>
      <c r="J29" s="22">
        <v>45625</v>
      </c>
      <c r="K29" s="23">
        <v>255.15</v>
      </c>
      <c r="L29" s="14"/>
      <c r="M29" s="14">
        <f t="shared" si="3"/>
        <v>5</v>
      </c>
      <c r="N29" s="22">
        <v>45625</v>
      </c>
      <c r="O29" s="23">
        <v>539.59</v>
      </c>
      <c r="P29" s="14"/>
      <c r="Q29" s="14">
        <f t="shared" si="4"/>
        <v>5</v>
      </c>
      <c r="R29" s="22">
        <v>45625</v>
      </c>
      <c r="S29" s="21">
        <v>19218.169999999998</v>
      </c>
      <c r="T29" s="14"/>
      <c r="U29" s="14"/>
      <c r="V29" s="14">
        <v>87</v>
      </c>
      <c r="W29" s="19">
        <f t="shared" si="5"/>
        <v>1.386418108841451E-2</v>
      </c>
      <c r="X29" s="19">
        <f t="shared" si="6"/>
        <v>1.0366658301017692E-2</v>
      </c>
      <c r="Y29" s="19">
        <f t="shared" si="7"/>
        <v>3.1284103310294686E-2</v>
      </c>
      <c r="Z29" s="19">
        <f t="shared" si="8"/>
        <v>1.8728642362225677E-2</v>
      </c>
      <c r="AA29" s="19">
        <f t="shared" si="9"/>
        <v>1.1288357762850651E-2</v>
      </c>
    </row>
    <row r="30" spans="1:27" x14ac:dyDescent="0.3">
      <c r="A30" s="14">
        <f t="shared" si="0"/>
        <v>5</v>
      </c>
      <c r="B30" s="20">
        <v>45618</v>
      </c>
      <c r="C30" s="21">
        <v>44296.514600000002</v>
      </c>
      <c r="D30" s="14"/>
      <c r="E30" s="14">
        <f t="shared" si="1"/>
        <v>5</v>
      </c>
      <c r="F30" s="22">
        <v>45618</v>
      </c>
      <c r="G30" s="21">
        <v>2470.42</v>
      </c>
      <c r="H30" s="14"/>
      <c r="I30" s="14">
        <f t="shared" si="2"/>
        <v>5</v>
      </c>
      <c r="J30" s="22">
        <v>45618</v>
      </c>
      <c r="K30" s="23">
        <v>247.41</v>
      </c>
      <c r="L30" s="14"/>
      <c r="M30" s="14">
        <f t="shared" si="3"/>
        <v>5</v>
      </c>
      <c r="N30" s="22">
        <v>45618</v>
      </c>
      <c r="O30" s="23">
        <v>529.66999999999996</v>
      </c>
      <c r="P30" s="14"/>
      <c r="Q30" s="14">
        <f t="shared" si="4"/>
        <v>5</v>
      </c>
      <c r="R30" s="22">
        <v>45618</v>
      </c>
      <c r="S30" s="21">
        <v>19003.650000000001</v>
      </c>
      <c r="T30" s="14"/>
      <c r="U30" s="14"/>
      <c r="V30" s="14">
        <v>86</v>
      </c>
      <c r="W30" s="19">
        <f t="shared" si="5"/>
        <v>1.9600130069781653E-2</v>
      </c>
      <c r="X30" s="19">
        <f t="shared" si="6"/>
        <v>-9.9786800891268814E-3</v>
      </c>
      <c r="Y30" s="19">
        <f t="shared" si="7"/>
        <v>-1.1861969805895035E-2</v>
      </c>
      <c r="Z30" s="19">
        <f t="shared" si="8"/>
        <v>-1.2633404985482382E-3</v>
      </c>
      <c r="AA30" s="19">
        <f t="shared" si="9"/>
        <v>1.7319481887696785E-2</v>
      </c>
    </row>
    <row r="31" spans="1:27" x14ac:dyDescent="0.3">
      <c r="A31" s="14">
        <f t="shared" si="0"/>
        <v>5</v>
      </c>
      <c r="B31" s="20">
        <v>45611</v>
      </c>
      <c r="C31" s="21">
        <v>43444.987200000003</v>
      </c>
      <c r="D31" s="14"/>
      <c r="E31" s="14">
        <f t="shared" si="1"/>
        <v>5</v>
      </c>
      <c r="F31" s="22">
        <v>45611</v>
      </c>
      <c r="G31" s="21">
        <v>2495.3200000000002</v>
      </c>
      <c r="H31" s="14"/>
      <c r="I31" s="14">
        <f t="shared" si="2"/>
        <v>5</v>
      </c>
      <c r="J31" s="22">
        <v>45611</v>
      </c>
      <c r="K31" s="23">
        <v>250.38</v>
      </c>
      <c r="L31" s="14"/>
      <c r="M31" s="14">
        <f t="shared" si="3"/>
        <v>5</v>
      </c>
      <c r="N31" s="22">
        <v>45611</v>
      </c>
      <c r="O31" s="23">
        <v>530.34</v>
      </c>
      <c r="P31" s="14"/>
      <c r="Q31" s="14">
        <f t="shared" si="4"/>
        <v>5</v>
      </c>
      <c r="R31" s="22">
        <v>45611</v>
      </c>
      <c r="S31" s="21">
        <v>18680.12</v>
      </c>
      <c r="T31" s="14"/>
      <c r="U31" s="14"/>
      <c r="V31" s="14">
        <v>85</v>
      </c>
      <c r="W31" s="19">
        <f t="shared" si="5"/>
        <v>-1.2366709192311328E-2</v>
      </c>
      <c r="X31" s="19">
        <f t="shared" si="6"/>
        <v>-6.4084195365654115E-2</v>
      </c>
      <c r="Y31" s="19">
        <f t="shared" si="7"/>
        <v>-3.2534775888717213E-2</v>
      </c>
      <c r="Z31" s="19">
        <f t="shared" si="8"/>
        <v>-2.3332903629767334E-2</v>
      </c>
      <c r="AA31" s="19">
        <f t="shared" si="9"/>
        <v>-3.1454706280675149E-2</v>
      </c>
    </row>
    <row r="32" spans="1:27" x14ac:dyDescent="0.3">
      <c r="A32" s="14">
        <f t="shared" si="0"/>
        <v>5</v>
      </c>
      <c r="B32" s="20">
        <v>45604</v>
      </c>
      <c r="C32" s="21">
        <v>43988.986199999999</v>
      </c>
      <c r="D32" s="14"/>
      <c r="E32" s="14">
        <f t="shared" si="1"/>
        <v>5</v>
      </c>
      <c r="F32" s="22">
        <v>45604</v>
      </c>
      <c r="G32" s="21">
        <v>2666.18</v>
      </c>
      <c r="H32" s="14"/>
      <c r="I32" s="14">
        <f t="shared" si="2"/>
        <v>5</v>
      </c>
      <c r="J32" s="22">
        <v>45604</v>
      </c>
      <c r="K32" s="23">
        <v>258.8</v>
      </c>
      <c r="L32" s="14"/>
      <c r="M32" s="14">
        <f t="shared" si="3"/>
        <v>5</v>
      </c>
      <c r="N32" s="22">
        <v>45604</v>
      </c>
      <c r="O32" s="23">
        <v>543.01</v>
      </c>
      <c r="P32" s="14"/>
      <c r="Q32" s="14">
        <f t="shared" si="4"/>
        <v>5</v>
      </c>
      <c r="R32" s="22">
        <v>45604</v>
      </c>
      <c r="S32" s="21">
        <v>19286.78</v>
      </c>
      <c r="T32" s="14"/>
      <c r="U32" s="14"/>
      <c r="V32" s="14">
        <v>84</v>
      </c>
      <c r="W32" s="19">
        <f t="shared" si="5"/>
        <v>4.6056978902506235E-2</v>
      </c>
      <c r="X32" s="19">
        <f t="shared" si="6"/>
        <v>1.1126954991580713E-2</v>
      </c>
      <c r="Y32" s="19">
        <f t="shared" si="7"/>
        <v>4.0402010050251305E-2</v>
      </c>
      <c r="Z32" s="19">
        <f t="shared" si="8"/>
        <v>-1.8969846976567721E-2</v>
      </c>
      <c r="AA32" s="19">
        <f t="shared" si="9"/>
        <v>5.7393892078474062E-2</v>
      </c>
    </row>
    <row r="33" spans="1:27" x14ac:dyDescent="0.3">
      <c r="A33" s="14">
        <f t="shared" si="0"/>
        <v>5</v>
      </c>
      <c r="B33" s="20">
        <v>45597</v>
      </c>
      <c r="C33" s="21">
        <v>42052.189400000003</v>
      </c>
      <c r="D33" s="14"/>
      <c r="E33" s="14">
        <f t="shared" si="1"/>
        <v>5</v>
      </c>
      <c r="F33" s="22">
        <v>45597</v>
      </c>
      <c r="G33" s="21">
        <v>2636.84</v>
      </c>
      <c r="H33" s="14"/>
      <c r="I33" s="14">
        <f t="shared" si="2"/>
        <v>5</v>
      </c>
      <c r="J33" s="22">
        <v>45597</v>
      </c>
      <c r="K33" s="23">
        <v>248.75</v>
      </c>
      <c r="L33" s="14"/>
      <c r="M33" s="14">
        <f t="shared" si="3"/>
        <v>5</v>
      </c>
      <c r="N33" s="22">
        <v>45597</v>
      </c>
      <c r="O33" s="23">
        <v>553.51</v>
      </c>
      <c r="P33" s="14"/>
      <c r="Q33" s="14">
        <f t="shared" si="4"/>
        <v>5</v>
      </c>
      <c r="R33" s="22">
        <v>45597</v>
      </c>
      <c r="S33" s="21">
        <v>18239.919999999998</v>
      </c>
      <c r="T33" s="14"/>
      <c r="U33" s="14"/>
      <c r="V33" s="14">
        <v>83</v>
      </c>
      <c r="W33" s="19">
        <f t="shared" si="5"/>
        <v>-1.4772641858740185E-3</v>
      </c>
      <c r="X33" s="19">
        <f t="shared" si="6"/>
        <v>-4.9359980678661724E-3</v>
      </c>
      <c r="Y33" s="19">
        <f t="shared" si="7"/>
        <v>-7.632361211536825E-4</v>
      </c>
      <c r="Z33" s="19">
        <f t="shared" si="8"/>
        <v>-1.1501026877399864E-2</v>
      </c>
      <c r="AA33" s="19">
        <f t="shared" si="9"/>
        <v>-1.5049185657022979E-2</v>
      </c>
    </row>
    <row r="34" spans="1:27" x14ac:dyDescent="0.3">
      <c r="A34" s="14">
        <f t="shared" si="0"/>
        <v>5</v>
      </c>
      <c r="B34" s="20">
        <v>45590</v>
      </c>
      <c r="C34" s="21">
        <v>42114.4035</v>
      </c>
      <c r="D34" s="14"/>
      <c r="E34" s="14">
        <f t="shared" si="1"/>
        <v>5</v>
      </c>
      <c r="F34" s="22">
        <v>45590</v>
      </c>
      <c r="G34" s="21">
        <v>2649.92</v>
      </c>
      <c r="H34" s="14"/>
      <c r="I34" s="14">
        <f t="shared" si="2"/>
        <v>5</v>
      </c>
      <c r="J34" s="22">
        <v>45590</v>
      </c>
      <c r="K34" s="23">
        <v>248.94</v>
      </c>
      <c r="L34" s="14"/>
      <c r="M34" s="14">
        <f t="shared" si="3"/>
        <v>5</v>
      </c>
      <c r="N34" s="22">
        <v>45590</v>
      </c>
      <c r="O34" s="23">
        <v>559.95000000000005</v>
      </c>
      <c r="P34" s="14"/>
      <c r="Q34" s="14">
        <f t="shared" si="4"/>
        <v>5</v>
      </c>
      <c r="R34" s="22">
        <v>45590</v>
      </c>
      <c r="S34" s="21">
        <v>18518.61</v>
      </c>
      <c r="T34" s="14"/>
      <c r="U34" s="14"/>
      <c r="V34" s="14">
        <v>82</v>
      </c>
      <c r="W34" s="19">
        <f t="shared" si="5"/>
        <v>-2.6839524475099286E-2</v>
      </c>
      <c r="X34" s="19">
        <f t="shared" si="6"/>
        <v>-1.0296957224863477E-2</v>
      </c>
      <c r="Y34" s="19">
        <f t="shared" si="7"/>
        <v>-4.514594760461809E-2</v>
      </c>
      <c r="Z34" s="19">
        <f t="shared" si="8"/>
        <v>-1.8423728219331751E-2</v>
      </c>
      <c r="AA34" s="19">
        <f t="shared" si="9"/>
        <v>1.5716986081327729E-3</v>
      </c>
    </row>
    <row r="35" spans="1:27" x14ac:dyDescent="0.3">
      <c r="A35" s="14">
        <f t="shared" ref="A35:A66" si="10">WEEKDAY(B35,2)</f>
        <v>5</v>
      </c>
      <c r="B35" s="20">
        <v>45583</v>
      </c>
      <c r="C35" s="21">
        <v>43275.908300000003</v>
      </c>
      <c r="D35" s="14"/>
      <c r="E35" s="14">
        <f t="shared" ref="E35:E66" si="11">WEEKDAY(F35,2)</f>
        <v>5</v>
      </c>
      <c r="F35" s="22">
        <v>45583</v>
      </c>
      <c r="G35" s="21">
        <v>2677.49</v>
      </c>
      <c r="H35" s="14"/>
      <c r="I35" s="14">
        <f t="shared" ref="I35:I66" si="12">WEEKDAY(J35,2)</f>
        <v>5</v>
      </c>
      <c r="J35" s="22">
        <v>45583</v>
      </c>
      <c r="K35" s="23">
        <v>260.70999999999998</v>
      </c>
      <c r="L35" s="14"/>
      <c r="M35" s="14">
        <f t="shared" ref="M35:M66" si="13">WEEKDAY(N35,2)</f>
        <v>5</v>
      </c>
      <c r="N35" s="22">
        <v>45583</v>
      </c>
      <c r="O35" s="23">
        <v>570.46</v>
      </c>
      <c r="P35" s="14"/>
      <c r="Q35" s="14">
        <f t="shared" ref="Q35:Q66" si="14">WEEKDAY(R35,2)</f>
        <v>5</v>
      </c>
      <c r="R35" s="22">
        <v>45583</v>
      </c>
      <c r="S35" s="21">
        <v>18489.55</v>
      </c>
      <c r="T35" s="14"/>
      <c r="U35" s="14"/>
      <c r="V35" s="14">
        <v>81</v>
      </c>
      <c r="W35" s="19">
        <f t="shared" ref="W35:W66" si="15">(C35-C36)/C36</f>
        <v>9.6128782904477683E-3</v>
      </c>
      <c r="X35" s="19">
        <f t="shared" ref="X35:X66" si="16">(G35-G36)/G36</f>
        <v>-2.1099005557180476E-2</v>
      </c>
      <c r="Y35" s="19">
        <f t="shared" ref="Y35:Y66" si="17">(K35-K36)/K36</f>
        <v>-1.8337224188568434E-2</v>
      </c>
      <c r="Z35" s="19">
        <f t="shared" ref="Z35:Z66" si="18">(O35-O36)/O36</f>
        <v>-7.532099003309744E-4</v>
      </c>
      <c r="AA35" s="19">
        <f t="shared" ref="AA35:AA66" si="19">(S35-S36)/S36</f>
        <v>7.9927209051548227E-3</v>
      </c>
    </row>
    <row r="36" spans="1:27" x14ac:dyDescent="0.3">
      <c r="A36" s="14">
        <f t="shared" si="10"/>
        <v>5</v>
      </c>
      <c r="B36" s="20">
        <v>45576</v>
      </c>
      <c r="C36" s="21">
        <v>42863.8632</v>
      </c>
      <c r="D36" s="14"/>
      <c r="E36" s="14">
        <f t="shared" si="11"/>
        <v>4</v>
      </c>
      <c r="F36" s="25">
        <v>45575</v>
      </c>
      <c r="G36" s="26">
        <v>2735.2</v>
      </c>
      <c r="H36" s="14"/>
      <c r="I36" s="14">
        <f t="shared" si="12"/>
        <v>5</v>
      </c>
      <c r="J36" s="22">
        <v>45576</v>
      </c>
      <c r="K36" s="23">
        <v>265.58</v>
      </c>
      <c r="L36" s="14"/>
      <c r="M36" s="14">
        <f t="shared" si="13"/>
        <v>5</v>
      </c>
      <c r="N36" s="22">
        <v>45576</v>
      </c>
      <c r="O36" s="23">
        <v>570.89</v>
      </c>
      <c r="P36" s="14"/>
      <c r="Q36" s="14">
        <f t="shared" si="14"/>
        <v>5</v>
      </c>
      <c r="R36" s="22">
        <v>45576</v>
      </c>
      <c r="S36" s="21">
        <v>18342.939999999999</v>
      </c>
      <c r="T36" s="14"/>
      <c r="U36" s="14"/>
      <c r="V36" s="14">
        <v>80</v>
      </c>
      <c r="W36" s="19">
        <f t="shared" si="15"/>
        <v>1.206804087342757E-2</v>
      </c>
      <c r="X36" s="19">
        <f t="shared" si="16"/>
        <v>-6.5741699030286968E-2</v>
      </c>
      <c r="Y36" s="19">
        <f t="shared" si="17"/>
        <v>2.220853700781333E-2</v>
      </c>
      <c r="Z36" s="19">
        <f t="shared" si="18"/>
        <v>3.0219442345872541E-3</v>
      </c>
      <c r="AA36" s="19">
        <f t="shared" si="19"/>
        <v>1.1307293863385141E-2</v>
      </c>
    </row>
    <row r="37" spans="1:27" x14ac:dyDescent="0.3">
      <c r="A37" s="14">
        <f t="shared" si="10"/>
        <v>5</v>
      </c>
      <c r="B37" s="20">
        <v>45569</v>
      </c>
      <c r="C37" s="21">
        <v>42352.748500000002</v>
      </c>
      <c r="D37" s="14"/>
      <c r="E37" s="14">
        <f t="shared" si="11"/>
        <v>5</v>
      </c>
      <c r="F37" s="22">
        <v>45569</v>
      </c>
      <c r="G37" s="21">
        <v>2927.67</v>
      </c>
      <c r="H37" s="14"/>
      <c r="I37" s="14">
        <f t="shared" si="12"/>
        <v>5</v>
      </c>
      <c r="J37" s="22">
        <v>45569</v>
      </c>
      <c r="K37" s="23">
        <v>259.81</v>
      </c>
      <c r="L37" s="14"/>
      <c r="M37" s="14">
        <f t="shared" si="13"/>
        <v>5</v>
      </c>
      <c r="N37" s="22">
        <v>45569</v>
      </c>
      <c r="O37" s="23">
        <v>569.16999999999996</v>
      </c>
      <c r="P37" s="14"/>
      <c r="Q37" s="14">
        <f t="shared" si="14"/>
        <v>5</v>
      </c>
      <c r="R37" s="22">
        <v>45569</v>
      </c>
      <c r="S37" s="21">
        <v>18137.849999999999</v>
      </c>
      <c r="T37" s="14"/>
      <c r="U37" s="14"/>
      <c r="V37" s="14">
        <v>79</v>
      </c>
      <c r="W37" s="19">
        <f t="shared" si="15"/>
        <v>9.3933537554886286E-4</v>
      </c>
      <c r="X37" s="19">
        <f t="shared" si="16"/>
        <v>0.1028417951828107</v>
      </c>
      <c r="Y37" s="19">
        <f t="shared" si="17"/>
        <v>-7.2504640868199355E-2</v>
      </c>
      <c r="Z37" s="19">
        <f t="shared" si="18"/>
        <v>-3.4470474477938641E-2</v>
      </c>
      <c r="AA37" s="19">
        <f t="shared" si="19"/>
        <v>1.0077490715848648E-3</v>
      </c>
    </row>
    <row r="38" spans="1:27" x14ac:dyDescent="0.3">
      <c r="A38" s="14">
        <f t="shared" si="10"/>
        <v>5</v>
      </c>
      <c r="B38" s="20">
        <v>45562</v>
      </c>
      <c r="C38" s="21">
        <v>42313.002399999998</v>
      </c>
      <c r="D38" s="14"/>
      <c r="E38" s="14">
        <f t="shared" si="11"/>
        <v>5</v>
      </c>
      <c r="F38" s="22">
        <v>45562</v>
      </c>
      <c r="G38" s="21">
        <v>2654.66</v>
      </c>
      <c r="H38" s="14"/>
      <c r="I38" s="14">
        <f t="shared" si="12"/>
        <v>5</v>
      </c>
      <c r="J38" s="22">
        <v>45562</v>
      </c>
      <c r="K38" s="23">
        <v>280.12</v>
      </c>
      <c r="L38" s="14"/>
      <c r="M38" s="14">
        <f t="shared" si="13"/>
        <v>5</v>
      </c>
      <c r="N38" s="22">
        <v>45562</v>
      </c>
      <c r="O38" s="23">
        <v>589.49</v>
      </c>
      <c r="P38" s="14"/>
      <c r="Q38" s="14">
        <f t="shared" si="14"/>
        <v>5</v>
      </c>
      <c r="R38" s="22">
        <v>45562</v>
      </c>
      <c r="S38" s="21">
        <v>18119.59</v>
      </c>
      <c r="T38" s="14"/>
      <c r="U38" s="14"/>
      <c r="V38" s="14">
        <v>78</v>
      </c>
      <c r="W38" s="19">
        <f t="shared" si="15"/>
        <v>5.9349684297788979E-3</v>
      </c>
      <c r="X38" s="19">
        <f t="shared" si="16"/>
        <v>0.13257761603474538</v>
      </c>
      <c r="Y38" s="19">
        <f t="shared" si="17"/>
        <v>6.8589303425650491E-2</v>
      </c>
      <c r="Z38" s="19">
        <f t="shared" si="18"/>
        <v>2.6968171286214558E-2</v>
      </c>
      <c r="AA38" s="19">
        <f t="shared" si="19"/>
        <v>9.542397282865496E-3</v>
      </c>
    </row>
    <row r="39" spans="1:27" x14ac:dyDescent="0.3">
      <c r="A39" s="14">
        <f t="shared" si="10"/>
        <v>5</v>
      </c>
      <c r="B39" s="20">
        <v>45555</v>
      </c>
      <c r="C39" s="21">
        <v>42063.3577</v>
      </c>
      <c r="D39" s="14"/>
      <c r="E39" s="14">
        <f t="shared" si="11"/>
        <v>5</v>
      </c>
      <c r="F39" s="22">
        <v>45555</v>
      </c>
      <c r="G39" s="21">
        <v>2343.91</v>
      </c>
      <c r="H39" s="14"/>
      <c r="I39" s="14">
        <f t="shared" si="12"/>
        <v>5</v>
      </c>
      <c r="J39" s="22">
        <v>45555</v>
      </c>
      <c r="K39" s="23">
        <v>262.14</v>
      </c>
      <c r="L39" s="14"/>
      <c r="M39" s="14">
        <f t="shared" si="13"/>
        <v>5</v>
      </c>
      <c r="N39" s="22">
        <v>45555</v>
      </c>
      <c r="O39" s="23">
        <v>574.01</v>
      </c>
      <c r="P39" s="14"/>
      <c r="Q39" s="14">
        <f t="shared" si="14"/>
        <v>5</v>
      </c>
      <c r="R39" s="22">
        <v>45555</v>
      </c>
      <c r="S39" s="21">
        <v>17948.32</v>
      </c>
      <c r="T39" s="14"/>
      <c r="U39" s="14"/>
      <c r="V39" s="14">
        <v>77</v>
      </c>
      <c r="W39" s="19">
        <f t="shared" si="15"/>
        <v>1.6175696658457826E-2</v>
      </c>
      <c r="X39" s="19">
        <f t="shared" si="16"/>
        <v>5.2411569787803425E-2</v>
      </c>
      <c r="Y39" s="19">
        <f t="shared" si="17"/>
        <v>9.08461005466169E-3</v>
      </c>
      <c r="Z39" s="19">
        <f t="shared" si="18"/>
        <v>4.4446777608622735E-3</v>
      </c>
      <c r="AA39" s="19">
        <f t="shared" si="19"/>
        <v>1.49479924768067E-2</v>
      </c>
    </row>
    <row r="40" spans="1:27" x14ac:dyDescent="0.3">
      <c r="A40" s="14">
        <f t="shared" si="10"/>
        <v>5</v>
      </c>
      <c r="B40" s="20">
        <v>45548</v>
      </c>
      <c r="C40" s="21">
        <v>41393.784399999997</v>
      </c>
      <c r="D40" s="14"/>
      <c r="E40" s="14">
        <f t="shared" si="11"/>
        <v>5</v>
      </c>
      <c r="F40" s="22">
        <v>45548</v>
      </c>
      <c r="G40" s="21">
        <v>2227.1799999999998</v>
      </c>
      <c r="H40" s="14"/>
      <c r="I40" s="14">
        <f t="shared" si="12"/>
        <v>5</v>
      </c>
      <c r="J40" s="22">
        <v>45548</v>
      </c>
      <c r="K40" s="23">
        <v>259.77999999999997</v>
      </c>
      <c r="L40" s="14"/>
      <c r="M40" s="14">
        <f t="shared" si="13"/>
        <v>5</v>
      </c>
      <c r="N40" s="22">
        <v>45548</v>
      </c>
      <c r="O40" s="23">
        <v>571.47</v>
      </c>
      <c r="P40" s="14"/>
      <c r="Q40" s="14">
        <f t="shared" si="14"/>
        <v>5</v>
      </c>
      <c r="R40" s="22">
        <v>45548</v>
      </c>
      <c r="S40" s="21">
        <v>17683.98</v>
      </c>
      <c r="T40" s="14"/>
      <c r="U40" s="14"/>
      <c r="V40" s="14">
        <v>76</v>
      </c>
      <c r="W40" s="19">
        <f t="shared" si="15"/>
        <v>2.5985024119721225E-2</v>
      </c>
      <c r="X40" s="19">
        <f t="shared" si="16"/>
        <v>-5.0391787210851214E-3</v>
      </c>
      <c r="Y40" s="19">
        <f t="shared" si="17"/>
        <v>1.5598733335939563E-2</v>
      </c>
      <c r="Z40" s="19">
        <f t="shared" si="18"/>
        <v>1.7901036657048321E-2</v>
      </c>
      <c r="AA40" s="19">
        <f t="shared" si="19"/>
        <v>5.9502732937786657E-2</v>
      </c>
    </row>
    <row r="41" spans="1:27" x14ac:dyDescent="0.3">
      <c r="A41" s="14">
        <f t="shared" si="10"/>
        <v>5</v>
      </c>
      <c r="B41" s="20">
        <v>45541</v>
      </c>
      <c r="C41" s="21">
        <v>40345.408000000003</v>
      </c>
      <c r="D41" s="14"/>
      <c r="E41" s="14">
        <f t="shared" si="11"/>
        <v>4</v>
      </c>
      <c r="F41" s="25">
        <v>45540</v>
      </c>
      <c r="G41" s="26">
        <v>2238.46</v>
      </c>
      <c r="H41" s="14"/>
      <c r="I41" s="14">
        <f t="shared" si="12"/>
        <v>5</v>
      </c>
      <c r="J41" s="22">
        <v>45541</v>
      </c>
      <c r="K41" s="23">
        <v>255.79</v>
      </c>
      <c r="L41" s="14"/>
      <c r="M41" s="14">
        <f t="shared" si="13"/>
        <v>5</v>
      </c>
      <c r="N41" s="22">
        <v>45541</v>
      </c>
      <c r="O41" s="23">
        <v>561.41999999999996</v>
      </c>
      <c r="P41" s="14"/>
      <c r="Q41" s="14">
        <f t="shared" si="14"/>
        <v>5</v>
      </c>
      <c r="R41" s="22">
        <v>45541</v>
      </c>
      <c r="S41" s="21">
        <v>16690.830000000002</v>
      </c>
      <c r="T41" s="14"/>
      <c r="U41" s="14"/>
      <c r="V41" s="14">
        <v>75</v>
      </c>
      <c r="W41" s="19">
        <f t="shared" si="15"/>
        <v>-2.9297030322069737E-2</v>
      </c>
      <c r="X41" s="19">
        <f t="shared" si="16"/>
        <v>-2.974743074609144E-2</v>
      </c>
      <c r="Y41" s="19">
        <f t="shared" si="17"/>
        <v>-3.2637470690568125E-2</v>
      </c>
      <c r="Z41" s="19">
        <f t="shared" si="18"/>
        <v>-3.2067859728974905E-2</v>
      </c>
      <c r="AA41" s="19">
        <f t="shared" si="19"/>
        <v>-5.7740315079582674E-2</v>
      </c>
    </row>
    <row r="42" spans="1:27" x14ac:dyDescent="0.3">
      <c r="A42" s="14">
        <f t="shared" si="10"/>
        <v>5</v>
      </c>
      <c r="B42" s="20">
        <v>45534</v>
      </c>
      <c r="C42" s="21">
        <v>41563.082900000001</v>
      </c>
      <c r="D42" s="14"/>
      <c r="E42" s="14">
        <f t="shared" si="11"/>
        <v>5</v>
      </c>
      <c r="F42" s="22">
        <v>45534</v>
      </c>
      <c r="G42" s="21">
        <v>2307.09</v>
      </c>
      <c r="H42" s="14"/>
      <c r="I42" s="14">
        <f t="shared" si="12"/>
        <v>5</v>
      </c>
      <c r="J42" s="22">
        <v>45534</v>
      </c>
      <c r="K42" s="23">
        <v>264.42</v>
      </c>
      <c r="L42" s="14"/>
      <c r="M42" s="14">
        <f t="shared" si="13"/>
        <v>5</v>
      </c>
      <c r="N42" s="22">
        <v>45534</v>
      </c>
      <c r="O42" s="23">
        <v>580.02</v>
      </c>
      <c r="P42" s="14"/>
      <c r="Q42" s="14">
        <f t="shared" si="14"/>
        <v>5</v>
      </c>
      <c r="R42" s="22">
        <v>45534</v>
      </c>
      <c r="S42" s="21">
        <v>17713.62</v>
      </c>
      <c r="T42" s="14"/>
      <c r="U42" s="14"/>
      <c r="V42" s="14">
        <v>74</v>
      </c>
      <c r="W42" s="19">
        <f t="shared" si="15"/>
        <v>9.4231845194239616E-3</v>
      </c>
      <c r="X42" s="19">
        <f t="shared" si="16"/>
        <v>2.1157089174032633E-2</v>
      </c>
      <c r="Y42" s="19">
        <f t="shared" si="17"/>
        <v>-4.9672612327838987E-3</v>
      </c>
      <c r="Z42" s="19">
        <f t="shared" si="18"/>
        <v>4.1395011901067491E-4</v>
      </c>
      <c r="AA42" s="19">
        <f t="shared" si="19"/>
        <v>-9.182902360974252E-3</v>
      </c>
    </row>
    <row r="43" spans="1:27" x14ac:dyDescent="0.3">
      <c r="A43" s="14">
        <f t="shared" si="10"/>
        <v>5</v>
      </c>
      <c r="B43" s="20">
        <v>45527</v>
      </c>
      <c r="C43" s="21">
        <v>41175.082499999997</v>
      </c>
      <c r="D43" s="14"/>
      <c r="E43" s="14">
        <f t="shared" si="11"/>
        <v>5</v>
      </c>
      <c r="F43" s="22">
        <v>45527</v>
      </c>
      <c r="G43" s="21">
        <v>2259.29</v>
      </c>
      <c r="H43" s="14"/>
      <c r="I43" s="14">
        <f t="shared" si="12"/>
        <v>5</v>
      </c>
      <c r="J43" s="22">
        <v>45527</v>
      </c>
      <c r="K43" s="23">
        <v>265.74</v>
      </c>
      <c r="L43" s="14"/>
      <c r="M43" s="14">
        <f t="shared" si="13"/>
        <v>5</v>
      </c>
      <c r="N43" s="22">
        <v>45527</v>
      </c>
      <c r="O43" s="23">
        <v>579.78</v>
      </c>
      <c r="P43" s="14"/>
      <c r="Q43" s="14">
        <f t="shared" si="14"/>
        <v>5</v>
      </c>
      <c r="R43" s="22">
        <v>45527</v>
      </c>
      <c r="S43" s="21">
        <v>17877.79</v>
      </c>
      <c r="T43" s="14"/>
      <c r="U43" s="14"/>
      <c r="V43" s="14">
        <v>73</v>
      </c>
      <c r="W43" s="19">
        <f t="shared" si="15"/>
        <v>1.2673935069366184E-2</v>
      </c>
      <c r="X43" s="19">
        <f t="shared" si="16"/>
        <v>1.029392694084345E-2</v>
      </c>
      <c r="Y43" s="19">
        <f t="shared" si="17"/>
        <v>3.0359427707339705E-2</v>
      </c>
      <c r="Z43" s="19">
        <f t="shared" si="18"/>
        <v>2.7924046593266316E-2</v>
      </c>
      <c r="AA43" s="19">
        <f t="shared" si="19"/>
        <v>1.3956097306445411E-2</v>
      </c>
    </row>
    <row r="44" spans="1:27" x14ac:dyDescent="0.3">
      <c r="A44" s="14">
        <f t="shared" si="10"/>
        <v>5</v>
      </c>
      <c r="B44" s="20">
        <v>45520</v>
      </c>
      <c r="C44" s="21">
        <v>40659.763299999999</v>
      </c>
      <c r="D44" s="14"/>
      <c r="E44" s="14">
        <f t="shared" si="11"/>
        <v>5</v>
      </c>
      <c r="F44" s="22">
        <v>45520</v>
      </c>
      <c r="G44" s="21">
        <v>2236.27</v>
      </c>
      <c r="H44" s="14"/>
      <c r="I44" s="14">
        <f t="shared" si="12"/>
        <v>5</v>
      </c>
      <c r="J44" s="22">
        <v>45520</v>
      </c>
      <c r="K44" s="23">
        <v>257.91000000000003</v>
      </c>
      <c r="L44" s="14"/>
      <c r="M44" s="14">
        <f t="shared" si="13"/>
        <v>5</v>
      </c>
      <c r="N44" s="22">
        <v>45520</v>
      </c>
      <c r="O44" s="23">
        <v>564.03</v>
      </c>
      <c r="P44" s="14"/>
      <c r="Q44" s="14">
        <f t="shared" si="14"/>
        <v>5</v>
      </c>
      <c r="R44" s="22">
        <v>45520</v>
      </c>
      <c r="S44" s="21">
        <v>17631.72</v>
      </c>
      <c r="T44" s="14"/>
      <c r="U44" s="14"/>
      <c r="V44" s="14">
        <v>72</v>
      </c>
      <c r="W44" s="19">
        <f t="shared" si="15"/>
        <v>2.9425316705453834E-2</v>
      </c>
      <c r="X44" s="19">
        <f t="shared" si="16"/>
        <v>2.0307880424863926E-2</v>
      </c>
      <c r="Y44" s="19">
        <f t="shared" si="17"/>
        <v>7.9573043114273836E-2</v>
      </c>
      <c r="Z44" s="19">
        <f t="shared" si="18"/>
        <v>3.5088363215943927E-2</v>
      </c>
      <c r="AA44" s="19">
        <f t="shared" si="19"/>
        <v>5.2935450544331956E-2</v>
      </c>
    </row>
    <row r="45" spans="1:27" x14ac:dyDescent="0.3">
      <c r="A45" s="14">
        <f t="shared" si="10"/>
        <v>5</v>
      </c>
      <c r="B45" s="20">
        <v>45513</v>
      </c>
      <c r="C45" s="21">
        <v>39497.535799999998</v>
      </c>
      <c r="D45" s="14"/>
      <c r="E45" s="14">
        <f t="shared" si="11"/>
        <v>5</v>
      </c>
      <c r="F45" s="22">
        <v>45513</v>
      </c>
      <c r="G45" s="21">
        <v>2191.7600000000002</v>
      </c>
      <c r="H45" s="14"/>
      <c r="I45" s="14">
        <f t="shared" si="12"/>
        <v>5</v>
      </c>
      <c r="J45" s="22">
        <v>45513</v>
      </c>
      <c r="K45" s="23">
        <v>238.9</v>
      </c>
      <c r="L45" s="14"/>
      <c r="M45" s="14">
        <f t="shared" si="13"/>
        <v>5</v>
      </c>
      <c r="N45" s="22">
        <v>45513</v>
      </c>
      <c r="O45" s="23">
        <v>544.91</v>
      </c>
      <c r="P45" s="14"/>
      <c r="Q45" s="14">
        <f t="shared" si="14"/>
        <v>5</v>
      </c>
      <c r="R45" s="22">
        <v>45513</v>
      </c>
      <c r="S45" s="21">
        <v>16745.3</v>
      </c>
      <c r="T45" s="14"/>
      <c r="U45" s="14"/>
      <c r="V45" s="14">
        <v>71</v>
      </c>
      <c r="W45" s="19">
        <f t="shared" si="15"/>
        <v>-6.0327409989240572E-3</v>
      </c>
      <c r="X45" s="19">
        <f t="shared" si="16"/>
        <v>9.6647288071568822E-3</v>
      </c>
      <c r="Y45" s="19">
        <f t="shared" si="17"/>
        <v>-2.5096918996123263E-2</v>
      </c>
      <c r="Z45" s="19">
        <f t="shared" si="18"/>
        <v>3.4250989779946854E-3</v>
      </c>
      <c r="AA45" s="19">
        <f t="shared" si="19"/>
        <v>-1.8395151214581037E-3</v>
      </c>
    </row>
    <row r="46" spans="1:27" x14ac:dyDescent="0.3">
      <c r="A46" s="14">
        <f t="shared" si="10"/>
        <v>5</v>
      </c>
      <c r="B46" s="20">
        <v>45506</v>
      </c>
      <c r="C46" s="21">
        <v>39737.260399999999</v>
      </c>
      <c r="D46" s="14"/>
      <c r="E46" s="14">
        <f t="shared" si="11"/>
        <v>5</v>
      </c>
      <c r="F46" s="22">
        <v>45506</v>
      </c>
      <c r="G46" s="21">
        <v>2170.7800000000002</v>
      </c>
      <c r="H46" s="14"/>
      <c r="I46" s="14">
        <f t="shared" si="12"/>
        <v>5</v>
      </c>
      <c r="J46" s="22">
        <v>45506</v>
      </c>
      <c r="K46" s="23">
        <v>245.05</v>
      </c>
      <c r="L46" s="14"/>
      <c r="M46" s="14">
        <f t="shared" si="13"/>
        <v>5</v>
      </c>
      <c r="N46" s="22">
        <v>45506</v>
      </c>
      <c r="O46" s="23">
        <v>543.04999999999995</v>
      </c>
      <c r="P46" s="14"/>
      <c r="Q46" s="14">
        <f t="shared" si="14"/>
        <v>5</v>
      </c>
      <c r="R46" s="22">
        <v>45506</v>
      </c>
      <c r="S46" s="21">
        <v>16776.16</v>
      </c>
      <c r="T46" s="14"/>
      <c r="U46" s="14"/>
      <c r="V46" s="14">
        <v>70</v>
      </c>
      <c r="W46" s="19">
        <f t="shared" si="15"/>
        <v>-2.0992626605393361E-2</v>
      </c>
      <c r="X46" s="19">
        <f t="shared" si="16"/>
        <v>-4.3983360622278289E-3</v>
      </c>
      <c r="Y46" s="19">
        <f t="shared" si="17"/>
        <v>4.0809663728449753E-5</v>
      </c>
      <c r="Z46" s="19">
        <f t="shared" si="18"/>
        <v>-2.4659650131111065E-2</v>
      </c>
      <c r="AA46" s="19">
        <f t="shared" si="19"/>
        <v>-3.3513309229007297E-2</v>
      </c>
    </row>
    <row r="47" spans="1:27" x14ac:dyDescent="0.3">
      <c r="A47" s="14">
        <f t="shared" si="10"/>
        <v>5</v>
      </c>
      <c r="B47" s="20">
        <v>45499</v>
      </c>
      <c r="C47" s="21">
        <v>40589.337200000002</v>
      </c>
      <c r="D47" s="14"/>
      <c r="E47" s="14">
        <f t="shared" si="11"/>
        <v>5</v>
      </c>
      <c r="F47" s="22">
        <v>45499</v>
      </c>
      <c r="G47" s="21">
        <v>2180.37</v>
      </c>
      <c r="H47" s="14"/>
      <c r="I47" s="14">
        <f t="shared" si="12"/>
        <v>5</v>
      </c>
      <c r="J47" s="22">
        <v>45499</v>
      </c>
      <c r="K47" s="23">
        <v>245.04</v>
      </c>
      <c r="L47" s="14"/>
      <c r="M47" s="14">
        <f t="shared" si="13"/>
        <v>5</v>
      </c>
      <c r="N47" s="22">
        <v>45499</v>
      </c>
      <c r="O47" s="23">
        <v>556.78</v>
      </c>
      <c r="P47" s="14"/>
      <c r="Q47" s="14">
        <f t="shared" si="14"/>
        <v>5</v>
      </c>
      <c r="R47" s="22">
        <v>45499</v>
      </c>
      <c r="S47" s="21">
        <v>17357.88</v>
      </c>
      <c r="T47" s="14"/>
      <c r="U47" s="14"/>
      <c r="V47" s="14">
        <v>69</v>
      </c>
      <c r="W47" s="19">
        <f t="shared" si="15"/>
        <v>7.4913329446886839E-3</v>
      </c>
      <c r="X47" s="19">
        <f t="shared" si="16"/>
        <v>-2.232136851781279E-2</v>
      </c>
      <c r="Y47" s="19">
        <f t="shared" si="17"/>
        <v>-3.6754589409961062E-2</v>
      </c>
      <c r="Z47" s="19">
        <f t="shared" si="18"/>
        <v>3.6412142187612333E-3</v>
      </c>
      <c r="AA47" s="19">
        <f t="shared" si="19"/>
        <v>-2.0819159990387383E-2</v>
      </c>
    </row>
    <row r="48" spans="1:27" x14ac:dyDescent="0.3">
      <c r="A48" s="14">
        <f t="shared" si="10"/>
        <v>5</v>
      </c>
      <c r="B48" s="20">
        <v>45492</v>
      </c>
      <c r="C48" s="21">
        <v>40287.529900000001</v>
      </c>
      <c r="D48" s="14"/>
      <c r="E48" s="14">
        <f t="shared" si="11"/>
        <v>5</v>
      </c>
      <c r="F48" s="22">
        <v>45492</v>
      </c>
      <c r="G48" s="21">
        <v>2230.15</v>
      </c>
      <c r="H48" s="14"/>
      <c r="I48" s="14">
        <f t="shared" si="12"/>
        <v>5</v>
      </c>
      <c r="J48" s="22">
        <v>45492</v>
      </c>
      <c r="K48" s="23">
        <v>254.39</v>
      </c>
      <c r="L48" s="14"/>
      <c r="M48" s="14">
        <f t="shared" si="13"/>
        <v>5</v>
      </c>
      <c r="N48" s="22">
        <v>45492</v>
      </c>
      <c r="O48" s="23">
        <v>554.76</v>
      </c>
      <c r="P48" s="14"/>
      <c r="Q48" s="14">
        <f t="shared" si="14"/>
        <v>5</v>
      </c>
      <c r="R48" s="22">
        <v>45492</v>
      </c>
      <c r="S48" s="21">
        <v>17726.939999999999</v>
      </c>
      <c r="T48" s="14"/>
      <c r="U48" s="14"/>
      <c r="V48" s="14">
        <v>68</v>
      </c>
      <c r="W48" s="19">
        <f t="shared" si="15"/>
        <v>7.1656265600275404E-3</v>
      </c>
      <c r="X48" s="19">
        <f t="shared" si="16"/>
        <v>-4.8209431055306846E-2</v>
      </c>
      <c r="Y48" s="19">
        <f t="shared" si="17"/>
        <v>-2.4877338239803776E-2</v>
      </c>
      <c r="Z48" s="19">
        <f t="shared" si="18"/>
        <v>-2.9393239554902296E-2</v>
      </c>
      <c r="AA48" s="19">
        <f t="shared" si="19"/>
        <v>-3.6498183270873473E-2</v>
      </c>
    </row>
    <row r="49" spans="1:27" x14ac:dyDescent="0.3">
      <c r="A49" s="14">
        <f t="shared" si="10"/>
        <v>5</v>
      </c>
      <c r="B49" s="20">
        <v>45485</v>
      </c>
      <c r="C49" s="21">
        <v>40000.898399999998</v>
      </c>
      <c r="D49" s="14"/>
      <c r="E49" s="14">
        <f t="shared" si="11"/>
        <v>5</v>
      </c>
      <c r="F49" s="22">
        <v>45485</v>
      </c>
      <c r="G49" s="21">
        <v>2343.11</v>
      </c>
      <c r="H49" s="14"/>
      <c r="I49" s="14">
        <f t="shared" si="12"/>
        <v>5</v>
      </c>
      <c r="J49" s="22">
        <v>45485</v>
      </c>
      <c r="K49" s="23">
        <v>260.88</v>
      </c>
      <c r="L49" s="14"/>
      <c r="M49" s="14">
        <f t="shared" si="13"/>
        <v>5</v>
      </c>
      <c r="N49" s="22">
        <v>45485</v>
      </c>
      <c r="O49" s="23">
        <v>571.55999999999995</v>
      </c>
      <c r="P49" s="14"/>
      <c r="Q49" s="14">
        <f t="shared" si="14"/>
        <v>5</v>
      </c>
      <c r="R49" s="22">
        <v>45485</v>
      </c>
      <c r="S49" s="21">
        <v>18398.45</v>
      </c>
      <c r="T49" s="14"/>
      <c r="U49" s="14"/>
      <c r="V49" s="14">
        <v>67</v>
      </c>
      <c r="W49" s="19">
        <f t="shared" si="15"/>
        <v>1.5873466394716946E-2</v>
      </c>
      <c r="X49" s="19">
        <f t="shared" si="16"/>
        <v>2.8478248464817033E-2</v>
      </c>
      <c r="Y49" s="19">
        <f t="shared" si="17"/>
        <v>2.482715273412945E-2</v>
      </c>
      <c r="Z49" s="19">
        <f t="shared" si="18"/>
        <v>2.1025741796030624E-2</v>
      </c>
      <c r="AA49" s="19">
        <f t="shared" si="19"/>
        <v>2.4895438070351452E-3</v>
      </c>
    </row>
    <row r="50" spans="1:27" x14ac:dyDescent="0.3">
      <c r="A50" s="14">
        <f t="shared" si="10"/>
        <v>5</v>
      </c>
      <c r="B50" s="20">
        <v>45478</v>
      </c>
      <c r="C50" s="21">
        <v>39375.866900000001</v>
      </c>
      <c r="D50" s="14"/>
      <c r="E50" s="14">
        <f t="shared" si="11"/>
        <v>5</v>
      </c>
      <c r="F50" s="22">
        <v>45478</v>
      </c>
      <c r="G50" s="21">
        <v>2278.23</v>
      </c>
      <c r="H50" s="14"/>
      <c r="I50" s="14">
        <f t="shared" si="12"/>
        <v>5</v>
      </c>
      <c r="J50" s="22">
        <v>45478</v>
      </c>
      <c r="K50" s="23">
        <v>254.56</v>
      </c>
      <c r="L50" s="14"/>
      <c r="M50" s="14">
        <f t="shared" si="13"/>
        <v>5</v>
      </c>
      <c r="N50" s="22">
        <v>45478</v>
      </c>
      <c r="O50" s="23">
        <v>559.79</v>
      </c>
      <c r="P50" s="14"/>
      <c r="Q50" s="14">
        <f t="shared" si="14"/>
        <v>5</v>
      </c>
      <c r="R50" s="22">
        <v>45478</v>
      </c>
      <c r="S50" s="21">
        <v>18352.759999999998</v>
      </c>
      <c r="T50" s="14"/>
      <c r="U50" s="14"/>
      <c r="V50" s="14">
        <v>66</v>
      </c>
      <c r="W50" s="19">
        <f t="shared" si="15"/>
        <v>6.5697894163296603E-3</v>
      </c>
      <c r="X50" s="19">
        <f t="shared" si="16"/>
        <v>3.9395581878032574E-3</v>
      </c>
      <c r="Y50" s="19">
        <f t="shared" si="17"/>
        <v>3.4292215179587186E-2</v>
      </c>
      <c r="Z50" s="19">
        <f t="shared" si="18"/>
        <v>2.1738336862086531E-2</v>
      </c>
      <c r="AA50" s="19">
        <f t="shared" si="19"/>
        <v>3.497287481813157E-2</v>
      </c>
    </row>
    <row r="51" spans="1:27" x14ac:dyDescent="0.3">
      <c r="A51" s="14">
        <f t="shared" si="10"/>
        <v>5</v>
      </c>
      <c r="B51" s="20">
        <v>45471</v>
      </c>
      <c r="C51" s="21">
        <v>39118.864200000004</v>
      </c>
      <c r="D51" s="14"/>
      <c r="E51" s="14">
        <f t="shared" si="11"/>
        <v>5</v>
      </c>
      <c r="F51" s="22">
        <v>45471</v>
      </c>
      <c r="G51" s="21">
        <v>2269.29</v>
      </c>
      <c r="H51" s="14"/>
      <c r="I51" s="14">
        <f t="shared" si="12"/>
        <v>5</v>
      </c>
      <c r="J51" s="22">
        <v>45471</v>
      </c>
      <c r="K51" s="23">
        <v>246.12</v>
      </c>
      <c r="L51" s="14"/>
      <c r="M51" s="14">
        <f t="shared" si="13"/>
        <v>5</v>
      </c>
      <c r="N51" s="22">
        <v>45471</v>
      </c>
      <c r="O51" s="23">
        <v>547.88</v>
      </c>
      <c r="P51" s="14"/>
      <c r="Q51" s="14">
        <f t="shared" si="14"/>
        <v>5</v>
      </c>
      <c r="R51" s="22">
        <v>45471</v>
      </c>
      <c r="S51" s="21">
        <v>17732.599999999999</v>
      </c>
      <c r="T51" s="14"/>
      <c r="U51" s="14"/>
      <c r="V51" s="14">
        <v>65</v>
      </c>
      <c r="W51" s="19">
        <f t="shared" si="15"/>
        <v>-8.0378372060108442E-4</v>
      </c>
      <c r="X51" s="19">
        <f t="shared" si="16"/>
        <v>-1.7478763107989875E-2</v>
      </c>
      <c r="Y51" s="19">
        <f t="shared" si="17"/>
        <v>1.8961662664569067E-2</v>
      </c>
      <c r="Z51" s="19">
        <f t="shared" si="18"/>
        <v>-5.1207554022154531E-3</v>
      </c>
      <c r="AA51" s="19">
        <f t="shared" si="19"/>
        <v>2.4444072595050338E-3</v>
      </c>
    </row>
    <row r="52" spans="1:27" x14ac:dyDescent="0.3">
      <c r="A52" s="14">
        <f t="shared" si="10"/>
        <v>5</v>
      </c>
      <c r="B52" s="20">
        <v>45464</v>
      </c>
      <c r="C52" s="21">
        <v>39150.332600000002</v>
      </c>
      <c r="D52" s="14"/>
      <c r="E52" s="14">
        <f t="shared" si="11"/>
        <v>5</v>
      </c>
      <c r="F52" s="22">
        <v>45464</v>
      </c>
      <c r="G52" s="21">
        <v>2309.66</v>
      </c>
      <c r="H52" s="14"/>
      <c r="I52" s="14">
        <f t="shared" si="12"/>
        <v>5</v>
      </c>
      <c r="J52" s="22">
        <v>45464</v>
      </c>
      <c r="K52" s="23">
        <v>241.54</v>
      </c>
      <c r="L52" s="14"/>
      <c r="M52" s="14">
        <f t="shared" si="13"/>
        <v>5</v>
      </c>
      <c r="N52" s="22">
        <v>45464</v>
      </c>
      <c r="O52" s="23">
        <v>550.70000000000005</v>
      </c>
      <c r="P52" s="14"/>
      <c r="Q52" s="14">
        <f t="shared" si="14"/>
        <v>5</v>
      </c>
      <c r="R52" s="22">
        <v>45464</v>
      </c>
      <c r="S52" s="21">
        <v>17689.36</v>
      </c>
      <c r="T52" s="14"/>
      <c r="U52" s="14"/>
      <c r="V52" s="14">
        <v>64</v>
      </c>
      <c r="W52" s="19">
        <f t="shared" si="15"/>
        <v>1.454229723843474E-2</v>
      </c>
      <c r="X52" s="19">
        <f t="shared" si="16"/>
        <v>5.4633866031664688E-3</v>
      </c>
      <c r="Y52" s="19">
        <f t="shared" si="17"/>
        <v>-2.0717616055138915E-2</v>
      </c>
      <c r="Z52" s="19">
        <f t="shared" si="18"/>
        <v>7.0955707545444485E-3</v>
      </c>
      <c r="AA52" s="19">
        <f t="shared" si="19"/>
        <v>2.7135692027961262E-5</v>
      </c>
    </row>
    <row r="53" spans="1:27" x14ac:dyDescent="0.3">
      <c r="A53" s="14">
        <f t="shared" si="10"/>
        <v>5</v>
      </c>
      <c r="B53" s="20">
        <v>45457</v>
      </c>
      <c r="C53" s="21">
        <v>38589.157599999999</v>
      </c>
      <c r="D53" s="14"/>
      <c r="E53" s="14">
        <f t="shared" si="11"/>
        <v>5</v>
      </c>
      <c r="F53" s="22">
        <v>45457</v>
      </c>
      <c r="G53" s="21">
        <v>2297.11</v>
      </c>
      <c r="H53" s="14"/>
      <c r="I53" s="14">
        <f t="shared" si="12"/>
        <v>5</v>
      </c>
      <c r="J53" s="22">
        <v>45457</v>
      </c>
      <c r="K53" s="23">
        <v>246.65</v>
      </c>
      <c r="L53" s="14"/>
      <c r="M53" s="14">
        <f t="shared" si="13"/>
        <v>5</v>
      </c>
      <c r="N53" s="22">
        <v>45457</v>
      </c>
      <c r="O53" s="23">
        <v>546.82000000000005</v>
      </c>
      <c r="P53" s="14"/>
      <c r="Q53" s="14">
        <f t="shared" si="14"/>
        <v>5</v>
      </c>
      <c r="R53" s="22">
        <v>45457</v>
      </c>
      <c r="S53" s="21">
        <v>17688.88</v>
      </c>
      <c r="T53" s="14"/>
      <c r="U53" s="14"/>
      <c r="V53" s="14">
        <v>63</v>
      </c>
      <c r="W53" s="19">
        <f t="shared" si="15"/>
        <v>-5.4082051438941754E-3</v>
      </c>
      <c r="X53" s="19">
        <f t="shared" si="16"/>
        <v>-2.2996963226975267E-2</v>
      </c>
      <c r="Y53" s="19">
        <f t="shared" si="17"/>
        <v>-8.9115728926154999E-4</v>
      </c>
      <c r="Z53" s="19">
        <f t="shared" si="18"/>
        <v>-3.2913004262242723E-2</v>
      </c>
      <c r="AA53" s="19">
        <f t="shared" si="19"/>
        <v>3.2437155382583335E-2</v>
      </c>
    </row>
    <row r="54" spans="1:27" x14ac:dyDescent="0.3">
      <c r="A54" s="14">
        <f t="shared" si="10"/>
        <v>5</v>
      </c>
      <c r="B54" s="20">
        <v>45450</v>
      </c>
      <c r="C54" s="21">
        <v>38798.9905</v>
      </c>
      <c r="D54" s="14"/>
      <c r="E54" s="14">
        <f t="shared" si="11"/>
        <v>5</v>
      </c>
      <c r="F54" s="22">
        <v>45450</v>
      </c>
      <c r="G54" s="21">
        <v>2351.1799999999998</v>
      </c>
      <c r="H54" s="14"/>
      <c r="I54" s="14">
        <f t="shared" si="12"/>
        <v>5</v>
      </c>
      <c r="J54" s="22">
        <v>45450</v>
      </c>
      <c r="K54" s="23">
        <v>246.87</v>
      </c>
      <c r="L54" s="14"/>
      <c r="M54" s="14">
        <f t="shared" si="13"/>
        <v>5</v>
      </c>
      <c r="N54" s="22">
        <v>45450</v>
      </c>
      <c r="O54" s="23">
        <v>565.42999999999995</v>
      </c>
      <c r="P54" s="14"/>
      <c r="Q54" s="14">
        <f t="shared" si="14"/>
        <v>5</v>
      </c>
      <c r="R54" s="22">
        <v>45450</v>
      </c>
      <c r="S54" s="21">
        <v>17133.13</v>
      </c>
      <c r="T54" s="14"/>
      <c r="U54" s="14"/>
      <c r="V54" s="14">
        <v>62</v>
      </c>
      <c r="W54" s="19">
        <f t="shared" si="15"/>
        <v>2.9123626766905755E-3</v>
      </c>
      <c r="X54" s="19">
        <f t="shared" si="16"/>
        <v>1.679244059074099E-2</v>
      </c>
      <c r="Y54" s="19">
        <f t="shared" si="17"/>
        <v>9.0329436769394592E-3</v>
      </c>
      <c r="Z54" s="19">
        <f t="shared" si="18"/>
        <v>6.550956831330574E-3</v>
      </c>
      <c r="AA54" s="19">
        <f t="shared" si="19"/>
        <v>2.3789036403900357E-2</v>
      </c>
    </row>
    <row r="55" spans="1:27" x14ac:dyDescent="0.3">
      <c r="A55" s="14">
        <f t="shared" si="10"/>
        <v>5</v>
      </c>
      <c r="B55" s="20">
        <v>45443</v>
      </c>
      <c r="C55" s="21">
        <v>38686.321900000003</v>
      </c>
      <c r="D55" s="14"/>
      <c r="E55" s="14">
        <f t="shared" si="11"/>
        <v>5</v>
      </c>
      <c r="F55" s="22">
        <v>45443</v>
      </c>
      <c r="G55" s="21">
        <v>2312.35</v>
      </c>
      <c r="H55" s="14"/>
      <c r="I55" s="14">
        <f t="shared" si="12"/>
        <v>5</v>
      </c>
      <c r="J55" s="22">
        <v>45443</v>
      </c>
      <c r="K55" s="23">
        <v>244.66</v>
      </c>
      <c r="L55" s="14"/>
      <c r="M55" s="14">
        <f t="shared" si="13"/>
        <v>5</v>
      </c>
      <c r="N55" s="22">
        <v>45443</v>
      </c>
      <c r="O55" s="23">
        <v>561.75</v>
      </c>
      <c r="P55" s="14"/>
      <c r="Q55" s="14">
        <f t="shared" si="14"/>
        <v>5</v>
      </c>
      <c r="R55" s="22">
        <v>45443</v>
      </c>
      <c r="S55" s="21">
        <v>16735.02</v>
      </c>
      <c r="T55" s="14"/>
      <c r="U55" s="14"/>
      <c r="V55" s="14">
        <v>61</v>
      </c>
      <c r="W55" s="19">
        <f t="shared" si="15"/>
        <v>-9.8099385844113447E-3</v>
      </c>
      <c r="X55" s="19">
        <f t="shared" si="16"/>
        <v>-2.9244209722041597E-2</v>
      </c>
      <c r="Y55" s="19">
        <f t="shared" si="17"/>
        <v>-6.1339724580574033E-3</v>
      </c>
      <c r="Z55" s="19">
        <f t="shared" si="18"/>
        <v>-4.9773274762646052E-3</v>
      </c>
      <c r="AA55" s="19">
        <f t="shared" si="19"/>
        <v>-1.0978801817172864E-2</v>
      </c>
    </row>
    <row r="56" spans="1:27" x14ac:dyDescent="0.3">
      <c r="A56" s="14">
        <f t="shared" si="10"/>
        <v>5</v>
      </c>
      <c r="B56" s="20">
        <v>45436</v>
      </c>
      <c r="C56" s="21">
        <v>39069.592199999999</v>
      </c>
      <c r="D56" s="14"/>
      <c r="E56" s="14">
        <f t="shared" si="11"/>
        <v>5</v>
      </c>
      <c r="F56" s="22">
        <v>45436</v>
      </c>
      <c r="G56" s="21">
        <v>2382.0100000000002</v>
      </c>
      <c r="H56" s="14"/>
      <c r="I56" s="14">
        <f t="shared" si="12"/>
        <v>5</v>
      </c>
      <c r="J56" s="22">
        <v>45436</v>
      </c>
      <c r="K56" s="23">
        <v>246.17</v>
      </c>
      <c r="L56" s="14"/>
      <c r="M56" s="14">
        <f t="shared" si="13"/>
        <v>5</v>
      </c>
      <c r="N56" s="22">
        <v>45436</v>
      </c>
      <c r="O56" s="23">
        <v>564.55999999999995</v>
      </c>
      <c r="P56" s="14"/>
      <c r="Q56" s="14">
        <f t="shared" si="14"/>
        <v>5</v>
      </c>
      <c r="R56" s="22">
        <v>45436</v>
      </c>
      <c r="S56" s="21">
        <v>16920.79</v>
      </c>
      <c r="T56" s="14"/>
      <c r="U56" s="14"/>
      <c r="V56" s="14">
        <v>60</v>
      </c>
      <c r="W56" s="19">
        <f t="shared" si="15"/>
        <v>-2.3347895917316373E-2</v>
      </c>
      <c r="X56" s="19">
        <f t="shared" si="16"/>
        <v>-4.9553108291437081E-2</v>
      </c>
      <c r="Y56" s="19">
        <f t="shared" si="17"/>
        <v>-1.2158908507223119E-2</v>
      </c>
      <c r="Z56" s="19">
        <f t="shared" si="18"/>
        <v>-6.8256984026460292E-3</v>
      </c>
      <c r="AA56" s="19">
        <f t="shared" si="19"/>
        <v>1.4072900766332415E-2</v>
      </c>
    </row>
    <row r="57" spans="1:27" x14ac:dyDescent="0.3">
      <c r="A57" s="14">
        <f t="shared" si="10"/>
        <v>5</v>
      </c>
      <c r="B57" s="20">
        <v>45429</v>
      </c>
      <c r="C57" s="21">
        <v>40003.591899999999</v>
      </c>
      <c r="D57" s="14"/>
      <c r="E57" s="14">
        <f t="shared" si="11"/>
        <v>5</v>
      </c>
      <c r="F57" s="22">
        <v>45429</v>
      </c>
      <c r="G57" s="21">
        <v>2506.1999999999998</v>
      </c>
      <c r="H57" s="14"/>
      <c r="I57" s="14">
        <f t="shared" si="12"/>
        <v>5</v>
      </c>
      <c r="J57" s="22">
        <v>45429</v>
      </c>
      <c r="K57" s="23">
        <v>249.2</v>
      </c>
      <c r="L57" s="14"/>
      <c r="M57" s="14">
        <f t="shared" si="13"/>
        <v>5</v>
      </c>
      <c r="N57" s="22">
        <v>45429</v>
      </c>
      <c r="O57" s="23">
        <v>568.44000000000005</v>
      </c>
      <c r="P57" s="14"/>
      <c r="Q57" s="14">
        <f t="shared" si="14"/>
        <v>5</v>
      </c>
      <c r="R57" s="22">
        <v>45429</v>
      </c>
      <c r="S57" s="21">
        <v>16685.97</v>
      </c>
      <c r="T57" s="14"/>
      <c r="U57" s="14"/>
      <c r="V57" s="14">
        <v>59</v>
      </c>
      <c r="W57" s="19">
        <f t="shared" si="15"/>
        <v>1.2419984560463004E-2</v>
      </c>
      <c r="X57" s="19">
        <f t="shared" si="16"/>
        <v>3.2577571040694031E-2</v>
      </c>
      <c r="Y57" s="19">
        <f t="shared" si="17"/>
        <v>1.5071283095722967E-2</v>
      </c>
      <c r="Z57" s="19">
        <f t="shared" si="18"/>
        <v>1.3605320875162906E-2</v>
      </c>
      <c r="AA57" s="19">
        <f t="shared" si="19"/>
        <v>2.1118826598583818E-2</v>
      </c>
    </row>
    <row r="58" spans="1:27" x14ac:dyDescent="0.3">
      <c r="A58" s="14">
        <f t="shared" si="10"/>
        <v>5</v>
      </c>
      <c r="B58" s="20">
        <v>45422</v>
      </c>
      <c r="C58" s="21">
        <v>39512.843000000001</v>
      </c>
      <c r="D58" s="14"/>
      <c r="E58" s="14">
        <f t="shared" si="11"/>
        <v>5</v>
      </c>
      <c r="F58" s="22">
        <v>45422</v>
      </c>
      <c r="G58" s="21">
        <v>2427.13</v>
      </c>
      <c r="H58" s="14"/>
      <c r="I58" s="14">
        <f t="shared" si="12"/>
        <v>5</v>
      </c>
      <c r="J58" s="22">
        <v>45422</v>
      </c>
      <c r="K58" s="23">
        <v>245.5</v>
      </c>
      <c r="L58" s="14"/>
      <c r="M58" s="14">
        <f t="shared" si="13"/>
        <v>5</v>
      </c>
      <c r="N58" s="22">
        <v>45422</v>
      </c>
      <c r="O58" s="23">
        <v>560.80999999999995</v>
      </c>
      <c r="P58" s="14"/>
      <c r="Q58" s="14">
        <f t="shared" si="14"/>
        <v>5</v>
      </c>
      <c r="R58" s="22">
        <v>45422</v>
      </c>
      <c r="S58" s="21">
        <v>16340.87</v>
      </c>
      <c r="T58" s="14"/>
      <c r="U58" s="14"/>
      <c r="V58" s="14">
        <v>58</v>
      </c>
      <c r="W58" s="19">
        <f t="shared" si="15"/>
        <v>2.1645742681617914E-2</v>
      </c>
      <c r="X58" s="19">
        <f t="shared" si="16"/>
        <v>2.604501335858506E-2</v>
      </c>
      <c r="Y58" s="19">
        <f t="shared" si="17"/>
        <v>-1.358084217293473E-2</v>
      </c>
      <c r="Z58" s="19">
        <f t="shared" si="18"/>
        <v>3.1185069412521693E-2</v>
      </c>
      <c r="AA58" s="19">
        <f t="shared" si="19"/>
        <v>1.1422148470599504E-2</v>
      </c>
    </row>
    <row r="59" spans="1:27" x14ac:dyDescent="0.3">
      <c r="A59" s="14">
        <f t="shared" si="10"/>
        <v>5</v>
      </c>
      <c r="B59" s="20">
        <v>45415</v>
      </c>
      <c r="C59" s="21">
        <v>38675.679199999999</v>
      </c>
      <c r="D59" s="14"/>
      <c r="E59" s="14">
        <f t="shared" si="11"/>
        <v>5</v>
      </c>
      <c r="F59" s="22">
        <v>45415</v>
      </c>
      <c r="G59" s="21">
        <v>2365.52</v>
      </c>
      <c r="H59" s="14"/>
      <c r="I59" s="14">
        <f t="shared" si="12"/>
        <v>4</v>
      </c>
      <c r="J59" s="25">
        <v>45414</v>
      </c>
      <c r="K59" s="27">
        <v>248.88</v>
      </c>
      <c r="L59" s="14"/>
      <c r="M59" s="14">
        <f t="shared" si="13"/>
        <v>5</v>
      </c>
      <c r="N59" s="22">
        <v>45415</v>
      </c>
      <c r="O59" s="23">
        <v>543.85</v>
      </c>
      <c r="P59" s="14"/>
      <c r="Q59" s="14">
        <f t="shared" si="14"/>
        <v>5</v>
      </c>
      <c r="R59" s="22">
        <v>45415</v>
      </c>
      <c r="S59" s="21">
        <v>16156.33</v>
      </c>
      <c r="T59" s="14"/>
      <c r="U59" s="14"/>
      <c r="V59" s="14">
        <v>57</v>
      </c>
      <c r="W59" s="19">
        <f t="shared" si="15"/>
        <v>1.1402409357511198E-2</v>
      </c>
      <c r="X59" s="19">
        <f t="shared" si="16"/>
        <v>4.9108786184079233E-2</v>
      </c>
      <c r="Y59" s="19">
        <f t="shared" si="17"/>
        <v>3.8774573229266633E-2</v>
      </c>
      <c r="Z59" s="19">
        <f t="shared" si="18"/>
        <v>1.3256494761843892E-3</v>
      </c>
      <c r="AA59" s="19">
        <f t="shared" si="19"/>
        <v>1.4341501390641597E-2</v>
      </c>
    </row>
    <row r="60" spans="1:27" x14ac:dyDescent="0.3">
      <c r="A60" s="14">
        <f t="shared" si="10"/>
        <v>5</v>
      </c>
      <c r="B60" s="20">
        <v>45408</v>
      </c>
      <c r="C60" s="21">
        <v>38239.654999999999</v>
      </c>
      <c r="D60" s="14"/>
      <c r="E60" s="14">
        <f t="shared" si="11"/>
        <v>5</v>
      </c>
      <c r="F60" s="22">
        <v>45408</v>
      </c>
      <c r="G60" s="21">
        <v>2254.79</v>
      </c>
      <c r="H60" s="14"/>
      <c r="I60" s="14">
        <f t="shared" si="12"/>
        <v>5</v>
      </c>
      <c r="J60" s="22">
        <v>45408</v>
      </c>
      <c r="K60" s="23">
        <v>239.59</v>
      </c>
      <c r="L60" s="14"/>
      <c r="M60" s="14">
        <f t="shared" si="13"/>
        <v>5</v>
      </c>
      <c r="N60" s="22">
        <v>45408</v>
      </c>
      <c r="O60" s="23">
        <v>543.13</v>
      </c>
      <c r="P60" s="14"/>
      <c r="Q60" s="14">
        <f t="shared" si="14"/>
        <v>5</v>
      </c>
      <c r="R60" s="22">
        <v>45408</v>
      </c>
      <c r="S60" s="21">
        <v>15927.9</v>
      </c>
      <c r="T60" s="14"/>
      <c r="U60" s="14"/>
      <c r="V60" s="14">
        <v>56</v>
      </c>
      <c r="W60" s="19">
        <f t="shared" si="15"/>
        <v>6.6670708464401521E-3</v>
      </c>
      <c r="X60" s="19">
        <f t="shared" si="16"/>
        <v>8.8487031074251002E-2</v>
      </c>
      <c r="Y60" s="19">
        <f t="shared" si="17"/>
        <v>-5.4229934924076195E-4</v>
      </c>
      <c r="Z60" s="19">
        <f t="shared" si="18"/>
        <v>2.1017012877150014E-2</v>
      </c>
      <c r="AA60" s="19">
        <f t="shared" si="19"/>
        <v>4.2264728265457185E-2</v>
      </c>
    </row>
    <row r="61" spans="1:27" x14ac:dyDescent="0.3">
      <c r="A61" s="14">
        <f t="shared" si="10"/>
        <v>5</v>
      </c>
      <c r="B61" s="20">
        <v>45401</v>
      </c>
      <c r="C61" s="21">
        <v>37986.396999999997</v>
      </c>
      <c r="D61" s="14"/>
      <c r="E61" s="14">
        <f t="shared" si="11"/>
        <v>5</v>
      </c>
      <c r="F61" s="22">
        <v>45401</v>
      </c>
      <c r="G61" s="21">
        <v>2071.4899999999998</v>
      </c>
      <c r="H61" s="14"/>
      <c r="I61" s="14">
        <f t="shared" si="12"/>
        <v>5</v>
      </c>
      <c r="J61" s="22">
        <v>45401</v>
      </c>
      <c r="K61" s="23">
        <v>239.72</v>
      </c>
      <c r="L61" s="14"/>
      <c r="M61" s="14">
        <f t="shared" si="13"/>
        <v>5</v>
      </c>
      <c r="N61" s="22">
        <v>45401</v>
      </c>
      <c r="O61" s="23">
        <v>531.95000000000005</v>
      </c>
      <c r="P61" s="14"/>
      <c r="Q61" s="14">
        <f t="shared" si="14"/>
        <v>5</v>
      </c>
      <c r="R61" s="22">
        <v>45401</v>
      </c>
      <c r="S61" s="21">
        <v>15282.01</v>
      </c>
      <c r="T61" s="14"/>
      <c r="U61" s="14"/>
      <c r="V61" s="14">
        <v>55</v>
      </c>
      <c r="W61" s="19">
        <f t="shared" si="15"/>
        <v>8.3020819211858968E-5</v>
      </c>
      <c r="X61" s="19">
        <f t="shared" si="16"/>
        <v>-2.9110423697037931E-2</v>
      </c>
      <c r="Y61" s="19">
        <f t="shared" si="17"/>
        <v>-7.0312197013767785E-2</v>
      </c>
      <c r="Z61" s="19">
        <f t="shared" si="18"/>
        <v>-1.0675296174375586E-2</v>
      </c>
      <c r="AA61" s="19">
        <f t="shared" si="19"/>
        <v>-5.5213294021857061E-2</v>
      </c>
    </row>
    <row r="62" spans="1:27" x14ac:dyDescent="0.3">
      <c r="A62" s="14">
        <f t="shared" si="10"/>
        <v>5</v>
      </c>
      <c r="B62" s="20">
        <v>45394</v>
      </c>
      <c r="C62" s="21">
        <v>37983.243600000002</v>
      </c>
      <c r="D62" s="14"/>
      <c r="E62" s="14">
        <f t="shared" si="11"/>
        <v>5</v>
      </c>
      <c r="F62" s="22">
        <v>45394</v>
      </c>
      <c r="G62" s="21">
        <v>2133.6</v>
      </c>
      <c r="H62" s="14"/>
      <c r="I62" s="14">
        <f t="shared" si="12"/>
        <v>5</v>
      </c>
      <c r="J62" s="22">
        <v>45394</v>
      </c>
      <c r="K62" s="23">
        <v>257.85000000000002</v>
      </c>
      <c r="L62" s="14"/>
      <c r="M62" s="14">
        <f t="shared" si="13"/>
        <v>5</v>
      </c>
      <c r="N62" s="22">
        <v>45394</v>
      </c>
      <c r="O62" s="23">
        <v>537.69000000000005</v>
      </c>
      <c r="P62" s="14"/>
      <c r="Q62" s="14">
        <f t="shared" si="14"/>
        <v>5</v>
      </c>
      <c r="R62" s="22">
        <v>45394</v>
      </c>
      <c r="S62" s="21">
        <v>16175.09</v>
      </c>
      <c r="T62" s="14"/>
      <c r="U62" s="14"/>
      <c r="V62" s="14">
        <v>54</v>
      </c>
      <c r="W62" s="19">
        <f t="shared" si="15"/>
        <v>-2.3668360352019292E-2</v>
      </c>
      <c r="X62" s="19">
        <f t="shared" si="16"/>
        <v>-1.282567381596673E-3</v>
      </c>
      <c r="Y62" s="19">
        <f t="shared" si="17"/>
        <v>2.566196197363914E-3</v>
      </c>
      <c r="Z62" s="19">
        <f t="shared" si="18"/>
        <v>-2.0333424432905107E-2</v>
      </c>
      <c r="AA62" s="19">
        <f t="shared" si="19"/>
        <v>-4.5191808238535134E-3</v>
      </c>
    </row>
    <row r="63" spans="1:27" x14ac:dyDescent="0.3">
      <c r="A63" s="14">
        <f t="shared" si="10"/>
        <v>5</v>
      </c>
      <c r="B63" s="20">
        <v>45387</v>
      </c>
      <c r="C63" s="21">
        <v>38904.038399999998</v>
      </c>
      <c r="D63" s="14"/>
      <c r="E63" s="14">
        <f t="shared" si="11"/>
        <v>5</v>
      </c>
      <c r="F63" s="22">
        <v>45387</v>
      </c>
      <c r="G63" s="21">
        <v>2136.34</v>
      </c>
      <c r="H63" s="14"/>
      <c r="I63" s="14">
        <f t="shared" si="12"/>
        <v>5</v>
      </c>
      <c r="J63" s="22">
        <v>45387</v>
      </c>
      <c r="K63" s="23">
        <v>257.19</v>
      </c>
      <c r="L63" s="14"/>
      <c r="M63" s="14">
        <f t="shared" si="13"/>
        <v>5</v>
      </c>
      <c r="N63" s="22">
        <v>45387</v>
      </c>
      <c r="O63" s="23">
        <v>548.85</v>
      </c>
      <c r="P63" s="14"/>
      <c r="Q63" s="14">
        <f t="shared" si="14"/>
        <v>5</v>
      </c>
      <c r="R63" s="22">
        <v>45387</v>
      </c>
      <c r="S63" s="21">
        <v>16248.52</v>
      </c>
      <c r="T63" s="14"/>
      <c r="U63" s="14"/>
      <c r="V63" s="14">
        <v>53</v>
      </c>
      <c r="W63" s="19">
        <f t="shared" si="15"/>
        <v>-2.2692679776438685E-2</v>
      </c>
      <c r="X63" s="19">
        <f t="shared" si="16"/>
        <v>1.0801936115750541E-2</v>
      </c>
      <c r="Y63" s="19">
        <f t="shared" si="17"/>
        <v>-3.601949025487261E-2</v>
      </c>
      <c r="Z63" s="19">
        <f t="shared" si="18"/>
        <v>-7.5404144515568323E-3</v>
      </c>
      <c r="AA63" s="19">
        <f t="shared" si="19"/>
        <v>-7.9941585375829672E-3</v>
      </c>
    </row>
    <row r="64" spans="1:27" x14ac:dyDescent="0.3">
      <c r="A64" s="14">
        <f t="shared" si="10"/>
        <v>4</v>
      </c>
      <c r="B64" s="28">
        <v>45379</v>
      </c>
      <c r="C64" s="26">
        <v>39807.374400000001</v>
      </c>
      <c r="D64" s="14"/>
      <c r="E64" s="14">
        <f t="shared" si="11"/>
        <v>4</v>
      </c>
      <c r="F64" s="25">
        <v>45379</v>
      </c>
      <c r="G64" s="26">
        <v>2113.5100000000002</v>
      </c>
      <c r="H64" s="14"/>
      <c r="I64" s="14">
        <f t="shared" si="12"/>
        <v>5</v>
      </c>
      <c r="J64" s="22">
        <v>45380</v>
      </c>
      <c r="K64" s="23">
        <v>266.8</v>
      </c>
      <c r="L64" s="14"/>
      <c r="M64" s="14">
        <f t="shared" si="13"/>
        <v>4</v>
      </c>
      <c r="N64" s="25">
        <v>45379</v>
      </c>
      <c r="O64" s="27">
        <v>553.02</v>
      </c>
      <c r="P64" s="14"/>
      <c r="Q64" s="14">
        <f t="shared" si="14"/>
        <v>4</v>
      </c>
      <c r="R64" s="25">
        <v>45379</v>
      </c>
      <c r="S64" s="26">
        <v>16379.46</v>
      </c>
      <c r="T64" s="14"/>
      <c r="U64" s="14"/>
      <c r="V64" s="14">
        <v>52</v>
      </c>
      <c r="W64" s="19">
        <f t="shared" si="15"/>
        <v>8.3967779433245741E-3</v>
      </c>
      <c r="X64" s="19">
        <f t="shared" si="16"/>
        <v>1.9104234218860572E-3</v>
      </c>
      <c r="Y64" s="19">
        <f t="shared" si="17"/>
        <v>-1.1961633892530318E-2</v>
      </c>
      <c r="Z64" s="19">
        <f t="shared" si="18"/>
        <v>4.2857661715033123E-3</v>
      </c>
      <c r="AA64" s="19">
        <f t="shared" si="19"/>
        <v>-3.0044762800980583E-3</v>
      </c>
    </row>
    <row r="65" spans="1:27" x14ac:dyDescent="0.3">
      <c r="A65" s="14">
        <f t="shared" si="10"/>
        <v>5</v>
      </c>
      <c r="B65" s="20">
        <v>45373</v>
      </c>
      <c r="C65" s="21">
        <v>39475.904000000002</v>
      </c>
      <c r="D65" s="14"/>
      <c r="E65" s="14">
        <f t="shared" si="11"/>
        <v>5</v>
      </c>
      <c r="F65" s="22">
        <v>45373</v>
      </c>
      <c r="G65" s="21">
        <v>2109.48</v>
      </c>
      <c r="H65" s="14"/>
      <c r="I65" s="14">
        <f t="shared" si="12"/>
        <v>5</v>
      </c>
      <c r="J65" s="22">
        <v>45373</v>
      </c>
      <c r="K65" s="23">
        <v>270.02999999999997</v>
      </c>
      <c r="L65" s="14"/>
      <c r="M65" s="14">
        <f t="shared" si="13"/>
        <v>5</v>
      </c>
      <c r="N65" s="22">
        <v>45373</v>
      </c>
      <c r="O65" s="23">
        <v>550.66</v>
      </c>
      <c r="P65" s="14"/>
      <c r="Q65" s="14">
        <f t="shared" si="14"/>
        <v>5</v>
      </c>
      <c r="R65" s="22">
        <v>45373</v>
      </c>
      <c r="S65" s="21">
        <v>16428.82</v>
      </c>
      <c r="T65" s="14"/>
      <c r="U65" s="14"/>
      <c r="V65" s="14">
        <v>51</v>
      </c>
      <c r="W65" s="19">
        <f t="shared" si="15"/>
        <v>1.9660131439356257E-2</v>
      </c>
      <c r="X65" s="19">
        <f t="shared" si="16"/>
        <v>-1.3251879259616116E-2</v>
      </c>
      <c r="Y65" s="19">
        <f t="shared" si="17"/>
        <v>3.9576515880654368E-2</v>
      </c>
      <c r="Z65" s="19">
        <f t="shared" si="18"/>
        <v>1.9833688156193352E-3</v>
      </c>
      <c r="AA65" s="19">
        <f t="shared" si="19"/>
        <v>2.8525959468283353E-2</v>
      </c>
    </row>
    <row r="66" spans="1:27" x14ac:dyDescent="0.3">
      <c r="A66" s="14">
        <f t="shared" si="10"/>
        <v>5</v>
      </c>
      <c r="B66" s="20">
        <v>45366</v>
      </c>
      <c r="C66" s="21">
        <v>38714.766600000003</v>
      </c>
      <c r="D66" s="14"/>
      <c r="E66" s="14">
        <f t="shared" si="11"/>
        <v>5</v>
      </c>
      <c r="F66" s="22">
        <v>45366</v>
      </c>
      <c r="G66" s="21">
        <v>2137.81</v>
      </c>
      <c r="H66" s="14"/>
      <c r="I66" s="14">
        <f t="shared" si="12"/>
        <v>5</v>
      </c>
      <c r="J66" s="25">
        <v>45366</v>
      </c>
      <c r="K66" s="23">
        <v>259.75</v>
      </c>
      <c r="L66" s="14"/>
      <c r="M66" s="14">
        <f t="shared" si="13"/>
        <v>5</v>
      </c>
      <c r="N66" s="22">
        <v>45366</v>
      </c>
      <c r="O66" s="23">
        <v>549.57000000000005</v>
      </c>
      <c r="P66" s="14"/>
      <c r="Q66" s="14">
        <f t="shared" si="14"/>
        <v>5</v>
      </c>
      <c r="R66" s="22">
        <v>45366</v>
      </c>
      <c r="S66" s="21">
        <v>15973.17</v>
      </c>
      <c r="T66" s="14"/>
      <c r="U66" s="14"/>
      <c r="V66" s="14">
        <v>50</v>
      </c>
      <c r="W66" s="19">
        <f t="shared" si="15"/>
        <v>-2.0469908896894679E-4</v>
      </c>
      <c r="X66" s="19">
        <f t="shared" si="16"/>
        <v>2.231308131889145E-2</v>
      </c>
      <c r="Y66" s="19">
        <f t="shared" si="17"/>
        <v>-3.7463870154895176E-2</v>
      </c>
      <c r="Z66" s="19">
        <f t="shared" si="18"/>
        <v>-1.5261350629529227E-3</v>
      </c>
      <c r="AA66" s="19">
        <f t="shared" si="19"/>
        <v>-6.9592312393263397E-3</v>
      </c>
    </row>
    <row r="67" spans="1:27" x14ac:dyDescent="0.3">
      <c r="A67" s="14">
        <f t="shared" ref="A67:A98" si="20">WEEKDAY(B67,2)</f>
        <v>5</v>
      </c>
      <c r="B67" s="20">
        <v>45359</v>
      </c>
      <c r="C67" s="21">
        <v>38722.693099999997</v>
      </c>
      <c r="D67" s="14"/>
      <c r="E67" s="14">
        <f t="shared" ref="E67:E98" si="21">WEEKDAY(F67,2)</f>
        <v>5</v>
      </c>
      <c r="F67" s="22">
        <v>45359</v>
      </c>
      <c r="G67" s="21">
        <v>2091.15</v>
      </c>
      <c r="H67" s="14"/>
      <c r="I67" s="14">
        <f t="shared" ref="I67:I98" si="22">WEEKDAY(J67,2)</f>
        <v>5</v>
      </c>
      <c r="J67" s="22">
        <v>45359</v>
      </c>
      <c r="K67" s="23">
        <v>269.86</v>
      </c>
      <c r="L67" s="14"/>
      <c r="M67" s="14">
        <f t="shared" ref="M67:M98" si="23">WEEKDAY(N67,2)</f>
        <v>5</v>
      </c>
      <c r="N67" s="22">
        <v>45359</v>
      </c>
      <c r="O67" s="23">
        <v>550.41</v>
      </c>
      <c r="P67" s="14"/>
      <c r="Q67" s="14">
        <f t="shared" ref="Q67:Q98" si="24">WEEKDAY(R67,2)</f>
        <v>5</v>
      </c>
      <c r="R67" s="22">
        <v>45359</v>
      </c>
      <c r="S67" s="21">
        <v>16085.11</v>
      </c>
      <c r="T67" s="14"/>
      <c r="U67" s="14"/>
      <c r="V67" s="14">
        <v>49</v>
      </c>
      <c r="W67" s="19">
        <f t="shared" ref="W67:W98" si="25">(C67-C68)/C68</f>
        <v>-9.3299432294204204E-3</v>
      </c>
      <c r="X67" s="19">
        <f t="shared" ref="X67:X98" si="26">(G67-G68)/G68</f>
        <v>-1.3194218327505431E-2</v>
      </c>
      <c r="Y67" s="19">
        <f t="shared" ref="Y67:Y98" si="27">(K67-K68)/K68</f>
        <v>1.4969159019106433E-2</v>
      </c>
      <c r="Z67" s="19">
        <f t="shared" ref="Z67:Z98" si="28">(O67-O68)/O68</f>
        <v>2.0733267807799917E-2</v>
      </c>
      <c r="AA67" s="19">
        <f t="shared" ref="AA67:AA98" si="29">(S67-S68)/S68</f>
        <v>-1.1663944690425889E-2</v>
      </c>
    </row>
    <row r="68" spans="1:27" x14ac:dyDescent="0.3">
      <c r="A68" s="14">
        <f t="shared" si="20"/>
        <v>5</v>
      </c>
      <c r="B68" s="20">
        <v>45352</v>
      </c>
      <c r="C68" s="21">
        <v>39087.376100000001</v>
      </c>
      <c r="D68" s="14"/>
      <c r="E68" s="14">
        <f t="shared" si="21"/>
        <v>5</v>
      </c>
      <c r="F68" s="22">
        <v>45352</v>
      </c>
      <c r="G68" s="21">
        <v>2119.11</v>
      </c>
      <c r="H68" s="14"/>
      <c r="I68" s="14">
        <f t="shared" si="22"/>
        <v>5</v>
      </c>
      <c r="J68" s="22">
        <v>45352</v>
      </c>
      <c r="K68" s="23">
        <v>265.88</v>
      </c>
      <c r="L68" s="14"/>
      <c r="M68" s="14">
        <f t="shared" si="23"/>
        <v>5</v>
      </c>
      <c r="N68" s="22">
        <v>45352</v>
      </c>
      <c r="O68" s="23">
        <v>539.23</v>
      </c>
      <c r="P68" s="14"/>
      <c r="Q68" s="14">
        <f t="shared" si="24"/>
        <v>5</v>
      </c>
      <c r="R68" s="22">
        <v>45352</v>
      </c>
      <c r="S68" s="21">
        <v>16274.94</v>
      </c>
      <c r="T68" s="14"/>
      <c r="U68" s="14"/>
      <c r="V68" s="14">
        <v>48</v>
      </c>
      <c r="W68" s="19">
        <f t="shared" si="25"/>
        <v>-1.1283075742875475E-3</v>
      </c>
      <c r="X68" s="19">
        <f t="shared" si="26"/>
        <v>-8.7519061473837999E-3</v>
      </c>
      <c r="Y68" s="19">
        <f t="shared" si="27"/>
        <v>2.3520806867613712E-2</v>
      </c>
      <c r="Z68" s="19">
        <f t="shared" si="28"/>
        <v>2.4353063652588847E-3</v>
      </c>
      <c r="AA68" s="19">
        <f t="shared" si="29"/>
        <v>1.7385955458647455E-2</v>
      </c>
    </row>
    <row r="69" spans="1:27" x14ac:dyDescent="0.3">
      <c r="A69" s="14">
        <f t="shared" si="20"/>
        <v>5</v>
      </c>
      <c r="B69" s="20">
        <v>45345</v>
      </c>
      <c r="C69" s="21">
        <v>39131.5285</v>
      </c>
      <c r="D69" s="14"/>
      <c r="E69" s="14">
        <f t="shared" si="21"/>
        <v>5</v>
      </c>
      <c r="F69" s="22">
        <v>45345</v>
      </c>
      <c r="G69" s="21">
        <v>2137.8200000000002</v>
      </c>
      <c r="H69" s="14"/>
      <c r="I69" s="14">
        <f t="shared" si="22"/>
        <v>4</v>
      </c>
      <c r="J69" s="25">
        <v>45344</v>
      </c>
      <c r="K69" s="27">
        <v>259.77</v>
      </c>
      <c r="L69" s="14"/>
      <c r="M69" s="14">
        <f t="shared" si="23"/>
        <v>5</v>
      </c>
      <c r="N69" s="22">
        <v>45345</v>
      </c>
      <c r="O69" s="23">
        <v>537.91999999999996</v>
      </c>
      <c r="P69" s="14"/>
      <c r="Q69" s="14">
        <f t="shared" si="24"/>
        <v>5</v>
      </c>
      <c r="R69" s="22">
        <v>45345</v>
      </c>
      <c r="S69" s="21">
        <v>15996.82</v>
      </c>
      <c r="T69" s="14"/>
      <c r="U69" s="14"/>
      <c r="V69" s="14">
        <v>47</v>
      </c>
      <c r="W69" s="19">
        <f t="shared" si="25"/>
        <v>1.3035476224649515E-2</v>
      </c>
      <c r="X69" s="19">
        <f t="shared" si="26"/>
        <v>2.3423923710679018E-2</v>
      </c>
      <c r="Y69" s="19">
        <f t="shared" si="27"/>
        <v>1.385528061821854E-2</v>
      </c>
      <c r="Z69" s="19">
        <f t="shared" si="28"/>
        <v>1.5633260327769755E-2</v>
      </c>
      <c r="AA69" s="19">
        <f t="shared" si="29"/>
        <v>1.4019707587326043E-2</v>
      </c>
    </row>
    <row r="70" spans="1:27" x14ac:dyDescent="0.3">
      <c r="A70" s="14">
        <f t="shared" si="20"/>
        <v>5</v>
      </c>
      <c r="B70" s="20">
        <v>45338</v>
      </c>
      <c r="C70" s="21">
        <v>38627.994200000001</v>
      </c>
      <c r="D70" s="14"/>
      <c r="E70" s="14">
        <f t="shared" si="21"/>
        <v>5</v>
      </c>
      <c r="F70" s="22">
        <v>45338</v>
      </c>
      <c r="G70" s="21">
        <v>2088.89</v>
      </c>
      <c r="H70" s="14"/>
      <c r="I70" s="14">
        <f t="shared" si="22"/>
        <v>5</v>
      </c>
      <c r="J70" s="22">
        <v>45338</v>
      </c>
      <c r="K70" s="23">
        <v>256.22000000000003</v>
      </c>
      <c r="L70" s="14"/>
      <c r="M70" s="14">
        <f t="shared" si="23"/>
        <v>5</v>
      </c>
      <c r="N70" s="22">
        <v>45338</v>
      </c>
      <c r="O70" s="23">
        <v>529.64</v>
      </c>
      <c r="P70" s="14"/>
      <c r="Q70" s="14">
        <f t="shared" si="24"/>
        <v>5</v>
      </c>
      <c r="R70" s="22">
        <v>45338</v>
      </c>
      <c r="S70" s="21">
        <v>15775.65</v>
      </c>
      <c r="T70" s="14"/>
      <c r="U70" s="14"/>
      <c r="V70" s="14">
        <v>46</v>
      </c>
      <c r="W70" s="19">
        <f t="shared" si="25"/>
        <v>-1.1299428307905619E-3</v>
      </c>
      <c r="X70" s="19">
        <f t="shared" si="26"/>
        <v>3.733407491644767E-2</v>
      </c>
      <c r="Y70" s="19">
        <f t="shared" si="27"/>
        <v>3.674030913652198E-2</v>
      </c>
      <c r="Z70" s="19">
        <f t="shared" si="28"/>
        <v>1.3199678616520598E-2</v>
      </c>
      <c r="AA70" s="19">
        <f t="shared" si="29"/>
        <v>-1.3445974087373518E-2</v>
      </c>
    </row>
    <row r="71" spans="1:27" x14ac:dyDescent="0.3">
      <c r="A71" s="14">
        <f t="shared" si="20"/>
        <v>5</v>
      </c>
      <c r="B71" s="20">
        <v>45331</v>
      </c>
      <c r="C71" s="21">
        <v>38671.690999999999</v>
      </c>
      <c r="D71" s="14"/>
      <c r="E71" s="14">
        <f t="shared" si="21"/>
        <v>5</v>
      </c>
      <c r="F71" s="22">
        <v>45331</v>
      </c>
      <c r="G71" s="21">
        <v>2013.71</v>
      </c>
      <c r="H71" s="14"/>
      <c r="I71" s="14">
        <f t="shared" si="22"/>
        <v>5</v>
      </c>
      <c r="J71" s="22">
        <v>45331</v>
      </c>
      <c r="K71" s="23">
        <v>247.14</v>
      </c>
      <c r="L71" s="14"/>
      <c r="M71" s="14">
        <f t="shared" si="23"/>
        <v>5</v>
      </c>
      <c r="N71" s="22">
        <v>45331</v>
      </c>
      <c r="O71" s="23">
        <v>522.74</v>
      </c>
      <c r="P71" s="14"/>
      <c r="Q71" s="14">
        <f t="shared" si="24"/>
        <v>5</v>
      </c>
      <c r="R71" s="22">
        <v>45331</v>
      </c>
      <c r="S71" s="21">
        <v>15990.66</v>
      </c>
      <c r="T71" s="14"/>
      <c r="U71" s="14"/>
      <c r="V71" s="14">
        <v>45</v>
      </c>
      <c r="W71" s="19">
        <f t="shared" si="25"/>
        <v>4.4672248530671244E-4</v>
      </c>
      <c r="X71" s="19">
        <f t="shared" si="26"/>
        <v>1.3768903924766979E-2</v>
      </c>
      <c r="Y71" s="19">
        <f t="shared" si="27"/>
        <v>1.4115716044316775E-2</v>
      </c>
      <c r="Z71" s="19">
        <f t="shared" si="28"/>
        <v>1.6670818403050655E-3</v>
      </c>
      <c r="AA71" s="19">
        <f t="shared" si="29"/>
        <v>2.3143589300624746E-2</v>
      </c>
    </row>
    <row r="72" spans="1:27" x14ac:dyDescent="0.3">
      <c r="A72" s="14">
        <f t="shared" si="20"/>
        <v>5</v>
      </c>
      <c r="B72" s="20">
        <v>45324</v>
      </c>
      <c r="C72" s="21">
        <v>38654.423199999997</v>
      </c>
      <c r="D72" s="14"/>
      <c r="E72" s="14">
        <f t="shared" si="21"/>
        <v>5</v>
      </c>
      <c r="F72" s="22">
        <v>45324</v>
      </c>
      <c r="G72" s="21">
        <v>1986.36</v>
      </c>
      <c r="H72" s="14"/>
      <c r="I72" s="14">
        <f t="shared" si="22"/>
        <v>5</v>
      </c>
      <c r="J72" s="22">
        <v>45324</v>
      </c>
      <c r="K72" s="23">
        <v>243.7</v>
      </c>
      <c r="L72" s="14"/>
      <c r="M72" s="14">
        <f t="shared" si="23"/>
        <v>5</v>
      </c>
      <c r="N72" s="22">
        <v>45324</v>
      </c>
      <c r="O72" s="23">
        <v>521.87</v>
      </c>
      <c r="P72" s="14"/>
      <c r="Q72" s="14">
        <f t="shared" si="24"/>
        <v>5</v>
      </c>
      <c r="R72" s="22">
        <v>45324</v>
      </c>
      <c r="S72" s="21">
        <v>15628.95</v>
      </c>
      <c r="T72" s="14"/>
      <c r="U72" s="14"/>
      <c r="V72" s="14">
        <v>44</v>
      </c>
      <c r="W72" s="19">
        <f t="shared" si="25"/>
        <v>1.4300661428626588E-2</v>
      </c>
      <c r="X72" s="19">
        <f t="shared" si="26"/>
        <v>-2.6957122352906693E-2</v>
      </c>
      <c r="Y72" s="19">
        <f t="shared" si="27"/>
        <v>9.9461251554081101E-3</v>
      </c>
      <c r="Z72" s="19">
        <f t="shared" si="28"/>
        <v>-6.0754961337750758E-3</v>
      </c>
      <c r="AA72" s="19">
        <f t="shared" si="29"/>
        <v>1.1231702140875408E-2</v>
      </c>
    </row>
    <row r="73" spans="1:27" x14ac:dyDescent="0.3">
      <c r="A73" s="14">
        <f t="shared" si="20"/>
        <v>5</v>
      </c>
      <c r="B73" s="20">
        <v>45317</v>
      </c>
      <c r="C73" s="21">
        <v>38109.433100000002</v>
      </c>
      <c r="D73" s="14"/>
      <c r="E73" s="14">
        <f t="shared" si="21"/>
        <v>5</v>
      </c>
      <c r="F73" s="22">
        <v>45317</v>
      </c>
      <c r="G73" s="21">
        <v>2041.39</v>
      </c>
      <c r="H73" s="14"/>
      <c r="I73" s="14">
        <f t="shared" si="22"/>
        <v>5</v>
      </c>
      <c r="J73" s="22">
        <v>45317</v>
      </c>
      <c r="K73" s="23">
        <v>241.3</v>
      </c>
      <c r="L73" s="14"/>
      <c r="M73" s="14">
        <f t="shared" si="23"/>
        <v>5</v>
      </c>
      <c r="N73" s="22">
        <v>45317</v>
      </c>
      <c r="O73" s="23">
        <v>525.05999999999995</v>
      </c>
      <c r="P73" s="14"/>
      <c r="Q73" s="14">
        <f t="shared" si="24"/>
        <v>5</v>
      </c>
      <c r="R73" s="22">
        <v>45317</v>
      </c>
      <c r="S73" s="21">
        <v>15455.36</v>
      </c>
      <c r="T73" s="14"/>
      <c r="U73" s="14"/>
      <c r="V73" s="14">
        <v>43</v>
      </c>
      <c r="W73" s="19">
        <f t="shared" si="25"/>
        <v>6.4874030034506071E-3</v>
      </c>
      <c r="X73" s="19">
        <f t="shared" si="26"/>
        <v>4.245095135477419E-2</v>
      </c>
      <c r="Y73" s="19">
        <f t="shared" si="27"/>
        <v>-6.0551138938089505E-3</v>
      </c>
      <c r="Z73" s="19">
        <f t="shared" si="28"/>
        <v>2.685154401267276E-2</v>
      </c>
      <c r="AA73" s="19">
        <f t="shared" si="29"/>
        <v>9.4304932999020475E-3</v>
      </c>
    </row>
    <row r="74" spans="1:27" x14ac:dyDescent="0.3">
      <c r="A74" s="14">
        <f t="shared" si="20"/>
        <v>5</v>
      </c>
      <c r="B74" s="20">
        <v>45310</v>
      </c>
      <c r="C74" s="21">
        <v>37863.795400000003</v>
      </c>
      <c r="D74" s="14"/>
      <c r="E74" s="14">
        <f t="shared" si="21"/>
        <v>5</v>
      </c>
      <c r="F74" s="22">
        <v>45310</v>
      </c>
      <c r="G74" s="21">
        <v>1958.26</v>
      </c>
      <c r="H74" s="14"/>
      <c r="I74" s="14">
        <f t="shared" si="22"/>
        <v>5</v>
      </c>
      <c r="J74" s="22">
        <v>45310</v>
      </c>
      <c r="K74" s="23">
        <v>242.77</v>
      </c>
      <c r="L74" s="14"/>
      <c r="M74" s="14">
        <f t="shared" si="23"/>
        <v>5</v>
      </c>
      <c r="N74" s="22">
        <v>45310</v>
      </c>
      <c r="O74" s="23">
        <v>511.33</v>
      </c>
      <c r="P74" s="14"/>
      <c r="Q74" s="14">
        <f t="shared" si="24"/>
        <v>5</v>
      </c>
      <c r="R74" s="22">
        <v>45310</v>
      </c>
      <c r="S74" s="21">
        <v>15310.97</v>
      </c>
      <c r="T74" s="14"/>
      <c r="U74" s="14"/>
      <c r="V74" s="14">
        <v>42</v>
      </c>
      <c r="W74" s="19">
        <f t="shared" si="25"/>
        <v>7.2038554218406608E-3</v>
      </c>
      <c r="X74" s="19">
        <f t="shared" si="26"/>
        <v>-5.717807243069397E-2</v>
      </c>
      <c r="Y74" s="19">
        <f t="shared" si="27"/>
        <v>-1.1240988881195743E-2</v>
      </c>
      <c r="Z74" s="19">
        <f t="shared" si="28"/>
        <v>-2.0440613026819952E-2</v>
      </c>
      <c r="AA74" s="19">
        <f t="shared" si="29"/>
        <v>2.2588353783804666E-2</v>
      </c>
    </row>
    <row r="75" spans="1:27" x14ac:dyDescent="0.3">
      <c r="A75" s="14">
        <f t="shared" si="20"/>
        <v>5</v>
      </c>
      <c r="B75" s="20">
        <v>45303</v>
      </c>
      <c r="C75" s="21">
        <v>37592.981</v>
      </c>
      <c r="D75" s="14"/>
      <c r="E75" s="14">
        <f t="shared" si="21"/>
        <v>5</v>
      </c>
      <c r="F75" s="22">
        <v>45303</v>
      </c>
      <c r="G75" s="21">
        <v>2077.02</v>
      </c>
      <c r="H75" s="14"/>
      <c r="I75" s="14">
        <f t="shared" si="22"/>
        <v>5</v>
      </c>
      <c r="J75" s="22">
        <v>45303</v>
      </c>
      <c r="K75" s="23">
        <v>245.53</v>
      </c>
      <c r="L75" s="14"/>
      <c r="M75" s="14">
        <f t="shared" si="23"/>
        <v>5</v>
      </c>
      <c r="N75" s="22">
        <v>45303</v>
      </c>
      <c r="O75" s="23">
        <v>522</v>
      </c>
      <c r="P75" s="14"/>
      <c r="Q75" s="14">
        <f t="shared" si="24"/>
        <v>5</v>
      </c>
      <c r="R75" s="22">
        <v>45303</v>
      </c>
      <c r="S75" s="21">
        <v>14972.76</v>
      </c>
      <c r="T75" s="14"/>
      <c r="U75" s="14"/>
      <c r="V75" s="14">
        <v>41</v>
      </c>
      <c r="W75" s="19">
        <f t="shared" si="25"/>
        <v>3.3863191044808468E-3</v>
      </c>
      <c r="X75" s="19">
        <f t="shared" si="26"/>
        <v>-1.8824963271244766E-2</v>
      </c>
      <c r="Y75" s="19">
        <f t="shared" si="27"/>
        <v>6.4052004333694484E-2</v>
      </c>
      <c r="Z75" s="19">
        <f t="shared" si="28"/>
        <v>1.5157038429806863E-3</v>
      </c>
      <c r="AA75" s="19">
        <f t="shared" si="29"/>
        <v>3.0892855790422419E-2</v>
      </c>
    </row>
    <row r="76" spans="1:27" x14ac:dyDescent="0.3">
      <c r="A76" s="14">
        <f t="shared" si="20"/>
        <v>5</v>
      </c>
      <c r="B76" s="20">
        <v>45296</v>
      </c>
      <c r="C76" s="21">
        <v>37466.108800000002</v>
      </c>
      <c r="D76" s="14"/>
      <c r="E76" s="14">
        <f t="shared" si="21"/>
        <v>5</v>
      </c>
      <c r="F76" s="22">
        <v>45296</v>
      </c>
      <c r="G76" s="21">
        <v>2116.87</v>
      </c>
      <c r="H76" s="14"/>
      <c r="I76" s="14">
        <f t="shared" si="22"/>
        <v>5</v>
      </c>
      <c r="J76" s="22">
        <v>45296</v>
      </c>
      <c r="K76" s="23">
        <v>230.75</v>
      </c>
      <c r="L76" s="14"/>
      <c r="M76" s="14">
        <f t="shared" si="23"/>
        <v>5</v>
      </c>
      <c r="N76" s="22">
        <v>45296</v>
      </c>
      <c r="O76" s="23">
        <v>521.21</v>
      </c>
      <c r="P76" s="14"/>
      <c r="Q76" s="14">
        <f t="shared" si="24"/>
        <v>5</v>
      </c>
      <c r="R76" s="22">
        <v>45296</v>
      </c>
      <c r="S76" s="21">
        <v>14524.07</v>
      </c>
      <c r="T76" s="14"/>
      <c r="U76" s="14"/>
      <c r="V76" s="14">
        <v>40</v>
      </c>
      <c r="W76" s="19">
        <f t="shared" si="25"/>
        <v>-5.928088416329272E-3</v>
      </c>
      <c r="X76" s="19">
        <f t="shared" si="26"/>
        <v>-3.036424265743233E-2</v>
      </c>
      <c r="Y76" s="19">
        <f t="shared" si="27"/>
        <v>-2.7315263668170088E-2</v>
      </c>
      <c r="Z76" s="19">
        <f t="shared" si="28"/>
        <v>-1.3998978452923663E-2</v>
      </c>
      <c r="AA76" s="19">
        <f t="shared" si="29"/>
        <v>-3.2460771349678785E-2</v>
      </c>
    </row>
    <row r="77" spans="1:27" x14ac:dyDescent="0.3">
      <c r="A77" s="14">
        <f t="shared" si="20"/>
        <v>5</v>
      </c>
      <c r="B77" s="20">
        <v>45289</v>
      </c>
      <c r="C77" s="21">
        <v>37689.5357</v>
      </c>
      <c r="D77" s="14"/>
      <c r="E77" s="14">
        <f t="shared" si="21"/>
        <v>5</v>
      </c>
      <c r="F77" s="22">
        <v>45289</v>
      </c>
      <c r="G77" s="21">
        <v>2183.16</v>
      </c>
      <c r="H77" s="14"/>
      <c r="I77" s="14">
        <f t="shared" si="22"/>
        <v>5</v>
      </c>
      <c r="J77" s="22">
        <v>45289</v>
      </c>
      <c r="K77" s="23">
        <v>237.23</v>
      </c>
      <c r="L77" s="14"/>
      <c r="M77" s="14">
        <f t="shared" si="23"/>
        <v>5</v>
      </c>
      <c r="N77" s="22">
        <v>45289</v>
      </c>
      <c r="O77" s="23">
        <v>528.61</v>
      </c>
      <c r="P77" s="14"/>
      <c r="Q77" s="14">
        <f t="shared" si="24"/>
        <v>5</v>
      </c>
      <c r="R77" s="22">
        <v>45289</v>
      </c>
      <c r="S77" s="21">
        <v>15011.35</v>
      </c>
      <c r="T77" s="14"/>
      <c r="U77" s="14"/>
      <c r="V77" s="14">
        <v>39</v>
      </c>
      <c r="W77" s="19">
        <f t="shared" si="25"/>
        <v>8.1199053809637E-3</v>
      </c>
      <c r="X77" s="19">
        <f t="shared" si="26"/>
        <v>4.3775100401606398E-2</v>
      </c>
      <c r="Y77" s="19">
        <f t="shared" si="27"/>
        <v>1.8547936971362301E-2</v>
      </c>
      <c r="Z77" s="19">
        <f t="shared" si="28"/>
        <v>5.28687979004616E-3</v>
      </c>
      <c r="AA77" s="19">
        <f t="shared" si="29"/>
        <v>1.2259078754910482E-3</v>
      </c>
    </row>
    <row r="78" spans="1:27" x14ac:dyDescent="0.3">
      <c r="A78" s="14">
        <f t="shared" si="20"/>
        <v>5</v>
      </c>
      <c r="B78" s="20">
        <v>45282</v>
      </c>
      <c r="C78" s="21">
        <v>37385.965199999999</v>
      </c>
      <c r="D78" s="14"/>
      <c r="E78" s="14">
        <f t="shared" si="21"/>
        <v>5</v>
      </c>
      <c r="F78" s="22">
        <v>45282</v>
      </c>
      <c r="G78" s="21">
        <v>2091.6</v>
      </c>
      <c r="H78" s="14"/>
      <c r="I78" s="14">
        <f t="shared" si="22"/>
        <v>5</v>
      </c>
      <c r="J78" s="22">
        <v>45282</v>
      </c>
      <c r="K78" s="23">
        <v>232.91</v>
      </c>
      <c r="L78" s="14"/>
      <c r="M78" s="14">
        <f t="shared" si="23"/>
        <v>5</v>
      </c>
      <c r="N78" s="22">
        <v>45282</v>
      </c>
      <c r="O78" s="23">
        <v>525.83000000000004</v>
      </c>
      <c r="P78" s="14"/>
      <c r="Q78" s="14">
        <f t="shared" si="24"/>
        <v>5</v>
      </c>
      <c r="R78" s="22">
        <v>45282</v>
      </c>
      <c r="S78" s="21">
        <v>14992.97</v>
      </c>
      <c r="T78" s="14"/>
      <c r="U78" s="14"/>
      <c r="V78" s="14">
        <v>38</v>
      </c>
      <c r="W78" s="19">
        <f t="shared" si="25"/>
        <v>2.1659951277949044E-3</v>
      </c>
      <c r="X78" s="19">
        <f t="shared" si="26"/>
        <v>-2.8139171808787427E-2</v>
      </c>
      <c r="Y78" s="19">
        <f t="shared" si="27"/>
        <v>4.1821160644994349E-3</v>
      </c>
      <c r="Z78" s="19">
        <f t="shared" si="28"/>
        <v>1.2730634413158224E-2</v>
      </c>
      <c r="AA78" s="19">
        <f t="shared" si="29"/>
        <v>1.2086605030943821E-2</v>
      </c>
    </row>
    <row r="79" spans="1:27" x14ac:dyDescent="0.3">
      <c r="A79" s="14">
        <f t="shared" si="20"/>
        <v>5</v>
      </c>
      <c r="B79" s="20">
        <v>45275</v>
      </c>
      <c r="C79" s="21">
        <v>37305.162400000001</v>
      </c>
      <c r="D79" s="14"/>
      <c r="E79" s="14">
        <f t="shared" si="21"/>
        <v>5</v>
      </c>
      <c r="F79" s="22">
        <v>45275</v>
      </c>
      <c r="G79" s="21">
        <v>2152.16</v>
      </c>
      <c r="H79" s="14"/>
      <c r="I79" s="14">
        <f t="shared" si="22"/>
        <v>5</v>
      </c>
      <c r="J79" s="22">
        <v>45275</v>
      </c>
      <c r="K79" s="23">
        <v>231.94</v>
      </c>
      <c r="L79" s="14"/>
      <c r="M79" s="14">
        <f t="shared" si="23"/>
        <v>5</v>
      </c>
      <c r="N79" s="22">
        <v>45275</v>
      </c>
      <c r="O79" s="23">
        <v>519.22</v>
      </c>
      <c r="P79" s="14"/>
      <c r="Q79" s="14">
        <f t="shared" si="24"/>
        <v>5</v>
      </c>
      <c r="R79" s="22">
        <v>45275</v>
      </c>
      <c r="S79" s="21">
        <v>14813.92</v>
      </c>
      <c r="T79" s="14"/>
      <c r="U79" s="14"/>
      <c r="V79" s="14">
        <v>37</v>
      </c>
      <c r="W79" s="19">
        <f t="shared" si="25"/>
        <v>2.9168332649504716E-2</v>
      </c>
      <c r="X79" s="19">
        <f t="shared" si="26"/>
        <v>2.8781758646239174E-2</v>
      </c>
      <c r="Y79" s="19">
        <f t="shared" si="27"/>
        <v>4.0462946348465867E-2</v>
      </c>
      <c r="Z79" s="19">
        <f t="shared" si="28"/>
        <v>2.1684376229830851E-2</v>
      </c>
      <c r="AA79" s="19">
        <f t="shared" si="29"/>
        <v>2.8460903487024809E-2</v>
      </c>
    </row>
    <row r="80" spans="1:27" x14ac:dyDescent="0.3">
      <c r="A80" s="14">
        <f t="shared" si="20"/>
        <v>5</v>
      </c>
      <c r="B80" s="20">
        <v>45268</v>
      </c>
      <c r="C80" s="21">
        <v>36247.8724</v>
      </c>
      <c r="D80" s="14"/>
      <c r="E80" s="14">
        <f t="shared" si="21"/>
        <v>5</v>
      </c>
      <c r="F80" s="22">
        <v>45268</v>
      </c>
      <c r="G80" s="21">
        <v>2091.9499999999998</v>
      </c>
      <c r="H80" s="14"/>
      <c r="I80" s="14">
        <f t="shared" si="22"/>
        <v>5</v>
      </c>
      <c r="J80" s="22">
        <v>45268</v>
      </c>
      <c r="K80" s="23">
        <v>222.92</v>
      </c>
      <c r="L80" s="14"/>
      <c r="M80" s="14">
        <f t="shared" si="23"/>
        <v>5</v>
      </c>
      <c r="N80" s="22">
        <v>45268</v>
      </c>
      <c r="O80" s="23">
        <v>508.2</v>
      </c>
      <c r="P80" s="14"/>
      <c r="Q80" s="14">
        <f t="shared" si="24"/>
        <v>5</v>
      </c>
      <c r="R80" s="22">
        <v>45268</v>
      </c>
      <c r="S80" s="21">
        <v>14403.97</v>
      </c>
      <c r="T80" s="14"/>
      <c r="U80" s="14"/>
      <c r="V80" s="14">
        <v>36</v>
      </c>
      <c r="W80" s="19">
        <f t="shared" si="25"/>
        <v>6.546191995250365E-5</v>
      </c>
      <c r="X80" s="19">
        <f t="shared" si="26"/>
        <v>-2.8707667449786131E-2</v>
      </c>
      <c r="Y80" s="19">
        <f t="shared" si="27"/>
        <v>-2.1078517477604124E-2</v>
      </c>
      <c r="Z80" s="19">
        <f t="shared" si="28"/>
        <v>1.8333431900171642E-3</v>
      </c>
      <c r="AA80" s="19">
        <f t="shared" si="29"/>
        <v>6.9164482702936438E-3</v>
      </c>
    </row>
    <row r="81" spans="1:27" x14ac:dyDescent="0.3">
      <c r="A81" s="14">
        <f t="shared" si="20"/>
        <v>5</v>
      </c>
      <c r="B81" s="20">
        <v>45261</v>
      </c>
      <c r="C81" s="21">
        <v>36245.4997</v>
      </c>
      <c r="D81" s="14"/>
      <c r="E81" s="14">
        <f t="shared" si="21"/>
        <v>5</v>
      </c>
      <c r="F81" s="22">
        <v>45261</v>
      </c>
      <c r="G81" s="21">
        <v>2153.7800000000002</v>
      </c>
      <c r="H81" s="14"/>
      <c r="I81" s="14">
        <f t="shared" si="22"/>
        <v>5</v>
      </c>
      <c r="J81" s="22">
        <v>45261</v>
      </c>
      <c r="K81" s="23">
        <v>227.72</v>
      </c>
      <c r="L81" s="14"/>
      <c r="M81" s="14">
        <f t="shared" si="23"/>
        <v>5</v>
      </c>
      <c r="N81" s="22">
        <v>45261</v>
      </c>
      <c r="O81" s="23">
        <v>507.27</v>
      </c>
      <c r="P81" s="14"/>
      <c r="Q81" s="14">
        <f t="shared" si="24"/>
        <v>5</v>
      </c>
      <c r="R81" s="22">
        <v>45261</v>
      </c>
      <c r="S81" s="21">
        <v>14305.03</v>
      </c>
      <c r="T81" s="14"/>
      <c r="U81" s="14"/>
      <c r="V81" s="14">
        <v>35</v>
      </c>
      <c r="W81" s="19">
        <f t="shared" si="25"/>
        <v>2.4169128571043703E-2</v>
      </c>
      <c r="X81" s="19">
        <f t="shared" si="26"/>
        <v>-4.4408062576812193E-2</v>
      </c>
      <c r="Y81" s="19">
        <f t="shared" si="27"/>
        <v>1.2043909159592943E-2</v>
      </c>
      <c r="Z81" s="19">
        <f t="shared" si="28"/>
        <v>8.1483395273962388E-3</v>
      </c>
      <c r="AA81" s="19">
        <f t="shared" si="29"/>
        <v>3.80117410458036E-3</v>
      </c>
    </row>
    <row r="82" spans="1:27" x14ac:dyDescent="0.3">
      <c r="A82" s="14">
        <f t="shared" si="20"/>
        <v>5</v>
      </c>
      <c r="B82" s="20">
        <v>45254</v>
      </c>
      <c r="C82" s="21">
        <v>35390.150600000001</v>
      </c>
      <c r="D82" s="14"/>
      <c r="E82" s="14">
        <f t="shared" si="21"/>
        <v>5</v>
      </c>
      <c r="F82" s="22">
        <v>45254</v>
      </c>
      <c r="G82" s="21">
        <v>2253.87</v>
      </c>
      <c r="H82" s="14"/>
      <c r="I82" s="14">
        <f t="shared" si="22"/>
        <v>5</v>
      </c>
      <c r="J82" s="22">
        <v>45254</v>
      </c>
      <c r="K82" s="23">
        <v>225.01</v>
      </c>
      <c r="L82" s="14"/>
      <c r="M82" s="14">
        <f t="shared" si="23"/>
        <v>5</v>
      </c>
      <c r="N82" s="22">
        <v>45254</v>
      </c>
      <c r="O82" s="23">
        <v>503.17</v>
      </c>
      <c r="P82" s="14"/>
      <c r="Q82" s="14">
        <f t="shared" si="24"/>
        <v>5</v>
      </c>
      <c r="R82" s="22">
        <v>45254</v>
      </c>
      <c r="S82" s="21">
        <v>14250.86</v>
      </c>
      <c r="T82" s="14"/>
      <c r="U82" s="14"/>
      <c r="V82" s="14">
        <v>34</v>
      </c>
      <c r="W82" s="19">
        <f t="shared" si="25"/>
        <v>1.2672406672033266E-2</v>
      </c>
      <c r="X82" s="19">
        <f t="shared" si="26"/>
        <v>6.5604373029412803E-3</v>
      </c>
      <c r="Y82" s="19">
        <f t="shared" si="27"/>
        <v>2.4056666815164256E-3</v>
      </c>
      <c r="Z82" s="19">
        <f t="shared" si="28"/>
        <v>1.2088663609300809E-2</v>
      </c>
      <c r="AA82" s="19">
        <f t="shared" si="29"/>
        <v>8.8761585447008542E-3</v>
      </c>
    </row>
    <row r="83" spans="1:27" x14ac:dyDescent="0.3">
      <c r="A83" s="14">
        <f t="shared" si="20"/>
        <v>5</v>
      </c>
      <c r="B83" s="20">
        <v>45247</v>
      </c>
      <c r="C83" s="21">
        <v>34947.284399999997</v>
      </c>
      <c r="D83" s="14"/>
      <c r="E83" s="14">
        <f t="shared" si="21"/>
        <v>5</v>
      </c>
      <c r="F83" s="22">
        <v>45247</v>
      </c>
      <c r="G83" s="21">
        <v>2239.1799999999998</v>
      </c>
      <c r="H83" s="14"/>
      <c r="I83" s="14">
        <f t="shared" si="22"/>
        <v>5</v>
      </c>
      <c r="J83" s="22">
        <v>45247</v>
      </c>
      <c r="K83" s="23">
        <v>224.47</v>
      </c>
      <c r="L83" s="14"/>
      <c r="M83" s="14">
        <f t="shared" si="23"/>
        <v>5</v>
      </c>
      <c r="N83" s="22">
        <v>45247</v>
      </c>
      <c r="O83" s="23">
        <v>497.16</v>
      </c>
      <c r="P83" s="14"/>
      <c r="Q83" s="14">
        <f t="shared" si="24"/>
        <v>5</v>
      </c>
      <c r="R83" s="22">
        <v>45247</v>
      </c>
      <c r="S83" s="21">
        <v>14125.48</v>
      </c>
      <c r="T83" s="14"/>
      <c r="U83" s="14"/>
      <c r="V83" s="14">
        <v>33</v>
      </c>
      <c r="W83" s="19">
        <f t="shared" si="25"/>
        <v>1.9373510337472095E-2</v>
      </c>
      <c r="X83" s="19">
        <f t="shared" si="26"/>
        <v>1.6501500342740887E-2</v>
      </c>
      <c r="Y83" s="19">
        <f t="shared" si="27"/>
        <v>4.4192212866911662E-2</v>
      </c>
      <c r="Z83" s="19">
        <f t="shared" si="28"/>
        <v>4.9968321013727612E-2</v>
      </c>
      <c r="AA83" s="19">
        <f t="shared" si="29"/>
        <v>2.372571315926594E-2</v>
      </c>
    </row>
    <row r="84" spans="1:27" x14ac:dyDescent="0.3">
      <c r="A84" s="14">
        <f t="shared" si="20"/>
        <v>5</v>
      </c>
      <c r="B84" s="20">
        <v>45240</v>
      </c>
      <c r="C84" s="21">
        <v>34283.100400000003</v>
      </c>
      <c r="D84" s="14"/>
      <c r="E84" s="14">
        <f t="shared" si="21"/>
        <v>5</v>
      </c>
      <c r="F84" s="22">
        <v>45240</v>
      </c>
      <c r="G84" s="21">
        <v>2202.83</v>
      </c>
      <c r="H84" s="14"/>
      <c r="I84" s="14">
        <f t="shared" si="22"/>
        <v>5</v>
      </c>
      <c r="J84" s="22">
        <v>45240</v>
      </c>
      <c r="K84" s="23">
        <v>214.97</v>
      </c>
      <c r="L84" s="14"/>
      <c r="M84" s="14">
        <f t="shared" si="23"/>
        <v>5</v>
      </c>
      <c r="N84" s="22">
        <v>45240</v>
      </c>
      <c r="O84" s="23">
        <v>473.5</v>
      </c>
      <c r="P84" s="14"/>
      <c r="Q84" s="14">
        <f t="shared" si="24"/>
        <v>5</v>
      </c>
      <c r="R84" s="22">
        <v>45240</v>
      </c>
      <c r="S84" s="21">
        <v>13798.11</v>
      </c>
      <c r="T84" s="14"/>
      <c r="U84" s="14"/>
      <c r="V84" s="14">
        <v>32</v>
      </c>
      <c r="W84" s="19">
        <f t="shared" si="25"/>
        <v>6.5111743228564046E-3</v>
      </c>
      <c r="X84" s="19">
        <f t="shared" si="26"/>
        <v>-2.4286207843519366E-2</v>
      </c>
      <c r="Y84" s="19">
        <f t="shared" si="27"/>
        <v>1.2195121951219528E-2</v>
      </c>
      <c r="Z84" s="19">
        <f t="shared" si="28"/>
        <v>-6.566938715565524E-3</v>
      </c>
      <c r="AA84" s="19">
        <f t="shared" si="29"/>
        <v>2.3729288900364135E-2</v>
      </c>
    </row>
    <row r="85" spans="1:27" x14ac:dyDescent="0.3">
      <c r="A85" s="14">
        <f t="shared" si="20"/>
        <v>5</v>
      </c>
      <c r="B85" s="20">
        <v>45233</v>
      </c>
      <c r="C85" s="21">
        <v>34061.321199999998</v>
      </c>
      <c r="D85" s="14"/>
      <c r="E85" s="14">
        <f t="shared" si="21"/>
        <v>5</v>
      </c>
      <c r="F85" s="22">
        <v>45233</v>
      </c>
      <c r="G85" s="21">
        <v>2257.66</v>
      </c>
      <c r="H85" s="14"/>
      <c r="I85" s="14">
        <f t="shared" si="22"/>
        <v>4</v>
      </c>
      <c r="J85" s="25">
        <v>45232</v>
      </c>
      <c r="K85" s="27">
        <v>212.38</v>
      </c>
      <c r="L85" s="14"/>
      <c r="M85" s="14">
        <f t="shared" si="23"/>
        <v>5</v>
      </c>
      <c r="N85" s="22">
        <v>45233</v>
      </c>
      <c r="O85" s="23">
        <v>476.63</v>
      </c>
      <c r="P85" s="14"/>
      <c r="Q85" s="14">
        <f t="shared" si="24"/>
        <v>5</v>
      </c>
      <c r="R85" s="22">
        <v>45233</v>
      </c>
      <c r="S85" s="21">
        <v>13478.28</v>
      </c>
      <c r="T85" s="14"/>
      <c r="U85" s="14"/>
      <c r="V85" s="14">
        <v>31</v>
      </c>
      <c r="W85" s="19">
        <f t="shared" si="25"/>
        <v>5.0705072258127266E-2</v>
      </c>
      <c r="X85" s="19">
        <f t="shared" si="26"/>
        <v>1.4906720611373277E-2</v>
      </c>
      <c r="Y85" s="19">
        <f t="shared" si="27"/>
        <v>2.5197914655338865E-2</v>
      </c>
      <c r="Z85" s="19">
        <f t="shared" si="28"/>
        <v>5.0285361715255265E-2</v>
      </c>
      <c r="AA85" s="19">
        <f t="shared" si="29"/>
        <v>6.6065754911211846E-2</v>
      </c>
    </row>
    <row r="86" spans="1:27" x14ac:dyDescent="0.3">
      <c r="A86" s="14">
        <f t="shared" si="20"/>
        <v>5</v>
      </c>
      <c r="B86" s="20">
        <v>45226</v>
      </c>
      <c r="C86" s="21">
        <v>32417.585200000001</v>
      </c>
      <c r="D86" s="14"/>
      <c r="E86" s="14">
        <f t="shared" si="21"/>
        <v>5</v>
      </c>
      <c r="F86" s="22">
        <v>45226</v>
      </c>
      <c r="G86" s="21">
        <v>2224.5</v>
      </c>
      <c r="H86" s="14"/>
      <c r="I86" s="14">
        <f t="shared" si="22"/>
        <v>5</v>
      </c>
      <c r="J86" s="22">
        <v>45226</v>
      </c>
      <c r="K86" s="23">
        <v>207.16</v>
      </c>
      <c r="L86" s="14"/>
      <c r="M86" s="14">
        <f t="shared" si="23"/>
        <v>5</v>
      </c>
      <c r="N86" s="22">
        <v>45226</v>
      </c>
      <c r="O86" s="23">
        <v>453.81</v>
      </c>
      <c r="P86" s="14"/>
      <c r="Q86" s="14">
        <f t="shared" si="24"/>
        <v>5</v>
      </c>
      <c r="R86" s="22">
        <v>45226</v>
      </c>
      <c r="S86" s="21">
        <v>12643.01</v>
      </c>
      <c r="T86" s="14"/>
      <c r="U86" s="14"/>
      <c r="V86" s="14">
        <v>30</v>
      </c>
      <c r="W86" s="19">
        <f t="shared" si="25"/>
        <v>-2.142322684739479E-2</v>
      </c>
      <c r="X86" s="19">
        <f t="shared" si="26"/>
        <v>1.3531984691087942E-2</v>
      </c>
      <c r="Y86" s="19">
        <f t="shared" si="27"/>
        <v>-6.9983702425462941E-3</v>
      </c>
      <c r="Z86" s="19">
        <f t="shared" si="28"/>
        <v>-1.227554684949393E-2</v>
      </c>
      <c r="AA86" s="19">
        <f t="shared" si="29"/>
        <v>-2.6248073562382634E-2</v>
      </c>
    </row>
    <row r="87" spans="1:27" x14ac:dyDescent="0.3">
      <c r="A87" s="14">
        <f t="shared" si="20"/>
        <v>5</v>
      </c>
      <c r="B87" s="20">
        <v>45219</v>
      </c>
      <c r="C87" s="21">
        <v>33127.278400000003</v>
      </c>
      <c r="D87" s="14"/>
      <c r="E87" s="14">
        <f t="shared" si="21"/>
        <v>5</v>
      </c>
      <c r="F87" s="22">
        <v>45219</v>
      </c>
      <c r="G87" s="21">
        <v>2194.8000000000002</v>
      </c>
      <c r="H87" s="14"/>
      <c r="I87" s="14">
        <f t="shared" si="22"/>
        <v>5</v>
      </c>
      <c r="J87" s="22">
        <v>45219</v>
      </c>
      <c r="K87" s="23">
        <v>208.62</v>
      </c>
      <c r="L87" s="14"/>
      <c r="M87" s="14">
        <f t="shared" si="23"/>
        <v>5</v>
      </c>
      <c r="N87" s="22">
        <v>45219</v>
      </c>
      <c r="O87" s="23">
        <v>459.45</v>
      </c>
      <c r="P87" s="14"/>
      <c r="Q87" s="14">
        <f t="shared" si="24"/>
        <v>5</v>
      </c>
      <c r="R87" s="22">
        <v>45219</v>
      </c>
      <c r="S87" s="21">
        <v>12983.81</v>
      </c>
      <c r="T87" s="14"/>
      <c r="U87" s="14"/>
      <c r="V87" s="14">
        <v>29</v>
      </c>
      <c r="W87" s="19">
        <f t="shared" si="25"/>
        <v>-1.6127359729732848E-2</v>
      </c>
      <c r="X87" s="19">
        <f t="shared" si="26"/>
        <v>-3.5951946939582237E-2</v>
      </c>
      <c r="Y87" s="19">
        <f t="shared" si="27"/>
        <v>-3.4568929612661385E-2</v>
      </c>
      <c r="Z87" s="19">
        <f t="shared" si="28"/>
        <v>-2.6671468519617048E-2</v>
      </c>
      <c r="AA87" s="19">
        <f t="shared" si="29"/>
        <v>-3.1581467611132209E-2</v>
      </c>
    </row>
    <row r="88" spans="1:27" x14ac:dyDescent="0.3">
      <c r="A88" s="14">
        <f t="shared" si="20"/>
        <v>5</v>
      </c>
      <c r="B88" s="20">
        <v>45212</v>
      </c>
      <c r="C88" s="21">
        <v>33670.291299999997</v>
      </c>
      <c r="D88" s="14"/>
      <c r="E88" s="14">
        <f t="shared" si="21"/>
        <v>5</v>
      </c>
      <c r="F88" s="22">
        <v>45212</v>
      </c>
      <c r="G88" s="21">
        <v>2276.65</v>
      </c>
      <c r="H88" s="14"/>
      <c r="I88" s="14">
        <f t="shared" si="22"/>
        <v>5</v>
      </c>
      <c r="J88" s="22">
        <v>45212</v>
      </c>
      <c r="K88" s="23">
        <v>216.09</v>
      </c>
      <c r="L88" s="14"/>
      <c r="M88" s="14">
        <f t="shared" si="23"/>
        <v>5</v>
      </c>
      <c r="N88" s="22">
        <v>45212</v>
      </c>
      <c r="O88" s="23">
        <v>472.04</v>
      </c>
      <c r="P88" s="14"/>
      <c r="Q88" s="14">
        <f t="shared" si="24"/>
        <v>5</v>
      </c>
      <c r="R88" s="22">
        <v>45212</v>
      </c>
      <c r="S88" s="21">
        <v>13407.23</v>
      </c>
      <c r="T88" s="14"/>
      <c r="U88" s="14"/>
      <c r="V88" s="14">
        <v>28</v>
      </c>
      <c r="W88" s="19">
        <f t="shared" si="25"/>
        <v>7.8637175298834922E-3</v>
      </c>
      <c r="X88" s="19">
        <f t="shared" si="26"/>
        <v>1.9625318541940124E-2</v>
      </c>
      <c r="Y88" s="19">
        <f t="shared" si="27"/>
        <v>4.1046393987570512E-2</v>
      </c>
      <c r="Z88" s="19">
        <f t="shared" si="28"/>
        <v>2.2080679405520605E-3</v>
      </c>
      <c r="AA88" s="19">
        <f t="shared" si="29"/>
        <v>-1.7950554449519245E-3</v>
      </c>
    </row>
    <row r="89" spans="1:27" x14ac:dyDescent="0.3">
      <c r="A89" s="14">
        <f t="shared" si="20"/>
        <v>5</v>
      </c>
      <c r="B89" s="20">
        <v>45205</v>
      </c>
      <c r="C89" s="21">
        <v>33407.583500000001</v>
      </c>
      <c r="D89" s="14"/>
      <c r="E89" s="14">
        <f t="shared" si="21"/>
        <v>5</v>
      </c>
      <c r="F89" s="22">
        <v>45205</v>
      </c>
      <c r="G89" s="21">
        <v>2232.83</v>
      </c>
      <c r="H89" s="14"/>
      <c r="I89" s="14">
        <f t="shared" si="22"/>
        <v>5</v>
      </c>
      <c r="J89" s="22">
        <v>45205</v>
      </c>
      <c r="K89" s="23">
        <v>207.57</v>
      </c>
      <c r="L89" s="14"/>
      <c r="M89" s="14">
        <f t="shared" si="23"/>
        <v>5</v>
      </c>
      <c r="N89" s="22">
        <v>45205</v>
      </c>
      <c r="O89" s="23">
        <v>471</v>
      </c>
      <c r="P89" s="14"/>
      <c r="Q89" s="14">
        <f t="shared" si="24"/>
        <v>5</v>
      </c>
      <c r="R89" s="22">
        <v>45205</v>
      </c>
      <c r="S89" s="21">
        <v>13431.34</v>
      </c>
      <c r="T89" s="14"/>
      <c r="U89" s="14"/>
      <c r="V89" s="14">
        <v>27</v>
      </c>
      <c r="W89" s="19">
        <f t="shared" si="25"/>
        <v>-2.9818996192180034E-3</v>
      </c>
      <c r="X89" s="19">
        <f t="shared" si="26"/>
        <v>-1.8251448771951517E-2</v>
      </c>
      <c r="Y89" s="19">
        <f t="shared" si="27"/>
        <v>-2.6909193193005526E-2</v>
      </c>
      <c r="Z89" s="19">
        <f t="shared" si="28"/>
        <v>-1.0254686055308052E-2</v>
      </c>
      <c r="AA89" s="19">
        <f t="shared" si="29"/>
        <v>1.6038646465930201E-2</v>
      </c>
    </row>
    <row r="90" spans="1:27" x14ac:dyDescent="0.3">
      <c r="A90" s="14">
        <f t="shared" si="20"/>
        <v>5</v>
      </c>
      <c r="B90" s="20">
        <v>45198</v>
      </c>
      <c r="C90" s="21">
        <v>33507.499499999998</v>
      </c>
      <c r="D90" s="14"/>
      <c r="E90" s="14">
        <f t="shared" si="21"/>
        <v>5</v>
      </c>
      <c r="F90" s="22">
        <v>45198</v>
      </c>
      <c r="G90" s="21">
        <v>2274.34</v>
      </c>
      <c r="H90" s="14"/>
      <c r="I90" s="14">
        <f t="shared" si="22"/>
        <v>5</v>
      </c>
      <c r="J90" s="22">
        <v>45198</v>
      </c>
      <c r="K90" s="23">
        <v>213.31</v>
      </c>
      <c r="L90" s="14"/>
      <c r="M90" s="14">
        <f t="shared" si="23"/>
        <v>5</v>
      </c>
      <c r="N90" s="22">
        <v>45198</v>
      </c>
      <c r="O90" s="23">
        <v>475.88</v>
      </c>
      <c r="P90" s="14"/>
      <c r="Q90" s="14">
        <f t="shared" si="24"/>
        <v>5</v>
      </c>
      <c r="R90" s="22">
        <v>45198</v>
      </c>
      <c r="S90" s="21">
        <v>13219.32</v>
      </c>
      <c r="T90" s="14"/>
      <c r="U90" s="14"/>
      <c r="V90" s="14">
        <v>26</v>
      </c>
      <c r="W90" s="19">
        <f t="shared" si="25"/>
        <v>-1.3436182351550667E-2</v>
      </c>
      <c r="X90" s="19">
        <f t="shared" si="26"/>
        <v>-1.5083341633573936E-2</v>
      </c>
      <c r="Y90" s="19">
        <f t="shared" si="27"/>
        <v>-2.3261138330509568E-2</v>
      </c>
      <c r="Z90" s="19">
        <f t="shared" si="28"/>
        <v>-1.4353472380439524E-2</v>
      </c>
      <c r="AA90" s="19">
        <f t="shared" si="29"/>
        <v>5.6843082060673131E-4</v>
      </c>
    </row>
    <row r="91" spans="1:27" x14ac:dyDescent="0.3">
      <c r="A91" s="14">
        <f t="shared" si="20"/>
        <v>5</v>
      </c>
      <c r="B91" s="20">
        <v>45191</v>
      </c>
      <c r="C91" s="21">
        <v>33963.8439</v>
      </c>
      <c r="D91" s="14"/>
      <c r="E91" s="14">
        <f t="shared" si="21"/>
        <v>5</v>
      </c>
      <c r="F91" s="22">
        <v>45191</v>
      </c>
      <c r="G91" s="21">
        <v>2309.17</v>
      </c>
      <c r="H91" s="14"/>
      <c r="I91" s="14">
        <f t="shared" si="22"/>
        <v>5</v>
      </c>
      <c r="J91" s="22">
        <v>45191</v>
      </c>
      <c r="K91" s="23">
        <v>218.39</v>
      </c>
      <c r="L91" s="14"/>
      <c r="M91" s="14">
        <f t="shared" si="23"/>
        <v>5</v>
      </c>
      <c r="N91" s="22">
        <v>45191</v>
      </c>
      <c r="O91" s="23">
        <v>482.81</v>
      </c>
      <c r="P91" s="14"/>
      <c r="Q91" s="14">
        <f t="shared" si="24"/>
        <v>5</v>
      </c>
      <c r="R91" s="22">
        <v>45191</v>
      </c>
      <c r="S91" s="21">
        <v>13211.81</v>
      </c>
      <c r="T91" s="14"/>
      <c r="U91" s="14"/>
      <c r="V91" s="14">
        <v>25</v>
      </c>
      <c r="W91" s="19">
        <f t="shared" si="25"/>
        <v>-1.890323392113687E-2</v>
      </c>
      <c r="X91" s="19">
        <f t="shared" si="26"/>
        <v>-6.1588651505500138E-3</v>
      </c>
      <c r="Y91" s="19">
        <f t="shared" si="27"/>
        <v>-3.7293365660127871E-2</v>
      </c>
      <c r="Z91" s="19">
        <f t="shared" si="28"/>
        <v>-1.9037750416514291E-2</v>
      </c>
      <c r="AA91" s="19">
        <f t="shared" si="29"/>
        <v>-3.6221015819566819E-2</v>
      </c>
    </row>
    <row r="92" spans="1:27" x14ac:dyDescent="0.3">
      <c r="A92" s="14">
        <f t="shared" si="20"/>
        <v>5</v>
      </c>
      <c r="B92" s="20">
        <v>45184</v>
      </c>
      <c r="C92" s="21">
        <v>34618.240599999997</v>
      </c>
      <c r="D92" s="14"/>
      <c r="E92" s="14">
        <f t="shared" si="21"/>
        <v>5</v>
      </c>
      <c r="F92" s="22">
        <v>45184</v>
      </c>
      <c r="G92" s="21">
        <v>2323.48</v>
      </c>
      <c r="H92" s="14"/>
      <c r="I92" s="14">
        <f t="shared" si="22"/>
        <v>5</v>
      </c>
      <c r="J92" s="22">
        <v>45184</v>
      </c>
      <c r="K92" s="23">
        <v>226.85</v>
      </c>
      <c r="L92" s="14"/>
      <c r="M92" s="14">
        <f t="shared" si="23"/>
        <v>5</v>
      </c>
      <c r="N92" s="22">
        <v>45184</v>
      </c>
      <c r="O92" s="23">
        <v>492.18</v>
      </c>
      <c r="P92" s="14"/>
      <c r="Q92" s="14">
        <f t="shared" si="24"/>
        <v>5</v>
      </c>
      <c r="R92" s="22">
        <v>45184</v>
      </c>
      <c r="S92" s="21">
        <v>13708.34</v>
      </c>
      <c r="T92" s="14"/>
      <c r="U92" s="14"/>
      <c r="V92" s="14">
        <v>24</v>
      </c>
      <c r="W92" s="19">
        <f t="shared" si="25"/>
        <v>1.204676447678246E-3</v>
      </c>
      <c r="X92" s="19">
        <f t="shared" si="26"/>
        <v>6.546193732880764E-4</v>
      </c>
      <c r="Y92" s="19">
        <f t="shared" si="27"/>
        <v>2.8331822302810516E-2</v>
      </c>
      <c r="Z92" s="19">
        <f t="shared" si="28"/>
        <v>1.1800016446015971E-2</v>
      </c>
      <c r="AA92" s="19">
        <f t="shared" si="29"/>
        <v>-3.8651225554135701E-3</v>
      </c>
    </row>
    <row r="93" spans="1:27" x14ac:dyDescent="0.3">
      <c r="A93" s="14">
        <f t="shared" si="20"/>
        <v>5</v>
      </c>
      <c r="B93" s="20">
        <v>45177</v>
      </c>
      <c r="C93" s="21">
        <v>34576.587</v>
      </c>
      <c r="D93" s="14"/>
      <c r="E93" s="14">
        <f t="shared" si="21"/>
        <v>4</v>
      </c>
      <c r="F93" s="25">
        <v>45176</v>
      </c>
      <c r="G93" s="26">
        <v>2321.96</v>
      </c>
      <c r="H93" s="14"/>
      <c r="I93" s="14">
        <f t="shared" si="22"/>
        <v>5</v>
      </c>
      <c r="J93" s="22">
        <v>45177</v>
      </c>
      <c r="K93" s="23">
        <v>220.6</v>
      </c>
      <c r="L93" s="14"/>
      <c r="M93" s="14">
        <f t="shared" si="23"/>
        <v>5</v>
      </c>
      <c r="N93" s="22">
        <v>45177</v>
      </c>
      <c r="O93" s="23">
        <v>486.44</v>
      </c>
      <c r="P93" s="14"/>
      <c r="Q93" s="14">
        <f t="shared" si="24"/>
        <v>5</v>
      </c>
      <c r="R93" s="22">
        <v>45177</v>
      </c>
      <c r="S93" s="21">
        <v>13761.53</v>
      </c>
      <c r="T93" s="14"/>
      <c r="U93" s="14"/>
      <c r="V93" s="14">
        <v>23</v>
      </c>
      <c r="W93" s="19">
        <f t="shared" si="25"/>
        <v>-7.4954977670320614E-3</v>
      </c>
      <c r="X93" s="19">
        <f t="shared" si="26"/>
        <v>-9.4618922078032186E-3</v>
      </c>
      <c r="Y93" s="19">
        <f t="shared" si="27"/>
        <v>-1.3813760114444112E-2</v>
      </c>
      <c r="Z93" s="19">
        <f t="shared" si="28"/>
        <v>-1.4385865380718933E-2</v>
      </c>
      <c r="AA93" s="19">
        <f t="shared" si="29"/>
        <v>-1.9262647325863577E-2</v>
      </c>
    </row>
    <row r="94" spans="1:27" x14ac:dyDescent="0.3">
      <c r="A94" s="14">
        <f t="shared" si="20"/>
        <v>5</v>
      </c>
      <c r="B94" s="20">
        <v>45170</v>
      </c>
      <c r="C94" s="21">
        <v>34837.713000000003</v>
      </c>
      <c r="D94" s="14"/>
      <c r="E94" s="14">
        <f t="shared" si="21"/>
        <v>4</v>
      </c>
      <c r="F94" s="25">
        <v>45169</v>
      </c>
      <c r="G94" s="26">
        <v>2344.14</v>
      </c>
      <c r="H94" s="14"/>
      <c r="I94" s="14">
        <f t="shared" si="22"/>
        <v>5</v>
      </c>
      <c r="J94" s="22">
        <v>45170</v>
      </c>
      <c r="K94" s="23">
        <v>223.69</v>
      </c>
      <c r="L94" s="14"/>
      <c r="M94" s="14">
        <f t="shared" si="23"/>
        <v>5</v>
      </c>
      <c r="N94" s="22">
        <v>45170</v>
      </c>
      <c r="O94" s="23">
        <v>493.54</v>
      </c>
      <c r="P94" s="14"/>
      <c r="Q94" s="14">
        <f t="shared" si="24"/>
        <v>5</v>
      </c>
      <c r="R94" s="22">
        <v>45170</v>
      </c>
      <c r="S94" s="21">
        <v>14031.82</v>
      </c>
      <c r="T94" s="14"/>
      <c r="U94" s="14"/>
      <c r="V94" s="14">
        <v>22</v>
      </c>
      <c r="W94" s="19">
        <f t="shared" si="25"/>
        <v>1.4289910172938588E-2</v>
      </c>
      <c r="X94" s="19">
        <f t="shared" si="26"/>
        <v>2.396833925225067E-2</v>
      </c>
      <c r="Y94" s="19">
        <f t="shared" si="27"/>
        <v>3.5601851851851843E-2</v>
      </c>
      <c r="Z94" s="19">
        <f t="shared" si="28"/>
        <v>1.2389743589743632E-2</v>
      </c>
      <c r="AA94" s="19">
        <f t="shared" si="29"/>
        <v>3.2461287723545236E-2</v>
      </c>
    </row>
    <row r="95" spans="1:27" x14ac:dyDescent="0.3">
      <c r="A95" s="14">
        <f t="shared" si="20"/>
        <v>5</v>
      </c>
      <c r="B95" s="20">
        <v>45163</v>
      </c>
      <c r="C95" s="21">
        <v>34346.8989</v>
      </c>
      <c r="D95" s="14"/>
      <c r="E95" s="14">
        <f t="shared" si="21"/>
        <v>5</v>
      </c>
      <c r="F95" s="22">
        <v>45163</v>
      </c>
      <c r="G95" s="21">
        <v>2289.27</v>
      </c>
      <c r="H95" s="14"/>
      <c r="I95" s="14">
        <f t="shared" si="22"/>
        <v>5</v>
      </c>
      <c r="J95" s="22">
        <v>45163</v>
      </c>
      <c r="K95" s="23">
        <v>216</v>
      </c>
      <c r="L95" s="14"/>
      <c r="M95" s="14">
        <f t="shared" si="23"/>
        <v>5</v>
      </c>
      <c r="N95" s="22">
        <v>45163</v>
      </c>
      <c r="O95" s="23">
        <v>487.5</v>
      </c>
      <c r="P95" s="14"/>
      <c r="Q95" s="14">
        <f t="shared" si="24"/>
        <v>5</v>
      </c>
      <c r="R95" s="22">
        <v>45163</v>
      </c>
      <c r="S95" s="21">
        <v>13590.65</v>
      </c>
      <c r="T95" s="14"/>
      <c r="U95" s="14"/>
      <c r="V95" s="14">
        <v>21</v>
      </c>
      <c r="W95" s="19">
        <f t="shared" si="25"/>
        <v>-4.4567986166200602E-3</v>
      </c>
      <c r="X95" s="19">
        <f t="shared" si="26"/>
        <v>-1.0690660290087002E-3</v>
      </c>
      <c r="Y95" s="19">
        <f t="shared" si="27"/>
        <v>-1.6177490177952129E-3</v>
      </c>
      <c r="Z95" s="19">
        <f t="shared" si="28"/>
        <v>5.5415306939224146E-4</v>
      </c>
      <c r="AA95" s="19">
        <f t="shared" si="29"/>
        <v>2.2562257444634474E-2</v>
      </c>
    </row>
    <row r="96" spans="1:27" x14ac:dyDescent="0.3">
      <c r="A96" s="14">
        <f t="shared" si="20"/>
        <v>5</v>
      </c>
      <c r="B96" s="20">
        <v>45156</v>
      </c>
      <c r="C96" s="21">
        <v>34500.661399999997</v>
      </c>
      <c r="D96" s="14"/>
      <c r="E96" s="14">
        <f t="shared" si="21"/>
        <v>5</v>
      </c>
      <c r="F96" s="22">
        <v>45156</v>
      </c>
      <c r="G96" s="21">
        <v>2291.7199999999998</v>
      </c>
      <c r="H96" s="14"/>
      <c r="I96" s="14">
        <f t="shared" si="22"/>
        <v>5</v>
      </c>
      <c r="J96" s="22">
        <v>45156</v>
      </c>
      <c r="K96" s="23">
        <v>216.35</v>
      </c>
      <c r="L96" s="14"/>
      <c r="M96" s="14">
        <f t="shared" si="23"/>
        <v>5</v>
      </c>
      <c r="N96" s="22">
        <v>45156</v>
      </c>
      <c r="O96" s="23">
        <v>487.23</v>
      </c>
      <c r="P96" s="14"/>
      <c r="Q96" s="14">
        <f t="shared" si="24"/>
        <v>5</v>
      </c>
      <c r="R96" s="22">
        <v>45156</v>
      </c>
      <c r="S96" s="21">
        <v>13290.78</v>
      </c>
      <c r="T96" s="14"/>
      <c r="U96" s="14"/>
      <c r="V96" s="14">
        <v>20</v>
      </c>
      <c r="W96" s="19">
        <f t="shared" si="25"/>
        <v>-2.2128986701212171E-2</v>
      </c>
      <c r="X96" s="19">
        <f t="shared" si="26"/>
        <v>-6.0820530053726771E-2</v>
      </c>
      <c r="Y96" s="19">
        <f t="shared" si="27"/>
        <v>-3.5744529125997279E-2</v>
      </c>
      <c r="Z96" s="19">
        <f t="shared" si="28"/>
        <v>-3.0426649685584582E-2</v>
      </c>
      <c r="AA96" s="19">
        <f t="shared" si="29"/>
        <v>-2.5948984415365483E-2</v>
      </c>
    </row>
    <row r="97" spans="1:27" x14ac:dyDescent="0.3">
      <c r="A97" s="14">
        <f t="shared" si="20"/>
        <v>5</v>
      </c>
      <c r="B97" s="20">
        <v>45149</v>
      </c>
      <c r="C97" s="21">
        <v>35281.403100000003</v>
      </c>
      <c r="D97" s="14"/>
      <c r="E97" s="14">
        <f t="shared" si="21"/>
        <v>5</v>
      </c>
      <c r="F97" s="22">
        <v>45149</v>
      </c>
      <c r="G97" s="21">
        <v>2440.13</v>
      </c>
      <c r="H97" s="14"/>
      <c r="I97" s="14">
        <f t="shared" si="22"/>
        <v>4</v>
      </c>
      <c r="J97" s="25">
        <v>45148</v>
      </c>
      <c r="K97" s="27">
        <v>224.37</v>
      </c>
      <c r="L97" s="14"/>
      <c r="M97" s="14">
        <f t="shared" si="23"/>
        <v>5</v>
      </c>
      <c r="N97" s="22">
        <v>45149</v>
      </c>
      <c r="O97" s="23">
        <v>502.52</v>
      </c>
      <c r="P97" s="14"/>
      <c r="Q97" s="14">
        <f t="shared" si="24"/>
        <v>5</v>
      </c>
      <c r="R97" s="22">
        <v>45149</v>
      </c>
      <c r="S97" s="21">
        <v>13644.85</v>
      </c>
      <c r="T97" s="14"/>
      <c r="U97" s="14"/>
      <c r="V97" s="14">
        <v>19</v>
      </c>
      <c r="W97" s="19">
        <f t="shared" si="25"/>
        <v>6.1536510909981183E-3</v>
      </c>
      <c r="X97" s="19">
        <f t="shared" si="26"/>
        <v>-2.4544978473174453E-2</v>
      </c>
      <c r="Y97" s="19">
        <f t="shared" si="27"/>
        <v>-1.2064638281009243E-2</v>
      </c>
      <c r="Z97" s="19">
        <f t="shared" si="28"/>
        <v>-6.2097061266464483E-3</v>
      </c>
      <c r="AA97" s="19">
        <f t="shared" si="29"/>
        <v>-1.7795764058200061E-2</v>
      </c>
    </row>
    <row r="98" spans="1:27" x14ac:dyDescent="0.3">
      <c r="A98" s="14">
        <f t="shared" si="20"/>
        <v>5</v>
      </c>
      <c r="B98" s="20">
        <v>45142</v>
      </c>
      <c r="C98" s="21">
        <v>35065.621500000001</v>
      </c>
      <c r="D98" s="14"/>
      <c r="E98" s="14">
        <f t="shared" si="21"/>
        <v>5</v>
      </c>
      <c r="F98" s="22">
        <v>45142</v>
      </c>
      <c r="G98" s="21">
        <v>2501.5300000000002</v>
      </c>
      <c r="H98" s="14"/>
      <c r="I98" s="14">
        <f t="shared" si="22"/>
        <v>5</v>
      </c>
      <c r="J98" s="22">
        <v>45142</v>
      </c>
      <c r="K98" s="23">
        <v>227.11</v>
      </c>
      <c r="L98" s="14"/>
      <c r="M98" s="14">
        <f t="shared" si="23"/>
        <v>5</v>
      </c>
      <c r="N98" s="22">
        <v>45142</v>
      </c>
      <c r="O98" s="23">
        <v>505.66</v>
      </c>
      <c r="P98" s="14"/>
      <c r="Q98" s="14">
        <f t="shared" si="24"/>
        <v>5</v>
      </c>
      <c r="R98" s="22">
        <v>45142</v>
      </c>
      <c r="S98" s="21">
        <v>13892.07</v>
      </c>
      <c r="T98" s="14"/>
      <c r="U98" s="14"/>
      <c r="V98" s="14">
        <v>18</v>
      </c>
      <c r="W98" s="19">
        <f t="shared" si="25"/>
        <v>-1.1101920696506255E-2</v>
      </c>
      <c r="X98" s="19">
        <f t="shared" si="26"/>
        <v>-2.0843282004712731E-2</v>
      </c>
      <c r="Y98" s="19">
        <f t="shared" si="27"/>
        <v>-2.1457193330173596E-2</v>
      </c>
      <c r="Z98" s="19">
        <f t="shared" si="28"/>
        <v>-2.4895385386736649E-2</v>
      </c>
      <c r="AA98" s="19">
        <f t="shared" si="29"/>
        <v>-2.9657056883379235E-2</v>
      </c>
    </row>
    <row r="99" spans="1:27" x14ac:dyDescent="0.3">
      <c r="A99" s="14">
        <f t="shared" ref="A99:A130" si="30">WEEKDAY(B99,2)</f>
        <v>5</v>
      </c>
      <c r="B99" s="20">
        <v>45135</v>
      </c>
      <c r="C99" s="21">
        <v>35459.287700000001</v>
      </c>
      <c r="D99" s="14"/>
      <c r="E99" s="14">
        <f t="shared" ref="E99:E130" si="31">WEEKDAY(F99,2)</f>
        <v>5</v>
      </c>
      <c r="F99" s="22">
        <v>45135</v>
      </c>
      <c r="G99" s="21">
        <v>2554.7800000000002</v>
      </c>
      <c r="H99" s="14"/>
      <c r="I99" s="14">
        <f t="shared" ref="I99:I130" si="32">WEEKDAY(J99,2)</f>
        <v>5</v>
      </c>
      <c r="J99" s="22">
        <v>45135</v>
      </c>
      <c r="K99" s="23">
        <v>232.09</v>
      </c>
      <c r="L99" s="14"/>
      <c r="M99" s="14">
        <f t="shared" ref="M99:M130" si="33">WEEKDAY(N99,2)</f>
        <v>5</v>
      </c>
      <c r="N99" s="22">
        <v>45135</v>
      </c>
      <c r="O99" s="23">
        <v>518.57000000000005</v>
      </c>
      <c r="P99" s="14"/>
      <c r="Q99" s="14">
        <f t="shared" ref="Q99:Q130" si="34">WEEKDAY(R99,2)</f>
        <v>5</v>
      </c>
      <c r="R99" s="22">
        <v>45135</v>
      </c>
      <c r="S99" s="21">
        <v>14316.66</v>
      </c>
      <c r="T99" s="14"/>
      <c r="U99" s="14"/>
      <c r="V99" s="14">
        <v>17</v>
      </c>
      <c r="W99" s="19">
        <f t="shared" ref="W99:W115" si="35">(C99-C100)/C100</f>
        <v>6.5743541662529777E-3</v>
      </c>
      <c r="X99" s="19">
        <f t="shared" ref="X99:X115" si="36">(G99-G100)/G100</f>
        <v>4.6942296422878248E-2</v>
      </c>
      <c r="Y99" s="19">
        <f t="shared" ref="Y99:Y115" si="37">(K99-K100)/K100</f>
        <v>1.869815213097481E-2</v>
      </c>
      <c r="Z99" s="19">
        <f t="shared" ref="Z99:Z115" si="38">(O99-O100)/O100</f>
        <v>1.7579105976897615E-3</v>
      </c>
      <c r="AA99" s="19">
        <f t="shared" ref="AA99:AA115" si="39">(S99-S100)/S100</f>
        <v>2.022759518585375E-2</v>
      </c>
    </row>
    <row r="100" spans="1:27" x14ac:dyDescent="0.3">
      <c r="A100" s="14">
        <f t="shared" si="30"/>
        <v>5</v>
      </c>
      <c r="B100" s="20">
        <v>45128</v>
      </c>
      <c r="C100" s="21">
        <v>35227.688399999999</v>
      </c>
      <c r="D100" s="14"/>
      <c r="E100" s="14">
        <f t="shared" si="31"/>
        <v>5</v>
      </c>
      <c r="F100" s="22">
        <v>45128</v>
      </c>
      <c r="G100" s="21">
        <v>2440.23</v>
      </c>
      <c r="H100" s="14"/>
      <c r="I100" s="14">
        <f t="shared" si="32"/>
        <v>5</v>
      </c>
      <c r="J100" s="22">
        <v>45128</v>
      </c>
      <c r="K100" s="23">
        <v>227.83</v>
      </c>
      <c r="L100" s="14"/>
      <c r="M100" s="14">
        <f t="shared" si="33"/>
        <v>5</v>
      </c>
      <c r="N100" s="22">
        <v>45128</v>
      </c>
      <c r="O100" s="23">
        <v>517.66</v>
      </c>
      <c r="P100" s="14"/>
      <c r="Q100" s="14">
        <f t="shared" si="34"/>
        <v>5</v>
      </c>
      <c r="R100" s="22">
        <v>45128</v>
      </c>
      <c r="S100" s="21">
        <v>14032.81</v>
      </c>
      <c r="T100" s="14"/>
      <c r="U100" s="14"/>
      <c r="V100" s="14">
        <v>16</v>
      </c>
      <c r="W100" s="19">
        <f t="shared" si="35"/>
        <v>2.0825177195568763E-2</v>
      </c>
      <c r="X100" s="19">
        <f t="shared" si="36"/>
        <v>-1.7838240325209861E-2</v>
      </c>
      <c r="Y100" s="19">
        <f t="shared" si="37"/>
        <v>-2.4199074867226219E-2</v>
      </c>
      <c r="Z100" s="19">
        <f t="shared" si="38"/>
        <v>5.6052728221575197E-4</v>
      </c>
      <c r="AA100" s="19">
        <f t="shared" si="39"/>
        <v>-5.7313107122867312E-3</v>
      </c>
    </row>
    <row r="101" spans="1:27" x14ac:dyDescent="0.3">
      <c r="A101" s="14">
        <f t="shared" si="30"/>
        <v>5</v>
      </c>
      <c r="B101" s="20">
        <v>45121</v>
      </c>
      <c r="C101" s="21">
        <v>34509.0317</v>
      </c>
      <c r="D101" s="14"/>
      <c r="E101" s="14">
        <f t="shared" si="31"/>
        <v>5</v>
      </c>
      <c r="F101" s="22">
        <v>45121</v>
      </c>
      <c r="G101" s="21">
        <v>2484.5500000000002</v>
      </c>
      <c r="H101" s="14"/>
      <c r="I101" s="14">
        <f t="shared" si="32"/>
        <v>5</v>
      </c>
      <c r="J101" s="22">
        <v>45121</v>
      </c>
      <c r="K101" s="23">
        <v>233.48</v>
      </c>
      <c r="L101" s="14"/>
      <c r="M101" s="14">
        <f t="shared" si="33"/>
        <v>5</v>
      </c>
      <c r="N101" s="22">
        <v>45121</v>
      </c>
      <c r="O101" s="23">
        <v>517.37</v>
      </c>
      <c r="P101" s="14"/>
      <c r="Q101" s="14">
        <f t="shared" si="34"/>
        <v>5</v>
      </c>
      <c r="R101" s="22">
        <v>45121</v>
      </c>
      <c r="S101" s="21">
        <v>14113.7</v>
      </c>
      <c r="T101" s="14"/>
      <c r="U101" s="14"/>
      <c r="V101" s="14">
        <v>15</v>
      </c>
      <c r="W101" s="19">
        <f t="shared" si="35"/>
        <v>2.2948084642409661E-2</v>
      </c>
      <c r="X101" s="19">
        <f t="shared" si="36"/>
        <v>5.8841328287477485E-2</v>
      </c>
      <c r="Y101" s="19">
        <f t="shared" si="37"/>
        <v>2.4124923238880606E-2</v>
      </c>
      <c r="Z101" s="19">
        <f t="shared" si="38"/>
        <v>5.383549924634376E-2</v>
      </c>
      <c r="AA101" s="19">
        <f t="shared" si="39"/>
        <v>3.3159306390878475E-2</v>
      </c>
    </row>
    <row r="102" spans="1:27" x14ac:dyDescent="0.3">
      <c r="A102" s="14">
        <f t="shared" si="30"/>
        <v>5</v>
      </c>
      <c r="B102" s="20">
        <v>45114</v>
      </c>
      <c r="C102" s="21">
        <v>33734.880799999999</v>
      </c>
      <c r="D102" s="14"/>
      <c r="E102" s="14">
        <f t="shared" si="31"/>
        <v>5</v>
      </c>
      <c r="F102" s="22">
        <v>45114</v>
      </c>
      <c r="G102" s="21">
        <v>2346.48</v>
      </c>
      <c r="H102" s="14"/>
      <c r="I102" s="14">
        <f t="shared" si="32"/>
        <v>5</v>
      </c>
      <c r="J102" s="22">
        <v>45114</v>
      </c>
      <c r="K102" s="23">
        <v>227.98</v>
      </c>
      <c r="L102" s="14"/>
      <c r="M102" s="14">
        <f t="shared" si="33"/>
        <v>5</v>
      </c>
      <c r="N102" s="22">
        <v>45114</v>
      </c>
      <c r="O102" s="23">
        <v>490.94</v>
      </c>
      <c r="P102" s="14"/>
      <c r="Q102" s="14">
        <f t="shared" si="34"/>
        <v>5</v>
      </c>
      <c r="R102" s="22">
        <v>45114</v>
      </c>
      <c r="S102" s="21">
        <v>13660.72</v>
      </c>
      <c r="T102" s="14"/>
      <c r="U102" s="14"/>
      <c r="V102" s="14">
        <v>14</v>
      </c>
      <c r="W102" s="19">
        <f t="shared" si="35"/>
        <v>-1.9551468337086833E-2</v>
      </c>
      <c r="X102" s="19">
        <f t="shared" si="36"/>
        <v>-2.7986280260476191E-2</v>
      </c>
      <c r="Y102" s="19">
        <f t="shared" si="37"/>
        <v>-8.6533026046876071E-3</v>
      </c>
      <c r="Z102" s="19">
        <f t="shared" si="38"/>
        <v>-2.5854713574220745E-2</v>
      </c>
      <c r="AA102" s="19">
        <f t="shared" si="39"/>
        <v>-9.2254669304725236E-3</v>
      </c>
    </row>
    <row r="103" spans="1:27" x14ac:dyDescent="0.3">
      <c r="A103" s="14">
        <f t="shared" si="30"/>
        <v>5</v>
      </c>
      <c r="B103" s="20">
        <v>45107</v>
      </c>
      <c r="C103" s="21">
        <v>34407.599900000001</v>
      </c>
      <c r="D103" s="14"/>
      <c r="E103" s="14">
        <f t="shared" si="31"/>
        <v>5</v>
      </c>
      <c r="F103" s="22">
        <v>45107</v>
      </c>
      <c r="G103" s="21">
        <v>2414.04</v>
      </c>
      <c r="H103" s="14"/>
      <c r="I103" s="14">
        <f t="shared" si="32"/>
        <v>5</v>
      </c>
      <c r="J103" s="22">
        <v>45107</v>
      </c>
      <c r="K103" s="23">
        <v>229.97</v>
      </c>
      <c r="L103" s="14"/>
      <c r="M103" s="14">
        <f t="shared" si="33"/>
        <v>5</v>
      </c>
      <c r="N103" s="22">
        <v>45107</v>
      </c>
      <c r="O103" s="23">
        <v>503.97</v>
      </c>
      <c r="P103" s="14"/>
      <c r="Q103" s="14">
        <f t="shared" si="34"/>
        <v>5</v>
      </c>
      <c r="R103" s="22">
        <v>45107</v>
      </c>
      <c r="S103" s="21">
        <v>13787.92</v>
      </c>
      <c r="T103" s="14"/>
      <c r="U103" s="14"/>
      <c r="V103" s="14">
        <v>13</v>
      </c>
      <c r="W103" s="19">
        <f t="shared" si="35"/>
        <v>2.0166571703416836E-2</v>
      </c>
      <c r="X103" s="19">
        <f t="shared" si="36"/>
        <v>6.0930874544564502E-4</v>
      </c>
      <c r="Y103" s="19">
        <f t="shared" si="37"/>
        <v>7.9330294530154371E-3</v>
      </c>
      <c r="Z103" s="19">
        <f t="shared" si="38"/>
        <v>2.1381378946941774E-2</v>
      </c>
      <c r="AA103" s="19">
        <f t="shared" si="39"/>
        <v>2.1893612164369563E-2</v>
      </c>
    </row>
    <row r="104" spans="1:27" x14ac:dyDescent="0.3">
      <c r="A104" s="14">
        <f t="shared" si="30"/>
        <v>5</v>
      </c>
      <c r="B104" s="20">
        <v>45100</v>
      </c>
      <c r="C104" s="21">
        <v>33727.433199999999</v>
      </c>
      <c r="D104" s="14"/>
      <c r="E104" s="14">
        <f t="shared" si="31"/>
        <v>5</v>
      </c>
      <c r="F104" s="22">
        <v>45100</v>
      </c>
      <c r="G104" s="21">
        <v>2412.5700000000002</v>
      </c>
      <c r="H104" s="14"/>
      <c r="I104" s="14">
        <f t="shared" si="32"/>
        <v>5</v>
      </c>
      <c r="J104" s="22">
        <v>45100</v>
      </c>
      <c r="K104" s="23">
        <v>228.16</v>
      </c>
      <c r="L104" s="14"/>
      <c r="M104" s="14">
        <f t="shared" si="33"/>
        <v>5</v>
      </c>
      <c r="N104" s="22">
        <v>45100</v>
      </c>
      <c r="O104" s="23">
        <v>493.42</v>
      </c>
      <c r="P104" s="14"/>
      <c r="Q104" s="14">
        <f t="shared" si="34"/>
        <v>5</v>
      </c>
      <c r="R104" s="22">
        <v>45100</v>
      </c>
      <c r="S104" s="21">
        <v>13492.52</v>
      </c>
      <c r="T104" s="14"/>
      <c r="U104" s="14"/>
      <c r="V104" s="14">
        <v>12</v>
      </c>
      <c r="W104" s="19">
        <f t="shared" si="35"/>
        <v>-1.6667563725745994E-2</v>
      </c>
      <c r="X104" s="19">
        <f t="shared" si="36"/>
        <v>-5.8623151930888275E-2</v>
      </c>
      <c r="Y104" s="19">
        <f t="shared" si="37"/>
        <v>-4.0013464046787524E-2</v>
      </c>
      <c r="Z104" s="19">
        <f t="shared" si="38"/>
        <v>-3.3173312432644278E-2</v>
      </c>
      <c r="AA104" s="19">
        <f t="shared" si="39"/>
        <v>-1.4394170160202203E-2</v>
      </c>
    </row>
    <row r="105" spans="1:27" x14ac:dyDescent="0.3">
      <c r="A105" s="14">
        <f t="shared" si="30"/>
        <v>5</v>
      </c>
      <c r="B105" s="20">
        <v>45093</v>
      </c>
      <c r="C105" s="21">
        <v>34299.115899999997</v>
      </c>
      <c r="D105" s="14"/>
      <c r="E105" s="14">
        <f t="shared" si="31"/>
        <v>5</v>
      </c>
      <c r="F105" s="22">
        <v>45093</v>
      </c>
      <c r="G105" s="21">
        <v>2562.81</v>
      </c>
      <c r="H105" s="14"/>
      <c r="I105" s="14">
        <f t="shared" si="32"/>
        <v>5</v>
      </c>
      <c r="J105" s="22">
        <v>45093</v>
      </c>
      <c r="K105" s="23">
        <v>237.67</v>
      </c>
      <c r="L105" s="14"/>
      <c r="M105" s="14">
        <f t="shared" si="33"/>
        <v>5</v>
      </c>
      <c r="N105" s="22">
        <v>45093</v>
      </c>
      <c r="O105" s="23">
        <v>510.35</v>
      </c>
      <c r="P105" s="14"/>
      <c r="Q105" s="14">
        <f t="shared" si="34"/>
        <v>5</v>
      </c>
      <c r="R105" s="22">
        <v>45093</v>
      </c>
      <c r="S105" s="21">
        <v>13689.57</v>
      </c>
      <c r="T105" s="14"/>
      <c r="U105" s="14"/>
      <c r="V105" s="14">
        <v>11</v>
      </c>
      <c r="W105" s="19">
        <f t="shared" si="35"/>
        <v>1.2466828348109782E-2</v>
      </c>
      <c r="X105" s="19">
        <f t="shared" si="36"/>
        <v>3.6069033267437121E-2</v>
      </c>
      <c r="Y105" s="19">
        <f t="shared" si="37"/>
        <v>2.6386249784073178E-2</v>
      </c>
      <c r="Z105" s="19">
        <f t="shared" si="38"/>
        <v>3.2323967878309802E-2</v>
      </c>
      <c r="AA105" s="19">
        <f t="shared" si="39"/>
        <v>3.2462889750013976E-2</v>
      </c>
    </row>
    <row r="106" spans="1:27" x14ac:dyDescent="0.3">
      <c r="A106" s="14">
        <f t="shared" si="30"/>
        <v>5</v>
      </c>
      <c r="B106" s="20">
        <v>45086</v>
      </c>
      <c r="C106" s="21">
        <v>33876.779900000001</v>
      </c>
      <c r="D106" s="14"/>
      <c r="E106" s="14">
        <f t="shared" si="31"/>
        <v>5</v>
      </c>
      <c r="F106" s="22">
        <v>45086</v>
      </c>
      <c r="G106" s="21">
        <v>2473.59</v>
      </c>
      <c r="H106" s="14"/>
      <c r="I106" s="14">
        <f t="shared" si="32"/>
        <v>5</v>
      </c>
      <c r="J106" s="22">
        <v>45086</v>
      </c>
      <c r="K106" s="23">
        <v>231.56</v>
      </c>
      <c r="L106" s="14"/>
      <c r="M106" s="14">
        <f t="shared" si="33"/>
        <v>5</v>
      </c>
      <c r="N106" s="22">
        <v>45086</v>
      </c>
      <c r="O106" s="23">
        <v>494.37</v>
      </c>
      <c r="P106" s="14"/>
      <c r="Q106" s="14">
        <f t="shared" si="34"/>
        <v>5</v>
      </c>
      <c r="R106" s="22">
        <v>45086</v>
      </c>
      <c r="S106" s="21">
        <v>13259.14</v>
      </c>
      <c r="T106" s="14"/>
      <c r="U106" s="14"/>
      <c r="V106" s="14">
        <v>10</v>
      </c>
      <c r="W106" s="19">
        <f t="shared" si="35"/>
        <v>3.37709953253611E-3</v>
      </c>
      <c r="X106" s="19">
        <f t="shared" si="36"/>
        <v>2.3049308065810268E-2</v>
      </c>
      <c r="Y106" s="19">
        <f t="shared" si="37"/>
        <v>2.7922049096639551E-2</v>
      </c>
      <c r="Z106" s="19">
        <f t="shared" si="38"/>
        <v>-8.2865111766839447E-4</v>
      </c>
      <c r="AA106" s="19">
        <f t="shared" si="39"/>
        <v>1.3873815495623729E-3</v>
      </c>
    </row>
    <row r="107" spans="1:27" x14ac:dyDescent="0.3">
      <c r="A107" s="14">
        <f t="shared" si="30"/>
        <v>5</v>
      </c>
      <c r="B107" s="20">
        <v>45079</v>
      </c>
      <c r="C107" s="21">
        <v>33762.759700000002</v>
      </c>
      <c r="D107" s="14"/>
      <c r="E107" s="14">
        <f t="shared" si="31"/>
        <v>5</v>
      </c>
      <c r="F107" s="22">
        <v>45079</v>
      </c>
      <c r="G107" s="21">
        <v>2417.86</v>
      </c>
      <c r="H107" s="14"/>
      <c r="I107" s="14">
        <f t="shared" si="32"/>
        <v>5</v>
      </c>
      <c r="J107" s="22">
        <v>45079</v>
      </c>
      <c r="K107" s="23">
        <v>225.27</v>
      </c>
      <c r="L107" s="14"/>
      <c r="M107" s="14">
        <f t="shared" si="33"/>
        <v>5</v>
      </c>
      <c r="N107" s="22">
        <v>45079</v>
      </c>
      <c r="O107" s="23">
        <v>494.78</v>
      </c>
      <c r="P107" s="14"/>
      <c r="Q107" s="14">
        <f t="shared" si="34"/>
        <v>5</v>
      </c>
      <c r="R107" s="22">
        <v>45079</v>
      </c>
      <c r="S107" s="21">
        <v>13240.77</v>
      </c>
      <c r="T107" s="14"/>
      <c r="U107" s="14"/>
      <c r="V107" s="14">
        <v>9</v>
      </c>
      <c r="W107" s="19">
        <f t="shared" si="35"/>
        <v>2.0228353527127013E-2</v>
      </c>
      <c r="X107" s="19">
        <f t="shared" si="36"/>
        <v>1.0468862968643638E-2</v>
      </c>
      <c r="Y107" s="19">
        <f t="shared" si="37"/>
        <v>2.4606567815882819E-2</v>
      </c>
      <c r="Z107" s="19">
        <f t="shared" si="38"/>
        <v>-6.0629332471109229E-5</v>
      </c>
      <c r="AA107" s="19">
        <f t="shared" si="39"/>
        <v>2.0428971407300878E-2</v>
      </c>
    </row>
    <row r="108" spans="1:27" x14ac:dyDescent="0.3">
      <c r="A108" s="14">
        <f t="shared" si="30"/>
        <v>5</v>
      </c>
      <c r="B108" s="20">
        <v>45072</v>
      </c>
      <c r="C108" s="21">
        <v>33093.336000000003</v>
      </c>
      <c r="D108" s="14"/>
      <c r="E108" s="14">
        <f t="shared" si="31"/>
        <v>4</v>
      </c>
      <c r="F108" s="25">
        <v>45071</v>
      </c>
      <c r="G108" s="26">
        <v>2392.81</v>
      </c>
      <c r="H108" s="14"/>
      <c r="I108" s="14">
        <f t="shared" si="32"/>
        <v>5</v>
      </c>
      <c r="J108" s="22">
        <v>45072</v>
      </c>
      <c r="K108" s="23">
        <v>219.86</v>
      </c>
      <c r="L108" s="14"/>
      <c r="M108" s="14">
        <f t="shared" si="33"/>
        <v>5</v>
      </c>
      <c r="N108" s="22">
        <v>45072</v>
      </c>
      <c r="O108" s="23">
        <v>494.81</v>
      </c>
      <c r="P108" s="14"/>
      <c r="Q108" s="14">
        <f t="shared" si="34"/>
        <v>5</v>
      </c>
      <c r="R108" s="22">
        <v>45072</v>
      </c>
      <c r="S108" s="21">
        <v>12975.69</v>
      </c>
      <c r="T108" s="14"/>
      <c r="U108" s="14"/>
      <c r="V108" s="14">
        <v>8</v>
      </c>
      <c r="W108" s="19">
        <f t="shared" si="35"/>
        <v>-9.9709390694230435E-3</v>
      </c>
      <c r="X108" s="19">
        <f t="shared" si="36"/>
        <v>-3.8572651186711722E-2</v>
      </c>
      <c r="Y108" s="19">
        <f t="shared" si="37"/>
        <v>-1.5537545336497554E-2</v>
      </c>
      <c r="Z108" s="19">
        <f t="shared" si="38"/>
        <v>-2.2983512686346109E-2</v>
      </c>
      <c r="AA108" s="19">
        <f t="shared" si="39"/>
        <v>2.5106060246960465E-2</v>
      </c>
    </row>
    <row r="109" spans="1:27" x14ac:dyDescent="0.3">
      <c r="A109" s="14">
        <f t="shared" si="30"/>
        <v>5</v>
      </c>
      <c r="B109" s="20">
        <v>45065</v>
      </c>
      <c r="C109" s="21">
        <v>33426.630899999996</v>
      </c>
      <c r="D109" s="14"/>
      <c r="E109" s="14">
        <f t="shared" si="31"/>
        <v>5</v>
      </c>
      <c r="F109" s="22">
        <v>45065</v>
      </c>
      <c r="G109" s="21">
        <v>2488.81</v>
      </c>
      <c r="H109" s="14"/>
      <c r="I109" s="14">
        <f t="shared" si="32"/>
        <v>5</v>
      </c>
      <c r="J109" s="22">
        <v>45065</v>
      </c>
      <c r="K109" s="23">
        <v>223.33</v>
      </c>
      <c r="L109" s="14"/>
      <c r="M109" s="14">
        <f t="shared" si="33"/>
        <v>5</v>
      </c>
      <c r="N109" s="22">
        <v>45065</v>
      </c>
      <c r="O109" s="23">
        <v>506.45</v>
      </c>
      <c r="P109" s="14"/>
      <c r="Q109" s="14">
        <f t="shared" si="34"/>
        <v>5</v>
      </c>
      <c r="R109" s="22">
        <v>45065</v>
      </c>
      <c r="S109" s="21">
        <v>12657.9</v>
      </c>
      <c r="T109" s="14"/>
      <c r="U109" s="14"/>
      <c r="V109" s="14">
        <v>7</v>
      </c>
      <c r="W109" s="19">
        <f t="shared" si="35"/>
        <v>3.7841763014859766E-3</v>
      </c>
      <c r="X109" s="19">
        <f t="shared" si="36"/>
        <v>-5.5897394917693126E-3</v>
      </c>
      <c r="Y109" s="19">
        <f t="shared" si="37"/>
        <v>3.130916647425537E-2</v>
      </c>
      <c r="Z109" s="19">
        <f t="shared" si="38"/>
        <v>2.9507287705957089E-3</v>
      </c>
      <c r="AA109" s="19">
        <f t="shared" si="39"/>
        <v>3.0375897251386667E-2</v>
      </c>
    </row>
    <row r="110" spans="1:27" x14ac:dyDescent="0.3">
      <c r="A110" s="14">
        <f t="shared" si="30"/>
        <v>5</v>
      </c>
      <c r="B110" s="20">
        <v>45058</v>
      </c>
      <c r="C110" s="21">
        <v>33300.6155</v>
      </c>
      <c r="D110" s="14"/>
      <c r="E110" s="14">
        <f t="shared" si="31"/>
        <v>5</v>
      </c>
      <c r="F110" s="22">
        <v>45058</v>
      </c>
      <c r="G110" s="21">
        <v>2502.8000000000002</v>
      </c>
      <c r="H110" s="14"/>
      <c r="I110" s="14">
        <f t="shared" si="32"/>
        <v>5</v>
      </c>
      <c r="J110" s="22">
        <v>45058</v>
      </c>
      <c r="K110" s="23">
        <v>216.55</v>
      </c>
      <c r="L110" s="14"/>
      <c r="M110" s="14">
        <f t="shared" si="33"/>
        <v>5</v>
      </c>
      <c r="N110" s="22">
        <v>45058</v>
      </c>
      <c r="O110" s="23">
        <v>504.96</v>
      </c>
      <c r="P110" s="14"/>
      <c r="Q110" s="14">
        <f t="shared" si="34"/>
        <v>5</v>
      </c>
      <c r="R110" s="22">
        <v>45058</v>
      </c>
      <c r="S110" s="21">
        <v>12284.74</v>
      </c>
      <c r="T110" s="14"/>
      <c r="U110" s="14"/>
      <c r="V110" s="14">
        <v>6</v>
      </c>
      <c r="W110" s="19">
        <f t="shared" si="35"/>
        <v>-1.1099302396609103E-2</v>
      </c>
      <c r="X110" s="19">
        <f t="shared" si="36"/>
        <v>-2.0392187561156957E-2</v>
      </c>
      <c r="Y110" s="19">
        <f t="shared" si="37"/>
        <v>1.4000749203970823E-2</v>
      </c>
      <c r="Z110" s="19">
        <f t="shared" si="38"/>
        <v>-1.4962058404697377E-2</v>
      </c>
      <c r="AA110" s="19">
        <f t="shared" si="39"/>
        <v>4.0317406609177726E-3</v>
      </c>
    </row>
    <row r="111" spans="1:27" x14ac:dyDescent="0.3">
      <c r="A111" s="14">
        <f t="shared" si="30"/>
        <v>5</v>
      </c>
      <c r="B111" s="20">
        <v>45051</v>
      </c>
      <c r="C111" s="21">
        <v>33674.3776</v>
      </c>
      <c r="D111" s="14"/>
      <c r="E111" s="14">
        <f t="shared" si="31"/>
        <v>5</v>
      </c>
      <c r="F111" s="22">
        <v>45051</v>
      </c>
      <c r="G111" s="21">
        <v>2554.9</v>
      </c>
      <c r="H111" s="14"/>
      <c r="I111" s="14">
        <f t="shared" si="32"/>
        <v>2</v>
      </c>
      <c r="J111" s="25">
        <v>45048</v>
      </c>
      <c r="K111" s="27">
        <v>213.56</v>
      </c>
      <c r="L111" s="14"/>
      <c r="M111" s="14">
        <f t="shared" si="33"/>
        <v>5</v>
      </c>
      <c r="N111" s="22">
        <v>45051</v>
      </c>
      <c r="O111" s="23">
        <v>512.63</v>
      </c>
      <c r="P111" s="14"/>
      <c r="Q111" s="14">
        <f t="shared" si="34"/>
        <v>5</v>
      </c>
      <c r="R111" s="22">
        <v>45051</v>
      </c>
      <c r="S111" s="21">
        <v>12235.41</v>
      </c>
      <c r="T111" s="14"/>
      <c r="U111" s="14"/>
      <c r="V111" s="14">
        <v>5</v>
      </c>
      <c r="W111" s="19">
        <f t="shared" si="35"/>
        <v>-1.2428411247343538E-2</v>
      </c>
      <c r="X111" s="19">
        <f t="shared" si="36"/>
        <v>8.0489248372460406E-3</v>
      </c>
      <c r="Y111" s="19">
        <f t="shared" si="37"/>
        <v>8.5954472466231845E-3</v>
      </c>
      <c r="Z111" s="19">
        <f t="shared" si="38"/>
        <v>-3.1308338518979731E-3</v>
      </c>
      <c r="AA111" s="19">
        <f t="shared" si="39"/>
        <v>7.2219704937929714E-4</v>
      </c>
    </row>
    <row r="112" spans="1:27" x14ac:dyDescent="0.3">
      <c r="A112" s="14">
        <f t="shared" si="30"/>
        <v>5</v>
      </c>
      <c r="B112" s="20">
        <v>45044</v>
      </c>
      <c r="C112" s="21">
        <v>34098.1636</v>
      </c>
      <c r="D112" s="14"/>
      <c r="E112" s="14">
        <f t="shared" si="31"/>
        <v>5</v>
      </c>
      <c r="F112" s="22">
        <v>45044</v>
      </c>
      <c r="G112" s="21">
        <v>2534.5</v>
      </c>
      <c r="H112" s="14"/>
      <c r="I112" s="14">
        <f t="shared" si="32"/>
        <v>5</v>
      </c>
      <c r="J112" s="22">
        <v>45044</v>
      </c>
      <c r="K112" s="23">
        <v>211.74</v>
      </c>
      <c r="L112" s="14"/>
      <c r="M112" s="14">
        <f t="shared" si="33"/>
        <v>5</v>
      </c>
      <c r="N112" s="22">
        <v>45044</v>
      </c>
      <c r="O112" s="23">
        <v>514.24</v>
      </c>
      <c r="P112" s="14"/>
      <c r="Q112" s="14">
        <f t="shared" si="34"/>
        <v>5</v>
      </c>
      <c r="R112" s="22">
        <v>45044</v>
      </c>
      <c r="S112" s="21">
        <v>12226.58</v>
      </c>
      <c r="T112" s="14"/>
      <c r="U112" s="14"/>
      <c r="V112" s="14">
        <v>4</v>
      </c>
      <c r="W112" s="19">
        <f t="shared" si="35"/>
        <v>8.5540250957550617E-3</v>
      </c>
      <c r="X112" s="19">
        <f t="shared" si="36"/>
        <v>-9.2759446961375707E-3</v>
      </c>
      <c r="Y112" s="19">
        <f t="shared" si="37"/>
        <v>-5.5886911191471269E-3</v>
      </c>
      <c r="Z112" s="19">
        <f t="shared" si="38"/>
        <v>-2.0376875157677317E-3</v>
      </c>
      <c r="AA112" s="19">
        <f t="shared" si="39"/>
        <v>1.2766246481661634E-2</v>
      </c>
    </row>
    <row r="113" spans="1:37" x14ac:dyDescent="0.3">
      <c r="A113" s="14">
        <f t="shared" si="30"/>
        <v>5</v>
      </c>
      <c r="B113" s="20">
        <v>45037</v>
      </c>
      <c r="C113" s="21">
        <v>33808.960899999998</v>
      </c>
      <c r="D113" s="14"/>
      <c r="E113" s="14">
        <f t="shared" si="31"/>
        <v>5</v>
      </c>
      <c r="F113" s="22">
        <v>45037</v>
      </c>
      <c r="G113" s="21">
        <v>2558.23</v>
      </c>
      <c r="H113" s="14"/>
      <c r="I113" s="14">
        <f t="shared" si="32"/>
        <v>5</v>
      </c>
      <c r="J113" s="22">
        <v>45037</v>
      </c>
      <c r="K113" s="23">
        <v>212.93</v>
      </c>
      <c r="L113" s="14"/>
      <c r="M113" s="14">
        <f t="shared" si="33"/>
        <v>5</v>
      </c>
      <c r="N113" s="22">
        <v>45037</v>
      </c>
      <c r="O113" s="23">
        <v>515.29</v>
      </c>
      <c r="P113" s="14"/>
      <c r="Q113" s="14">
        <f t="shared" si="34"/>
        <v>5</v>
      </c>
      <c r="R113" s="22">
        <v>45037</v>
      </c>
      <c r="S113" s="21">
        <v>12072.46</v>
      </c>
      <c r="T113" s="14"/>
      <c r="U113" s="14"/>
      <c r="V113" s="14">
        <v>3</v>
      </c>
      <c r="W113" s="19">
        <f t="shared" si="35"/>
        <v>-2.2872669796634498E-3</v>
      </c>
      <c r="X113" s="19">
        <f t="shared" si="36"/>
        <v>-1.7625848171942297E-2</v>
      </c>
      <c r="Y113" s="19">
        <f t="shared" si="37"/>
        <v>-3.2863849765255016E-4</v>
      </c>
      <c r="Z113" s="19">
        <f t="shared" si="38"/>
        <v>3.2904984423674862E-3</v>
      </c>
      <c r="AA113" s="19">
        <f t="shared" si="39"/>
        <v>-4.2075412402554895E-3</v>
      </c>
    </row>
    <row r="114" spans="1:37" x14ac:dyDescent="0.3">
      <c r="A114" s="14">
        <f t="shared" si="30"/>
        <v>5</v>
      </c>
      <c r="B114" s="20">
        <v>45030</v>
      </c>
      <c r="C114" s="21">
        <v>33886.4683</v>
      </c>
      <c r="D114" s="14"/>
      <c r="E114" s="14">
        <f t="shared" si="31"/>
        <v>5</v>
      </c>
      <c r="F114" s="22">
        <v>45030</v>
      </c>
      <c r="G114" s="21">
        <v>2604.13</v>
      </c>
      <c r="H114" s="14"/>
      <c r="I114" s="14">
        <f t="shared" si="32"/>
        <v>5</v>
      </c>
      <c r="J114" s="22">
        <v>45030</v>
      </c>
      <c r="K114" s="23">
        <v>213</v>
      </c>
      <c r="L114" s="14"/>
      <c r="M114" s="14">
        <f t="shared" si="33"/>
        <v>5</v>
      </c>
      <c r="N114" s="22">
        <v>45030</v>
      </c>
      <c r="O114" s="23">
        <v>513.6</v>
      </c>
      <c r="P114" s="14"/>
      <c r="Q114" s="14">
        <f t="shared" si="34"/>
        <v>5</v>
      </c>
      <c r="R114" s="22">
        <v>45030</v>
      </c>
      <c r="S114" s="21">
        <v>12123.47</v>
      </c>
      <c r="T114" s="14"/>
      <c r="U114" s="14"/>
      <c r="V114" s="14">
        <v>2</v>
      </c>
      <c r="W114" s="19">
        <f t="shared" si="35"/>
        <v>1.198077474536088E-2</v>
      </c>
      <c r="X114" s="19">
        <f t="shared" si="36"/>
        <v>5.4439523866518565E-3</v>
      </c>
      <c r="Y114" s="19">
        <f t="shared" si="37"/>
        <v>2.2710904114850865E-2</v>
      </c>
      <c r="Z114" s="19">
        <f t="shared" si="38"/>
        <v>2.4822412004150366E-2</v>
      </c>
      <c r="AA114" s="19">
        <f t="shared" si="39"/>
        <v>2.9376338108332771E-3</v>
      </c>
    </row>
    <row r="115" spans="1:37" x14ac:dyDescent="0.3">
      <c r="A115" s="14">
        <f t="shared" si="30"/>
        <v>4</v>
      </c>
      <c r="B115" s="28">
        <v>45022</v>
      </c>
      <c r="C115" s="26">
        <v>33485.2886</v>
      </c>
      <c r="D115" s="14"/>
      <c r="E115" s="14">
        <f t="shared" si="31"/>
        <v>4</v>
      </c>
      <c r="F115" s="25">
        <v>45022</v>
      </c>
      <c r="G115" s="26">
        <v>2590.0300000000002</v>
      </c>
      <c r="H115" s="14"/>
      <c r="I115" s="14">
        <f t="shared" si="32"/>
        <v>5</v>
      </c>
      <c r="J115" s="22">
        <v>45023</v>
      </c>
      <c r="K115" s="23">
        <v>208.27</v>
      </c>
      <c r="L115" s="14"/>
      <c r="M115" s="14">
        <f t="shared" si="33"/>
        <v>4</v>
      </c>
      <c r="N115" s="25">
        <v>45022</v>
      </c>
      <c r="O115" s="27">
        <v>501.16</v>
      </c>
      <c r="P115" s="14"/>
      <c r="Q115" s="14">
        <f t="shared" si="34"/>
        <v>4</v>
      </c>
      <c r="R115" s="25">
        <v>45022</v>
      </c>
      <c r="S115" s="26">
        <v>12087.96</v>
      </c>
      <c r="T115" s="14"/>
      <c r="U115" s="14"/>
      <c r="V115" s="14">
        <v>1</v>
      </c>
      <c r="W115" s="19">
        <f t="shared" si="35"/>
        <v>6.34531542223818E-3</v>
      </c>
      <c r="X115" s="19">
        <f t="shared" si="36"/>
        <v>-3.4168170502247692E-3</v>
      </c>
      <c r="Y115" s="19">
        <f t="shared" si="37"/>
        <v>-1.3733011317895427E-2</v>
      </c>
      <c r="Z115" s="19">
        <f t="shared" si="38"/>
        <v>9.8738564462177766E-3</v>
      </c>
      <c r="AA115" s="19">
        <f t="shared" si="39"/>
        <v>-1.0959825428267818E-2</v>
      </c>
    </row>
    <row r="116" spans="1:37" x14ac:dyDescent="0.3">
      <c r="A116" s="14">
        <f t="shared" si="30"/>
        <v>5</v>
      </c>
      <c r="B116" s="20">
        <v>45016</v>
      </c>
      <c r="C116" s="21">
        <v>33274.153599999998</v>
      </c>
      <c r="D116" s="14"/>
      <c r="E116" s="14">
        <f t="shared" si="31"/>
        <v>5</v>
      </c>
      <c r="F116" s="22">
        <v>45016</v>
      </c>
      <c r="G116" s="21">
        <v>2598.91</v>
      </c>
      <c r="H116" s="14"/>
      <c r="I116" s="14">
        <f t="shared" si="32"/>
        <v>5</v>
      </c>
      <c r="J116" s="22">
        <v>45016</v>
      </c>
      <c r="K116" s="23">
        <v>211.17</v>
      </c>
      <c r="L116" s="14"/>
      <c r="M116" s="14">
        <f t="shared" si="33"/>
        <v>5</v>
      </c>
      <c r="N116" s="22">
        <v>45016</v>
      </c>
      <c r="O116" s="23">
        <v>496.26</v>
      </c>
      <c r="P116" s="14"/>
      <c r="Q116" s="14">
        <f t="shared" si="34"/>
        <v>5</v>
      </c>
      <c r="R116" s="22">
        <v>45016</v>
      </c>
      <c r="S116" s="21">
        <v>12221.91</v>
      </c>
      <c r="T116" s="14"/>
      <c r="U116" s="14"/>
      <c r="V116" s="14"/>
      <c r="W116" s="14"/>
      <c r="X116" s="14"/>
      <c r="Y116" s="14"/>
      <c r="Z116" s="14"/>
      <c r="AA116" s="14"/>
    </row>
    <row r="117" spans="1:37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D117" t="s">
        <v>55</v>
      </c>
      <c r="AF117" t="s">
        <v>52</v>
      </c>
      <c r="AH117" t="s">
        <v>53</v>
      </c>
      <c r="AJ117" t="s">
        <v>54</v>
      </c>
      <c r="AK117" t="s">
        <v>71</v>
      </c>
    </row>
    <row r="118" spans="1:37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 t="s">
        <v>12</v>
      </c>
      <c r="W118" s="19">
        <f>AVERAGE(DJIA)</f>
        <v>2.2740795000596508E-3</v>
      </c>
      <c r="X118" s="19">
        <f>AVERAGE(HSI)</f>
        <v>1.9864499302257835E-3</v>
      </c>
      <c r="Y118" s="19">
        <f>AVERAGE(N225E)</f>
        <v>1.9249201659047037E-3</v>
      </c>
      <c r="Z118" s="19">
        <f>AVERAGE(STOXX)</f>
        <v>1.7995655378191889E-3</v>
      </c>
      <c r="AA118" s="19">
        <f>AVERAGE(IXIC)</f>
        <v>3.6390158326736898E-3</v>
      </c>
      <c r="AD118" s="58">
        <f>AVERAGE(DJIA_9)</f>
        <v>2.4022484696914989E-3</v>
      </c>
      <c r="AE118">
        <v>0.74039810846080134</v>
      </c>
      <c r="AF118">
        <f>AE118*AD118</f>
        <v>1.7786202230124404E-3</v>
      </c>
      <c r="AG118">
        <v>0.28097776826797444</v>
      </c>
      <c r="AH118">
        <f>AG118*AD118</f>
        <v>6.7497841383907414E-4</v>
      </c>
      <c r="AI118" s="102">
        <v>0.4723422398658248</v>
      </c>
      <c r="AJ118" s="102">
        <f>AI118*AD118</f>
        <v>1.1346834228883325E-3</v>
      </c>
      <c r="AK118">
        <f>AD118*0.2</f>
        <v>4.8044969393829982E-4</v>
      </c>
    </row>
    <row r="119" spans="1:37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 t="s">
        <v>13</v>
      </c>
      <c r="W119" s="19">
        <f>_xlfn.VAR.S(DJIA)</f>
        <v>2.5985327794056634E-4</v>
      </c>
      <c r="X119" s="19">
        <f>_xlfn.VAR.S(HSI)</f>
        <v>1.1656468179379687E-3</v>
      </c>
      <c r="Y119" s="19">
        <f>_xlfn.VAR.S(N225E)</f>
        <v>7.8098818868874468E-4</v>
      </c>
      <c r="Z119" s="19">
        <f>_xlfn.VAR.S(STOXX)</f>
        <v>3.7508987466611872E-4</v>
      </c>
      <c r="AA119" s="19">
        <f>_xlfn.VAR.S(IXIC)</f>
        <v>5.6579400175425581E-4</v>
      </c>
      <c r="AD119" s="58">
        <f>AVERAGE(HSI_9)</f>
        <v>-9.8819267617246908E-4</v>
      </c>
      <c r="AE119">
        <v>4.4928716789197243E-2</v>
      </c>
      <c r="AF119">
        <f>AE119*AD119</f>
        <v>-4.4398228880911766E-5</v>
      </c>
      <c r="AG119">
        <v>0.13266384102042092</v>
      </c>
      <c r="AH119">
        <f>AG119*AD119</f>
        <v>-1.3109743608928873E-4</v>
      </c>
      <c r="AI119">
        <v>5.1004805685342984E-2</v>
      </c>
      <c r="AJ119" s="102">
        <f>AI119*AD119</f>
        <v>-5.0402575427855846E-5</v>
      </c>
      <c r="AK119">
        <f>AD119*0.2</f>
        <v>-1.9763853523449383E-4</v>
      </c>
    </row>
    <row r="120" spans="1:37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04" t="s">
        <v>69</v>
      </c>
      <c r="W120" s="19">
        <f>_xlfn.STDEV.S(DJIA)</f>
        <v>1.6119965196630118E-2</v>
      </c>
      <c r="X120" s="19">
        <f>_xlfn.STDEV.S(HSI)</f>
        <v>3.4141570232459562E-2</v>
      </c>
      <c r="Y120" s="19">
        <f>_xlfn.STDEV.S(N225E)</f>
        <v>2.7946165903192242E-2</v>
      </c>
      <c r="Z120" s="19">
        <f>_xlfn.STDEV.S(STOXX)</f>
        <v>1.936723714591523E-2</v>
      </c>
      <c r="AA120" s="19">
        <f>_xlfn.STDEV.S(IXIC)</f>
        <v>2.3786424736690796E-2</v>
      </c>
      <c r="AD120" s="58">
        <f>AVERAGE(N225E_9)</f>
        <v>7.2389702265105377E-3</v>
      </c>
      <c r="AE120">
        <v>-2.0300168208008167E-4</v>
      </c>
      <c r="AF120">
        <f>AE120*AD120</f>
        <v>-1.4695231325092689E-6</v>
      </c>
      <c r="AG120">
        <v>0.16207417723048623</v>
      </c>
      <c r="AH120">
        <f>AG120*AD120</f>
        <v>1.173250143457682E-3</v>
      </c>
      <c r="AI120">
        <v>-0.25520378775169128</v>
      </c>
      <c r="AJ120" s="102">
        <f>AI120*AD120</f>
        <v>-1.8474126212272078E-3</v>
      </c>
      <c r="AK120">
        <f>AD120*0.2</f>
        <v>1.4477940453021076E-3</v>
      </c>
    </row>
    <row r="121" spans="1:37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D121" s="58">
        <f>AVERAGE(STOXX_9)</f>
        <v>7.7262110262618184E-3</v>
      </c>
      <c r="AE121">
        <v>0.23945292178554953</v>
      </c>
      <c r="AF121">
        <f>AE121*AD121</f>
        <v>1.8500638045701216E-3</v>
      </c>
      <c r="AG121">
        <v>0.23386670031361917</v>
      </c>
      <c r="AH121">
        <f>AG121*AD121</f>
        <v>1.8069034786385527E-3</v>
      </c>
      <c r="AI121">
        <v>-1.2351426310659381E-2</v>
      </c>
      <c r="AJ121" s="102">
        <f>AI121*AD121</f>
        <v>-9.5429726151476836E-5</v>
      </c>
      <c r="AK121">
        <f>AD121*0.2</f>
        <v>1.5452422052523638E-3</v>
      </c>
    </row>
    <row r="122" spans="1:37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24" t="s">
        <v>14</v>
      </c>
      <c r="W122" s="14" t="s">
        <v>5</v>
      </c>
      <c r="X122" s="14" t="s">
        <v>6</v>
      </c>
      <c r="Y122" s="14" t="s">
        <v>7</v>
      </c>
      <c r="Z122" s="14" t="s">
        <v>8</v>
      </c>
      <c r="AA122" s="14" t="s">
        <v>9</v>
      </c>
      <c r="AD122" s="58">
        <f>AVERAGE(IXIC_9)</f>
        <v>1.2849857682124944E-2</v>
      </c>
      <c r="AE122">
        <v>-2.4576745353467749E-2</v>
      </c>
      <c r="AF122">
        <f>AE122*AD122</f>
        <v>-3.1580768008188608E-4</v>
      </c>
      <c r="AG122">
        <v>0.19041751316749927</v>
      </c>
      <c r="AH122">
        <f>AG122*AD122</f>
        <v>2.4468379443865181E-3</v>
      </c>
      <c r="AI122">
        <v>0.7442081685111831</v>
      </c>
      <c r="AJ122" s="102">
        <f>AI122*AD122</f>
        <v>9.5629690512435608E-3</v>
      </c>
      <c r="AK122">
        <f>AD122*0.2</f>
        <v>2.569971536424989E-3</v>
      </c>
    </row>
    <row r="123" spans="1:37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 t="s">
        <v>5</v>
      </c>
      <c r="W123" s="19">
        <f>W119</f>
        <v>2.5985327794056634E-4</v>
      </c>
      <c r="X123" s="19">
        <f>_xlfn.COVARIANCE.S(DJIA,HSI)</f>
        <v>1.4522151475855475E-4</v>
      </c>
      <c r="Y123" s="19">
        <f>_xlfn.COVARIANCE.S(DJIA,N225E)</f>
        <v>2.0907882455079187E-4</v>
      </c>
      <c r="Z123" s="19">
        <f>_xlfn.COVARIANCE.S(DJIA,STOXX)</f>
        <v>1.8586624937408949E-4</v>
      </c>
      <c r="AA123" s="19">
        <f>_xlfn.COVARIANCE.S(DJIA,IXIC)</f>
        <v>2.4818147653952929E-4</v>
      </c>
      <c r="AF123">
        <f t="shared" ref="AF123:AK123" si="40">SUM(AF118:AF122)</f>
        <v>3.2670085954872546E-3</v>
      </c>
      <c r="AG123">
        <f t="shared" si="40"/>
        <v>1</v>
      </c>
      <c r="AH123">
        <f t="shared" si="40"/>
        <v>5.9708725442325378E-3</v>
      </c>
      <c r="AI123">
        <f t="shared" si="40"/>
        <v>1.0000000000000002</v>
      </c>
      <c r="AJ123">
        <f t="shared" si="40"/>
        <v>8.7044075513253525E-3</v>
      </c>
      <c r="AK123">
        <f t="shared" si="40"/>
        <v>5.845818945683267E-3</v>
      </c>
    </row>
    <row r="124" spans="1:37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 t="s">
        <v>6</v>
      </c>
      <c r="W124" s="19">
        <f>X123</f>
        <v>1.4522151475855475E-4</v>
      </c>
      <c r="X124" s="19">
        <f>X119</f>
        <v>1.1656468179379687E-3</v>
      </c>
      <c r="Y124" s="19">
        <f>_xlfn.COVARIANCE.S(HSI,N225E)</f>
        <v>3.547449049568622E-4</v>
      </c>
      <c r="Z124" s="19">
        <f>_xlfn.COVARIANCE.S(HSI,STOXX)</f>
        <v>3.4923644427763519E-4</v>
      </c>
      <c r="AA124" s="19">
        <f>_xlfn.COVARIANCE.S(HSI,IXIC)</f>
        <v>2.5075133937801675E-4</v>
      </c>
    </row>
    <row r="125" spans="1:37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 t="s">
        <v>7</v>
      </c>
      <c r="W125" s="19">
        <f>Y123</f>
        <v>2.0907882455079187E-4</v>
      </c>
      <c r="X125" s="19">
        <f>Y124</f>
        <v>3.547449049568622E-4</v>
      </c>
      <c r="Y125" s="19">
        <f>Y119</f>
        <v>7.8098818868874468E-4</v>
      </c>
      <c r="Z125" s="19">
        <f>_xlfn.COVARIANCE.S(N225E,STOXX)</f>
        <v>3.196327642953974E-4</v>
      </c>
      <c r="AA125" s="19">
        <f>_xlfn.COVARIANCE.S(N225E,IXIC)</f>
        <v>4.0015408435861775E-4</v>
      </c>
      <c r="AD125" t="s">
        <v>70</v>
      </c>
    </row>
    <row r="126" spans="1:37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 t="s">
        <v>8</v>
      </c>
      <c r="W126" s="19">
        <f>Z123</f>
        <v>1.8586624937408949E-4</v>
      </c>
      <c r="X126" s="19">
        <f>Z124</f>
        <v>3.4923644427763519E-4</v>
      </c>
      <c r="Y126" s="19">
        <f>Z125</f>
        <v>3.196327642953974E-4</v>
      </c>
      <c r="Z126" s="19">
        <f>Z119</f>
        <v>3.7508987466611872E-4</v>
      </c>
      <c r="AA126" s="19">
        <f>_xlfn.COVARIANCE.S(STOXX,IXIC)</f>
        <v>2.3491610327169344E-4</v>
      </c>
      <c r="AD126" s="10">
        <f>_xlfn.STDEV.S(DJIA_9)</f>
        <v>3.9992141246048968E-2</v>
      </c>
      <c r="AE126">
        <v>0.74039810846080134</v>
      </c>
      <c r="AF126">
        <f>AD126*AE126</f>
        <v>2.9610105731871849E-2</v>
      </c>
      <c r="AG126">
        <v>0.28097776826797444</v>
      </c>
      <c r="AH126">
        <f t="shared" ref="AH126:AH129" si="41">AD126*AG126</f>
        <v>1.1236902595572449E-2</v>
      </c>
      <c r="AI126" s="102">
        <v>0.4723422398658248</v>
      </c>
      <c r="AJ126">
        <f>AD126*AI126</f>
        <v>1.8889977573189207E-2</v>
      </c>
      <c r="AK126">
        <f>AD126*0.2</f>
        <v>7.9984282492097936E-3</v>
      </c>
    </row>
    <row r="127" spans="1:37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 t="s">
        <v>9</v>
      </c>
      <c r="W127" s="19">
        <f>AA123</f>
        <v>2.4818147653952929E-4</v>
      </c>
      <c r="X127" s="19">
        <f>AA124</f>
        <v>2.5075133937801675E-4</v>
      </c>
      <c r="Y127" s="19">
        <f>AA125</f>
        <v>4.0015408435861775E-4</v>
      </c>
      <c r="Z127" s="19">
        <f>AA126</f>
        <v>2.3491610327169344E-4</v>
      </c>
      <c r="AA127" s="19">
        <f>AA119</f>
        <v>5.6579400175425581E-4</v>
      </c>
      <c r="AD127" s="58">
        <f>_xlfn.STDEV.S(HSI_9)</f>
        <v>3.5197343396053647E-2</v>
      </c>
      <c r="AE127">
        <v>4.4928716789197243E-2</v>
      </c>
      <c r="AF127">
        <f t="shared" ref="AF127:AF130" si="42">AD127*AE127</f>
        <v>1.5813714731734163E-3</v>
      </c>
      <c r="AG127">
        <v>0.13266384102042092</v>
      </c>
      <c r="AH127">
        <f t="shared" si="41"/>
        <v>4.6694147686352234E-3</v>
      </c>
      <c r="AI127">
        <v>5.1004805685342984E-2</v>
      </c>
      <c r="AJ127">
        <f t="shared" ref="AJ127:AJ130" si="43">AD127*AI127</f>
        <v>1.7952336605560064E-3</v>
      </c>
      <c r="AK127">
        <f t="shared" ref="AK127:AK130" si="44">AD127*0.2</f>
        <v>7.0394686792107294E-3</v>
      </c>
    </row>
    <row r="128" spans="1:37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D128" s="58">
        <f>_xlfn.STDEV.S(N225E_9)</f>
        <v>3.1887013182324238E-2</v>
      </c>
      <c r="AE128">
        <v>-2.0300168208008167E-4</v>
      </c>
      <c r="AF128">
        <f t="shared" si="42"/>
        <v>-6.473117312521558E-6</v>
      </c>
      <c r="AG128">
        <v>0.16207417723048623</v>
      </c>
      <c r="AH128">
        <f t="shared" si="41"/>
        <v>5.1680614258628691E-3</v>
      </c>
      <c r="AI128">
        <v>-0.25520378775169128</v>
      </c>
      <c r="AJ128">
        <f t="shared" si="43"/>
        <v>-8.1376865442172562E-3</v>
      </c>
      <c r="AK128">
        <f t="shared" si="44"/>
        <v>6.3774026364648477E-3</v>
      </c>
    </row>
    <row r="129" spans="1:37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24" t="s">
        <v>15</v>
      </c>
      <c r="W129" s="19" cm="1">
        <f t="array" ref="W129:W133">TRANSPOSE(W118:AA118)</f>
        <v>2.2740795000596508E-3</v>
      </c>
      <c r="X129" s="14"/>
      <c r="Y129" s="14"/>
      <c r="Z129" s="14"/>
      <c r="AA129" s="14"/>
      <c r="AD129" s="58">
        <f>_xlfn.STDEV.S(STOXX_9)</f>
        <v>3.2930351163547568E-2</v>
      </c>
      <c r="AE129">
        <v>0.23945292178554953</v>
      </c>
      <c r="AF129">
        <f t="shared" si="42"/>
        <v>7.8852688015356356E-3</v>
      </c>
      <c r="AG129">
        <v>0.23386670031361917</v>
      </c>
      <c r="AH129">
        <f t="shared" si="41"/>
        <v>7.7013125667876195E-3</v>
      </c>
      <c r="AI129">
        <v>-1.2351426310659381E-2</v>
      </c>
      <c r="AJ129">
        <f t="shared" si="43"/>
        <v>-4.0673680578069417E-4</v>
      </c>
      <c r="AK129" s="102">
        <f t="shared" si="44"/>
        <v>6.5860702327095143E-3</v>
      </c>
    </row>
    <row r="130" spans="1:37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9">
        <v>1.9864499302257835E-3</v>
      </c>
      <c r="X130" s="14"/>
      <c r="Y130" s="14"/>
      <c r="Z130" s="14"/>
      <c r="AA130" s="14"/>
      <c r="AD130" s="58">
        <f>_xlfn.STDEV.S(IXIC_9)</f>
        <v>5.7589639617702616E-2</v>
      </c>
      <c r="AE130">
        <v>-2.45767453534677E-2</v>
      </c>
      <c r="AF130">
        <f t="shared" si="42"/>
        <v>-1.415365907882252E-3</v>
      </c>
      <c r="AG130">
        <v>0.19041751316749927</v>
      </c>
      <c r="AH130">
        <f t="shared" ref="AH130" si="45">AD130*AG130</f>
        <v>1.0966075960215425E-2</v>
      </c>
      <c r="AI130">
        <v>0.7442081685111831</v>
      </c>
      <c r="AJ130">
        <f t="shared" si="43"/>
        <v>4.2858680225109531E-2</v>
      </c>
      <c r="AK130">
        <f t="shared" si="44"/>
        <v>1.1517927923540524E-2</v>
      </c>
    </row>
    <row r="131" spans="1:37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9">
        <v>1.9249201659047037E-3</v>
      </c>
      <c r="X131" s="14"/>
      <c r="Y131" s="14"/>
      <c r="Z131" s="14"/>
      <c r="AA131" s="14"/>
      <c r="AF131">
        <f t="shared" ref="AF131" si="46">SUM(AF126:AF130)</f>
        <v>3.7654906981386127E-2</v>
      </c>
      <c r="AH131">
        <f>SUM(AH126:AH130)</f>
        <v>3.9741767317073587E-2</v>
      </c>
      <c r="AJ131">
        <f>SUM(AJ126:AJ130)</f>
        <v>5.4999468108856794E-2</v>
      </c>
      <c r="AK131">
        <f>SUM(AK126:AK130)</f>
        <v>3.951929772113541E-2</v>
      </c>
    </row>
    <row r="132" spans="1:37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9">
        <v>1.7995655378191889E-3</v>
      </c>
      <c r="X132" s="14"/>
      <c r="Y132" s="14"/>
      <c r="Z132" s="14"/>
      <c r="AA132" s="14"/>
    </row>
    <row r="133" spans="1:37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9">
        <v>3.6390158326736898E-3</v>
      </c>
      <c r="X133" s="14"/>
      <c r="Y133" s="14"/>
      <c r="Z133" s="14"/>
      <c r="AA133" s="14"/>
      <c r="AD133" t="s">
        <v>68</v>
      </c>
    </row>
  </sheetData>
  <mergeCells count="1">
    <mergeCell ref="V1:AA1"/>
  </mergeCells>
  <pageMargins left="0.7" right="0.7" top="0.75" bottom="0.75" header="0.3" footer="0.3"/>
  <ignoredErrors>
    <ignoredError sqref="X12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DC6A-0A3F-4699-8995-439D51A2B951}">
  <dimension ref="A1:P37"/>
  <sheetViews>
    <sheetView workbookViewId="0">
      <selection activeCell="B31" sqref="B31"/>
    </sheetView>
  </sheetViews>
  <sheetFormatPr defaultRowHeight="14.4" x14ac:dyDescent="0.3"/>
  <cols>
    <col min="1" max="1" width="12" bestFit="1" customWidth="1"/>
    <col min="2" max="5" width="11.109375" bestFit="1" customWidth="1"/>
    <col min="6" max="6" width="11.109375" customWidth="1"/>
    <col min="7" max="7" width="9.109375" customWidth="1"/>
    <col min="9" max="9" width="11.109375" bestFit="1" customWidth="1"/>
    <col min="12" max="12" width="13.44140625" bestFit="1" customWidth="1"/>
    <col min="14" max="14" width="9.33203125" customWidth="1"/>
    <col min="16384" max="16384" width="9.109375" bestFit="1" customWidth="1"/>
  </cols>
  <sheetData>
    <row r="1" spans="1:16" x14ac:dyDescent="0.3">
      <c r="A1" t="s">
        <v>16</v>
      </c>
      <c r="B1">
        <v>100</v>
      </c>
      <c r="H1" s="29"/>
      <c r="I1" s="10"/>
    </row>
    <row r="2" spans="1:16" x14ac:dyDescent="0.3">
      <c r="B2" s="10"/>
      <c r="C2" s="10"/>
      <c r="D2" s="10"/>
      <c r="E2" s="10"/>
      <c r="F2" s="10"/>
      <c r="I2" s="10"/>
    </row>
    <row r="3" spans="1:16" x14ac:dyDescent="0.3">
      <c r="A3" t="s">
        <v>14</v>
      </c>
      <c r="B3" s="10" cm="1">
        <f t="array" ref="B3:F7">V</f>
        <v>2.5985327794056634E-4</v>
      </c>
      <c r="C3" s="10">
        <v>1.4522151475855475E-4</v>
      </c>
      <c r="D3" s="10">
        <v>2.0907882455079187E-4</v>
      </c>
      <c r="E3" s="10">
        <v>1.8586624937408949E-4</v>
      </c>
      <c r="F3" s="10">
        <v>2.4818147653952929E-4</v>
      </c>
      <c r="I3" s="10"/>
      <c r="K3" s="29" t="s">
        <v>17</v>
      </c>
      <c r="L3" s="30">
        <f>1/5</f>
        <v>0.2</v>
      </c>
      <c r="M3" s="31"/>
      <c r="N3" s="32" cm="1">
        <f t="array" ref="N3:N7">B1*L3:L7</f>
        <v>20</v>
      </c>
      <c r="O3" s="31"/>
      <c r="P3" s="31"/>
    </row>
    <row r="4" spans="1:16" x14ac:dyDescent="0.3">
      <c r="B4" s="10">
        <v>1.4522151475855475E-4</v>
      </c>
      <c r="C4" s="10">
        <v>1.1656468179379687E-3</v>
      </c>
      <c r="D4" s="10">
        <v>3.547449049568622E-4</v>
      </c>
      <c r="E4" s="10">
        <v>3.4923644427763519E-4</v>
      </c>
      <c r="F4" s="10">
        <v>2.5075133937801675E-4</v>
      </c>
      <c r="I4" s="10"/>
      <c r="L4" s="30">
        <f t="shared" ref="L4:L7" si="0">1/5</f>
        <v>0.2</v>
      </c>
      <c r="N4" s="32">
        <v>20</v>
      </c>
    </row>
    <row r="5" spans="1:16" x14ac:dyDescent="0.3">
      <c r="B5" s="10">
        <v>2.0907882455079187E-4</v>
      </c>
      <c r="C5" s="10">
        <v>3.547449049568622E-4</v>
      </c>
      <c r="D5" s="10">
        <v>7.8098818868874468E-4</v>
      </c>
      <c r="E5" s="10">
        <v>3.196327642953974E-4</v>
      </c>
      <c r="F5" s="10">
        <v>4.0015408435861775E-4</v>
      </c>
      <c r="I5" s="10"/>
      <c r="L5" s="30">
        <f t="shared" si="0"/>
        <v>0.2</v>
      </c>
      <c r="N5" s="32">
        <v>20</v>
      </c>
    </row>
    <row r="6" spans="1:16" x14ac:dyDescent="0.3">
      <c r="B6" s="10">
        <v>1.8586624937408949E-4</v>
      </c>
      <c r="C6" s="10">
        <v>3.4923644427763519E-4</v>
      </c>
      <c r="D6" s="10">
        <v>3.196327642953974E-4</v>
      </c>
      <c r="E6" s="10">
        <v>3.7508987466611872E-4</v>
      </c>
      <c r="F6" s="10">
        <v>2.3491610327169344E-4</v>
      </c>
      <c r="L6" s="30">
        <f t="shared" si="0"/>
        <v>0.2</v>
      </c>
      <c r="N6" s="32">
        <v>20</v>
      </c>
    </row>
    <row r="7" spans="1:16" x14ac:dyDescent="0.3">
      <c r="B7" s="10">
        <v>2.4818147653952929E-4</v>
      </c>
      <c r="C7" s="10">
        <v>2.5075133937801675E-4</v>
      </c>
      <c r="D7" s="10">
        <v>4.0015408435861775E-4</v>
      </c>
      <c r="E7" s="10">
        <v>2.3491610327169344E-4</v>
      </c>
      <c r="F7" s="10">
        <v>5.6579400175425581E-4</v>
      </c>
      <c r="L7" s="30">
        <f t="shared" si="0"/>
        <v>0.2</v>
      </c>
      <c r="N7" s="32">
        <v>20</v>
      </c>
    </row>
    <row r="8" spans="1:16" x14ac:dyDescent="0.3">
      <c r="B8" s="10"/>
      <c r="C8" s="10"/>
      <c r="D8" s="10"/>
      <c r="E8" s="10"/>
      <c r="F8" s="10"/>
      <c r="L8" s="38">
        <f>SUM(L3:L7)</f>
        <v>1</v>
      </c>
    </row>
    <row r="9" spans="1:16" x14ac:dyDescent="0.3">
      <c r="B9" s="10"/>
      <c r="C9" s="10"/>
      <c r="D9" s="10"/>
      <c r="E9" s="10"/>
      <c r="F9" s="10"/>
      <c r="L9" s="31"/>
    </row>
    <row r="11" spans="1:16" x14ac:dyDescent="0.3">
      <c r="A11" t="s">
        <v>18</v>
      </c>
      <c r="B11" s="33" cm="1">
        <f t="array" ref="B11:F15">MINVERSE(V)</f>
        <v>8045.0519593817853</v>
      </c>
      <c r="C11" s="33">
        <v>353.85360115927313</v>
      </c>
      <c r="D11" s="33">
        <v>202.66975862950139</v>
      </c>
      <c r="E11" s="33">
        <v>-2825.2346985907484</v>
      </c>
      <c r="F11" s="33">
        <v>-2656.0340678096941</v>
      </c>
      <c r="H11" t="s">
        <v>19</v>
      </c>
      <c r="I11">
        <v>1</v>
      </c>
      <c r="K11" s="29" t="s">
        <v>20</v>
      </c>
      <c r="L11" s="34" cm="1">
        <f t="array" ref="L11:L15">MMULT(_xlfn.ANCHORARRAY(B11),I11:I15)/I17</f>
        <v>0.74039810846080134</v>
      </c>
      <c r="N11" s="32" cm="1">
        <f t="array" ref="N11:N15">B1*_xlfn.ANCHORARRAY(L11)</f>
        <v>74.03981084608013</v>
      </c>
    </row>
    <row r="12" spans="1:16" x14ac:dyDescent="0.3">
      <c r="B12" s="33">
        <v>353.85360115927313</v>
      </c>
      <c r="C12" s="33">
        <v>1214.9023864811993</v>
      </c>
      <c r="D12" s="33">
        <v>-112.57536236819388</v>
      </c>
      <c r="E12" s="33">
        <v>-1116.292910313955</v>
      </c>
      <c r="F12" s="33">
        <v>-150.54178362372591</v>
      </c>
      <c r="I12">
        <v>1</v>
      </c>
      <c r="L12" s="34">
        <v>4.4928716789197243E-2</v>
      </c>
      <c r="N12" s="32">
        <v>4.4928716789197241</v>
      </c>
    </row>
    <row r="13" spans="1:16" x14ac:dyDescent="0.3">
      <c r="B13" s="33">
        <v>202.66975862950164</v>
      </c>
      <c r="C13" s="33">
        <v>-112.57536236819381</v>
      </c>
      <c r="D13" s="33">
        <v>2438.1315851150021</v>
      </c>
      <c r="E13" s="33">
        <v>-1309.3663190269006</v>
      </c>
      <c r="F13" s="33">
        <v>-1219.7151851709555</v>
      </c>
      <c r="I13">
        <v>1</v>
      </c>
      <c r="L13" s="34">
        <v>-2.0300168208008167E-4</v>
      </c>
      <c r="N13" s="32">
        <v>-2.0300168208008167E-2</v>
      </c>
    </row>
    <row r="14" spans="1:16" x14ac:dyDescent="0.3">
      <c r="B14" s="33">
        <v>-2825.2346985907488</v>
      </c>
      <c r="C14" s="33">
        <v>-1116.2929103139552</v>
      </c>
      <c r="D14" s="33">
        <v>-1309.3663190269003</v>
      </c>
      <c r="E14" s="33">
        <v>6155.9246221985259</v>
      </c>
      <c r="F14" s="33">
        <v>104.11089103597619</v>
      </c>
      <c r="I14">
        <v>1</v>
      </c>
      <c r="L14" s="34">
        <v>0.23945292178554953</v>
      </c>
      <c r="N14" s="32">
        <v>23.945292178554954</v>
      </c>
    </row>
    <row r="15" spans="1:16" x14ac:dyDescent="0.3">
      <c r="B15" s="33">
        <v>-2656.0340678096941</v>
      </c>
      <c r="C15" s="33">
        <v>-150.54178362372602</v>
      </c>
      <c r="D15" s="33">
        <v>-1219.7151851709555</v>
      </c>
      <c r="E15" s="33">
        <v>104.11089103597652</v>
      </c>
      <c r="F15" s="33">
        <v>3818.6048140057469</v>
      </c>
      <c r="I15">
        <v>1</v>
      </c>
      <c r="L15" s="34">
        <v>-2.4576745353467749E-2</v>
      </c>
      <c r="N15" s="32">
        <v>-2.4576745353467748</v>
      </c>
    </row>
    <row r="16" spans="1:16" x14ac:dyDescent="0.3">
      <c r="L16" s="38">
        <f>SUM(L11:L15)</f>
        <v>1.0000000000000002</v>
      </c>
    </row>
    <row r="17" spans="1:14" x14ac:dyDescent="0.3">
      <c r="A17" t="s">
        <v>21</v>
      </c>
      <c r="B17">
        <v>1</v>
      </c>
      <c r="C17">
        <v>1</v>
      </c>
      <c r="D17">
        <v>1</v>
      </c>
      <c r="E17">
        <v>1</v>
      </c>
      <c r="F17">
        <v>1</v>
      </c>
      <c r="H17" t="s">
        <v>22</v>
      </c>
      <c r="I17" s="35" cm="1">
        <f t="array" ref="I17">MMULT(MMULT(B17:F17,_xlfn.ANCHORARRAY(B11)),I11:I15)</f>
        <v>4214.3632150234134</v>
      </c>
    </row>
    <row r="20" spans="1:14" x14ac:dyDescent="0.3">
      <c r="A20" t="s">
        <v>23</v>
      </c>
      <c r="B20" s="10">
        <f>_xlfn.STDEV.S(DJIA)</f>
        <v>1.6119965196630118E-2</v>
      </c>
      <c r="C20" s="10">
        <f>_xlfn.STDEV.S(HSI)</f>
        <v>3.4141570232459562E-2</v>
      </c>
      <c r="D20" s="10">
        <f>_xlfn.STDEV.S(N225E)</f>
        <v>2.7946165903192242E-2</v>
      </c>
      <c r="E20" s="10">
        <f>_xlfn.STDEV.S(STOXX)</f>
        <v>1.936723714591523E-2</v>
      </c>
      <c r="F20" s="10">
        <f>_xlfn.STDEV.S(IXIC)</f>
        <v>2.3786424736690796E-2</v>
      </c>
      <c r="K20" s="29" t="s">
        <v>24</v>
      </c>
      <c r="L20" s="34" cm="1">
        <f t="array" ref="L20:L24">TRANSPOSE(_xlfn.ANCHORARRAY(B26)/I26)</f>
        <v>0.28097776826797444</v>
      </c>
      <c r="N20" s="32" cm="1">
        <f t="array" ref="N20:N24">B1*_xlfn.ANCHORARRAY(L20)</f>
        <v>28.097776826797443</v>
      </c>
    </row>
    <row r="21" spans="1:14" x14ac:dyDescent="0.3">
      <c r="B21" s="119" t="s">
        <v>25</v>
      </c>
      <c r="C21" s="119"/>
      <c r="D21" s="119"/>
      <c r="E21" s="119"/>
      <c r="F21" s="119"/>
      <c r="L21" s="34">
        <v>0.13266384102042092</v>
      </c>
      <c r="N21" s="32">
        <v>13.266384102042093</v>
      </c>
    </row>
    <row r="22" spans="1:14" x14ac:dyDescent="0.3">
      <c r="A22" t="s">
        <v>23</v>
      </c>
      <c r="B22" s="10">
        <f>SQRT(B3)</f>
        <v>1.6119965196630118E-2</v>
      </c>
      <c r="C22" s="10">
        <f>SQRT(C4)</f>
        <v>3.4141570232459562E-2</v>
      </c>
      <c r="D22" s="10">
        <f>SQRT(D5)</f>
        <v>2.7946165903192242E-2</v>
      </c>
      <c r="E22" s="10">
        <f>SQRT(E6)</f>
        <v>1.936723714591523E-2</v>
      </c>
      <c r="F22" s="10">
        <f>SQRT(F7)</f>
        <v>2.3786424736690796E-2</v>
      </c>
      <c r="L22" s="34">
        <v>0.16207417723048623</v>
      </c>
      <c r="N22" s="32">
        <v>16.207417723048621</v>
      </c>
    </row>
    <row r="23" spans="1:14" x14ac:dyDescent="0.3">
      <c r="B23" s="119" t="s">
        <v>26</v>
      </c>
      <c r="C23" s="119"/>
      <c r="D23" s="119"/>
      <c r="E23" s="119"/>
      <c r="F23" s="119"/>
      <c r="L23" s="34">
        <v>0.23386670031361917</v>
      </c>
      <c r="N23" s="32">
        <v>23.386670031361916</v>
      </c>
    </row>
    <row r="24" spans="1:14" x14ac:dyDescent="0.3">
      <c r="B24" s="10"/>
      <c r="C24" s="10"/>
      <c r="D24" s="10"/>
      <c r="E24" s="10"/>
      <c r="F24" s="10"/>
      <c r="L24" s="34">
        <v>0.19041751316749927</v>
      </c>
      <c r="N24" s="32">
        <v>19.041751316749927</v>
      </c>
    </row>
    <row r="25" spans="1:14" x14ac:dyDescent="0.3">
      <c r="L25" s="38">
        <f>SUM(L20:L24)</f>
        <v>1</v>
      </c>
    </row>
    <row r="26" spans="1:14" x14ac:dyDescent="0.3">
      <c r="A26" t="s">
        <v>27</v>
      </c>
      <c r="B26" s="36" cm="1">
        <f t="array" ref="B26:F26">1/B20:F20</f>
        <v>62.034873388501495</v>
      </c>
      <c r="C26" s="36">
        <v>29.289806918407805</v>
      </c>
      <c r="D26" s="36">
        <v>35.78308392872497</v>
      </c>
      <c r="E26" s="36">
        <v>51.633590917789292</v>
      </c>
      <c r="F26" s="36">
        <v>42.040786333790216</v>
      </c>
      <c r="H26" t="s">
        <v>28</v>
      </c>
      <c r="I26" s="37">
        <f>SUM(_xlfn.ANCHORARRAY(B26))</f>
        <v>220.78214148721378</v>
      </c>
    </row>
    <row r="29" spans="1:14" x14ac:dyDescent="0.3">
      <c r="A29" t="s">
        <v>29</v>
      </c>
      <c r="B29">
        <v>0.02</v>
      </c>
      <c r="D29" s="13" t="s">
        <v>30</v>
      </c>
      <c r="E29" s="118" t="s">
        <v>31</v>
      </c>
      <c r="F29" s="118"/>
      <c r="K29" s="29" t="s">
        <v>32</v>
      </c>
      <c r="L29" s="34" cm="1">
        <f t="array" ref="L29:L33">_xlfn.ANCHORARRAY(E30)/E37</f>
        <v>0.4723422398658248</v>
      </c>
      <c r="N29" s="32" cm="1">
        <f t="array" ref="N29:N33">B1*_xlfn.ANCHORARRAY(L29)</f>
        <v>47.234223986582478</v>
      </c>
    </row>
    <row r="30" spans="1:14" x14ac:dyDescent="0.3">
      <c r="A30" t="s">
        <v>33</v>
      </c>
      <c r="B30">
        <v>52</v>
      </c>
      <c r="E30" s="10" cm="1">
        <f t="array" ref="E30:E34">MMULT(_xlfn.ANCHORARRAY(B11),_xlfn.ANCHORARRAY(B33))</f>
        <v>3.4500776127422057</v>
      </c>
      <c r="L30" s="34">
        <v>5.1004805685342984E-2</v>
      </c>
      <c r="N30" s="32">
        <v>5.100480568534298</v>
      </c>
    </row>
    <row r="31" spans="1:14" x14ac:dyDescent="0.3">
      <c r="A31" t="s">
        <v>34</v>
      </c>
      <c r="B31" s="10">
        <f>(1+B29)^(1/B30)-1</f>
        <v>3.8089227674453774E-4</v>
      </c>
      <c r="E31" s="10">
        <v>0.37254880759183218</v>
      </c>
      <c r="L31" s="34">
        <v>-0.25520378775169128</v>
      </c>
      <c r="N31" s="32">
        <v>-25.520378775169128</v>
      </c>
    </row>
    <row r="32" spans="1:14" x14ac:dyDescent="0.3">
      <c r="B32" s="35"/>
      <c r="E32" s="10">
        <v>-1.8640570342792842</v>
      </c>
      <c r="L32" s="34">
        <v>-1.2351426310659381E-2</v>
      </c>
      <c r="N32" s="32">
        <v>-1.2351426310659381</v>
      </c>
    </row>
    <row r="33" spans="1:14" x14ac:dyDescent="0.3">
      <c r="A33" t="s">
        <v>35</v>
      </c>
      <c r="B33" s="10" cm="1">
        <f t="array" ref="B33:B37">e-B31*I11:I15</f>
        <v>1.8931872233151131E-3</v>
      </c>
      <c r="E33" s="10">
        <v>-9.0217168407267345E-2</v>
      </c>
      <c r="L33" s="34">
        <v>0.7442081685111831</v>
      </c>
      <c r="N33" s="32">
        <v>74.420816851118303</v>
      </c>
    </row>
    <row r="34" spans="1:14" x14ac:dyDescent="0.3">
      <c r="B34" s="10">
        <v>1.6055576534812458E-3</v>
      </c>
      <c r="E34" s="10">
        <v>5.4358380951270977</v>
      </c>
      <c r="L34" s="38">
        <f>SUM(L29:L33)</f>
        <v>1.0000000000000002</v>
      </c>
    </row>
    <row r="35" spans="1:14" x14ac:dyDescent="0.3">
      <c r="B35" s="10">
        <v>1.544027889160166E-3</v>
      </c>
    </row>
    <row r="36" spans="1:14" x14ac:dyDescent="0.3">
      <c r="B36" s="10">
        <v>1.4186732610746511E-3</v>
      </c>
      <c r="D36" t="s">
        <v>36</v>
      </c>
      <c r="E36" s="118" t="s">
        <v>37</v>
      </c>
      <c r="F36" s="119"/>
    </row>
    <row r="37" spans="1:14" x14ac:dyDescent="0.3">
      <c r="B37" s="10">
        <v>3.258123555929152E-3</v>
      </c>
      <c r="E37" cm="1">
        <f t="array" ref="E37">MMULT(MMULT(B17:F17,_xlfn.ANCHORARRAY(B11)),_xlfn.ANCHORARRAY(B33))</f>
        <v>7.3041903127745824</v>
      </c>
    </row>
  </sheetData>
  <mergeCells count="4">
    <mergeCell ref="E36:F36"/>
    <mergeCell ref="B21:F21"/>
    <mergeCell ref="B23:F23"/>
    <mergeCell ref="E29:F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56D8-3994-4A5F-BCAC-FED210FD6361}">
  <dimension ref="A1:X57"/>
  <sheetViews>
    <sheetView workbookViewId="0">
      <selection activeCell="R54" sqref="R54"/>
    </sheetView>
  </sheetViews>
  <sheetFormatPr defaultRowHeight="14.4" x14ac:dyDescent="0.3"/>
  <cols>
    <col min="2" max="7" width="11.33203125" customWidth="1"/>
    <col min="10" max="10" width="10.88671875" customWidth="1"/>
    <col min="11" max="19" width="12.33203125" customWidth="1"/>
    <col min="20" max="22" width="12.109375" customWidth="1"/>
    <col min="23" max="23" width="11.5546875" bestFit="1" customWidth="1"/>
    <col min="25" max="25" width="9.109375" bestFit="1" customWidth="1"/>
    <col min="26" max="28" width="9" bestFit="1" customWidth="1"/>
  </cols>
  <sheetData>
    <row r="1" spans="1:22" x14ac:dyDescent="0.3">
      <c r="A1" s="57"/>
      <c r="B1" s="57"/>
      <c r="C1" s="57"/>
      <c r="D1" s="57"/>
      <c r="E1" s="57"/>
      <c r="F1" s="57"/>
      <c r="G1" s="57"/>
      <c r="H1" s="57"/>
      <c r="I1" s="57"/>
    </row>
    <row r="2" spans="1:22" x14ac:dyDescent="0.3">
      <c r="A2" s="57"/>
      <c r="B2" s="57" t="s">
        <v>10</v>
      </c>
      <c r="C2" s="57" t="s">
        <v>5</v>
      </c>
      <c r="D2" s="57" t="s">
        <v>6</v>
      </c>
      <c r="E2" s="57" t="s">
        <v>7</v>
      </c>
      <c r="F2" s="57" t="s">
        <v>8</v>
      </c>
      <c r="G2" s="57" t="s">
        <v>9</v>
      </c>
      <c r="H2" s="57"/>
      <c r="I2" s="57"/>
      <c r="K2" s="78" t="s">
        <v>5</v>
      </c>
      <c r="L2" s="79" t="s">
        <v>6</v>
      </c>
      <c r="M2" s="79" t="s">
        <v>7</v>
      </c>
      <c r="N2" s="79" t="s">
        <v>8</v>
      </c>
      <c r="O2" s="80" t="s">
        <v>9</v>
      </c>
      <c r="Q2" s="57"/>
      <c r="R2" s="57"/>
      <c r="S2" s="57"/>
      <c r="T2" s="57"/>
      <c r="U2" s="57"/>
      <c r="V2" s="57"/>
    </row>
    <row r="3" spans="1:22" x14ac:dyDescent="0.3">
      <c r="A3" s="57"/>
      <c r="B3" s="50">
        <v>45807</v>
      </c>
      <c r="C3" s="51">
        <v>42215.73</v>
      </c>
      <c r="D3" s="51">
        <v>2969.99</v>
      </c>
      <c r="E3" s="77">
        <v>263.3</v>
      </c>
      <c r="F3" s="54">
        <v>626.24</v>
      </c>
      <c r="G3" s="51">
        <v>19175.87</v>
      </c>
      <c r="H3" s="57"/>
      <c r="I3" s="57"/>
      <c r="J3" s="81" t="s">
        <v>11</v>
      </c>
      <c r="K3" s="120" t="s">
        <v>4</v>
      </c>
      <c r="L3" s="121"/>
      <c r="M3" s="121"/>
      <c r="N3" s="121"/>
      <c r="O3" s="122"/>
    </row>
    <row r="4" spans="1:22" x14ac:dyDescent="0.3">
      <c r="A4" s="57"/>
      <c r="B4" s="52">
        <v>45800</v>
      </c>
      <c r="C4" s="53">
        <v>41603.07</v>
      </c>
      <c r="D4" s="53">
        <v>3013.25</v>
      </c>
      <c r="E4" s="76">
        <v>260.7</v>
      </c>
      <c r="F4" s="55">
        <v>619.49</v>
      </c>
      <c r="G4" s="53">
        <v>18737.21</v>
      </c>
      <c r="H4" s="57"/>
      <c r="I4" s="57"/>
      <c r="J4" s="82">
        <v>113</v>
      </c>
      <c r="K4" s="85">
        <f t="shared" ref="K4:K12" si="0">(C3-C4)/C4</f>
        <v>1.4726317072273837E-2</v>
      </c>
      <c r="L4" s="86">
        <f t="shared" ref="L4:L12" si="1">(D3-D4)/D4</f>
        <v>-1.4356591719903831E-2</v>
      </c>
      <c r="M4" s="86">
        <f t="shared" ref="M4:M12" si="2">(E3-E4)/E4</f>
        <v>9.9731492136556302E-3</v>
      </c>
      <c r="N4" s="86">
        <f t="shared" ref="N4:N12" si="3">(F3-F4)/F4</f>
        <v>1.0896059661980016E-2</v>
      </c>
      <c r="O4" s="87">
        <f t="shared" ref="O4:O12" si="4">(G3-G4)/G4</f>
        <v>2.3411169539114943E-2</v>
      </c>
    </row>
    <row r="5" spans="1:22" x14ac:dyDescent="0.3">
      <c r="A5" s="57"/>
      <c r="B5" s="52">
        <v>45793</v>
      </c>
      <c r="C5" s="53">
        <v>42654.74</v>
      </c>
      <c r="D5" s="53">
        <v>2987.67</v>
      </c>
      <c r="E5" s="55">
        <v>259.26</v>
      </c>
      <c r="F5" s="55">
        <v>613.14</v>
      </c>
      <c r="G5" s="53">
        <v>19211.099999999999</v>
      </c>
      <c r="H5" s="57"/>
      <c r="I5" s="57"/>
      <c r="J5" s="83">
        <v>112</v>
      </c>
      <c r="K5" s="88">
        <f t="shared" si="0"/>
        <v>-2.4655407581900587E-2</v>
      </c>
      <c r="L5" s="58">
        <f t="shared" si="1"/>
        <v>8.5618558943925966E-3</v>
      </c>
      <c r="M5" s="58">
        <f t="shared" si="2"/>
        <v>5.5542698449432912E-3</v>
      </c>
      <c r="N5" s="58">
        <f t="shared" si="3"/>
        <v>1.0356525426493171E-2</v>
      </c>
      <c r="O5" s="89">
        <f t="shared" si="4"/>
        <v>-2.466750992915551E-2</v>
      </c>
    </row>
    <row r="6" spans="1:22" x14ac:dyDescent="0.3">
      <c r="A6" s="57"/>
      <c r="B6" s="52">
        <v>45786</v>
      </c>
      <c r="C6" s="53">
        <v>41249.379999999997</v>
      </c>
      <c r="D6" s="53">
        <v>2939.83</v>
      </c>
      <c r="E6" s="55">
        <v>258.04000000000002</v>
      </c>
      <c r="F6" s="55">
        <v>605.04</v>
      </c>
      <c r="G6" s="53">
        <v>17928.919999999998</v>
      </c>
      <c r="H6" s="57"/>
      <c r="I6" s="57"/>
      <c r="J6" s="83">
        <v>111</v>
      </c>
      <c r="K6" s="88">
        <f t="shared" si="0"/>
        <v>3.4069845413434108E-2</v>
      </c>
      <c r="L6" s="58">
        <f t="shared" si="1"/>
        <v>1.6273049802199496E-2</v>
      </c>
      <c r="M6" s="58">
        <f t="shared" si="2"/>
        <v>4.7279491551696258E-3</v>
      </c>
      <c r="N6" s="58">
        <f t="shared" si="3"/>
        <v>1.3387544625148788E-2</v>
      </c>
      <c r="O6" s="89">
        <f t="shared" si="4"/>
        <v>7.1514625532380111E-2</v>
      </c>
    </row>
    <row r="7" spans="1:22" x14ac:dyDescent="0.3">
      <c r="A7" s="57"/>
      <c r="B7" s="52">
        <v>45779</v>
      </c>
      <c r="C7" s="53">
        <v>41317.43</v>
      </c>
      <c r="D7" s="53">
        <v>2903.83</v>
      </c>
      <c r="E7" s="55">
        <v>254.13</v>
      </c>
      <c r="F7" s="76">
        <v>605.9</v>
      </c>
      <c r="G7" s="53">
        <v>17977.73</v>
      </c>
      <c r="H7" s="57"/>
      <c r="I7" s="57"/>
      <c r="J7" s="83">
        <v>110</v>
      </c>
      <c r="K7" s="88">
        <f t="shared" si="0"/>
        <v>-1.6470046660695718E-3</v>
      </c>
      <c r="L7" s="58">
        <f t="shared" si="1"/>
        <v>1.2397419959157389E-2</v>
      </c>
      <c r="M7" s="58">
        <f t="shared" si="2"/>
        <v>1.5385826151969564E-2</v>
      </c>
      <c r="N7" s="58">
        <f t="shared" si="3"/>
        <v>-1.4193761346757115E-3</v>
      </c>
      <c r="O7" s="89">
        <f t="shared" si="4"/>
        <v>-2.7150257568670411E-3</v>
      </c>
    </row>
    <row r="8" spans="1:22" x14ac:dyDescent="0.3">
      <c r="A8" s="57"/>
      <c r="B8" s="52">
        <v>45772</v>
      </c>
      <c r="C8" s="53">
        <v>40113.5</v>
      </c>
      <c r="D8" s="53">
        <v>2833.74</v>
      </c>
      <c r="E8" s="55">
        <v>248.53</v>
      </c>
      <c r="F8" s="55">
        <v>591.44000000000005</v>
      </c>
      <c r="G8" s="53">
        <v>17382.939999999999</v>
      </c>
      <c r="H8" s="57"/>
      <c r="I8" s="57"/>
      <c r="J8" s="83">
        <v>109</v>
      </c>
      <c r="K8" s="88">
        <f t="shared" si="0"/>
        <v>3.0013087863188209E-2</v>
      </c>
      <c r="L8" s="58">
        <f t="shared" si="1"/>
        <v>2.4734096988432302E-2</v>
      </c>
      <c r="M8" s="58">
        <f t="shared" si="2"/>
        <v>2.2532491047358445E-2</v>
      </c>
      <c r="N8" s="58">
        <f t="shared" si="3"/>
        <v>2.4448802921682541E-2</v>
      </c>
      <c r="O8" s="89">
        <f t="shared" si="4"/>
        <v>3.4216881609209999E-2</v>
      </c>
    </row>
    <row r="9" spans="1:22" x14ac:dyDescent="0.3">
      <c r="A9" s="57"/>
      <c r="B9" s="52">
        <v>45765</v>
      </c>
      <c r="C9" s="53">
        <v>39142.230000000003</v>
      </c>
      <c r="D9" s="53">
        <v>2756.47</v>
      </c>
      <c r="E9" s="55">
        <v>244.29</v>
      </c>
      <c r="F9" s="55">
        <v>576.86</v>
      </c>
      <c r="G9" s="53">
        <v>16286.45</v>
      </c>
      <c r="H9" s="57"/>
      <c r="I9" s="57"/>
      <c r="J9" s="83">
        <v>108</v>
      </c>
      <c r="K9" s="88">
        <f t="shared" si="0"/>
        <v>2.4813864718489384E-2</v>
      </c>
      <c r="L9" s="58">
        <f t="shared" si="1"/>
        <v>2.8032229627022964E-2</v>
      </c>
      <c r="M9" s="58">
        <f t="shared" si="2"/>
        <v>1.7356420647591016E-2</v>
      </c>
      <c r="N9" s="58">
        <f t="shared" si="3"/>
        <v>2.5274763374128977E-2</v>
      </c>
      <c r="O9" s="89">
        <f t="shared" si="4"/>
        <v>6.7325291883743726E-2</v>
      </c>
    </row>
    <row r="10" spans="1:22" x14ac:dyDescent="0.3">
      <c r="A10" s="57"/>
      <c r="B10" s="52">
        <v>45758</v>
      </c>
      <c r="C10" s="53">
        <v>40212.71</v>
      </c>
      <c r="D10" s="53">
        <v>2697.49</v>
      </c>
      <c r="E10" s="55">
        <v>234.03</v>
      </c>
      <c r="F10" s="55">
        <v>553.01</v>
      </c>
      <c r="G10" s="53">
        <v>16724.46</v>
      </c>
      <c r="H10" s="57"/>
      <c r="I10" s="57"/>
      <c r="J10" s="83">
        <v>107</v>
      </c>
      <c r="K10" s="88">
        <f t="shared" si="0"/>
        <v>-2.6620439159658622E-2</v>
      </c>
      <c r="L10" s="58">
        <f t="shared" si="1"/>
        <v>2.1864770583023486E-2</v>
      </c>
      <c r="M10" s="58">
        <f t="shared" si="2"/>
        <v>4.3840533264965988E-2</v>
      </c>
      <c r="N10" s="58">
        <f t="shared" si="3"/>
        <v>4.3127610712283729E-2</v>
      </c>
      <c r="O10" s="89">
        <f t="shared" si="4"/>
        <v>-2.6189784303947538E-2</v>
      </c>
    </row>
    <row r="11" spans="1:22" x14ac:dyDescent="0.3">
      <c r="A11" s="57"/>
      <c r="B11" s="52">
        <v>45751</v>
      </c>
      <c r="C11" s="53">
        <v>38314.86</v>
      </c>
      <c r="D11" s="53">
        <v>2939.18</v>
      </c>
      <c r="E11" s="55">
        <v>229.96</v>
      </c>
      <c r="F11" s="55">
        <v>543.73</v>
      </c>
      <c r="G11" s="53">
        <v>15587.79</v>
      </c>
      <c r="H11" s="57"/>
      <c r="I11" s="57"/>
      <c r="J11" s="83">
        <v>106</v>
      </c>
      <c r="K11" s="88">
        <f t="shared" si="0"/>
        <v>4.9533001034063509E-2</v>
      </c>
      <c r="L11" s="58">
        <f t="shared" si="1"/>
        <v>-8.223041800774368E-2</v>
      </c>
      <c r="M11" s="58">
        <f t="shared" si="2"/>
        <v>1.7698730213950221E-2</v>
      </c>
      <c r="N11" s="58">
        <f t="shared" si="3"/>
        <v>1.7067294429220333E-2</v>
      </c>
      <c r="O11" s="89">
        <f t="shared" si="4"/>
        <v>7.2920535880968251E-2</v>
      </c>
    </row>
    <row r="12" spans="1:22" x14ac:dyDescent="0.3">
      <c r="B12" s="59">
        <v>45744</v>
      </c>
      <c r="C12" s="48">
        <v>41583.896000000001</v>
      </c>
      <c r="D12" s="48">
        <v>3011.98</v>
      </c>
      <c r="E12" s="60">
        <v>247.78</v>
      </c>
      <c r="F12" s="60">
        <v>586.92999999999995</v>
      </c>
      <c r="G12" s="48">
        <v>17322.990000000002</v>
      </c>
      <c r="J12" s="84">
        <v>105</v>
      </c>
      <c r="K12" s="90">
        <f t="shared" si="0"/>
        <v>-7.8613028466596777E-2</v>
      </c>
      <c r="L12" s="91">
        <f t="shared" si="1"/>
        <v>-2.4170147212132943E-2</v>
      </c>
      <c r="M12" s="91">
        <f t="shared" si="2"/>
        <v>-7.1918637501008936E-2</v>
      </c>
      <c r="N12" s="91">
        <f t="shared" si="3"/>
        <v>-7.3603325779905499E-2</v>
      </c>
      <c r="O12" s="92">
        <f t="shared" si="4"/>
        <v>-0.10016746531632245</v>
      </c>
    </row>
    <row r="13" spans="1:22" x14ac:dyDescent="0.3">
      <c r="K13" s="126" t="s">
        <v>62</v>
      </c>
      <c r="L13" s="127"/>
      <c r="M13" s="127"/>
      <c r="N13" s="127"/>
      <c r="O13" s="128"/>
    </row>
    <row r="14" spans="1:22" x14ac:dyDescent="0.3">
      <c r="K14" s="96">
        <f>AVERAGE(K4:K12)</f>
        <v>2.4022484696914989E-3</v>
      </c>
      <c r="L14" s="97">
        <f t="shared" ref="L14:O14" si="5">AVERAGE(L4:L12)</f>
        <v>-9.8819267617246908E-4</v>
      </c>
      <c r="M14" s="97">
        <f t="shared" si="5"/>
        <v>7.2389702265105377E-3</v>
      </c>
      <c r="N14" s="97">
        <f t="shared" si="5"/>
        <v>7.7262110262618184E-3</v>
      </c>
      <c r="O14" s="98">
        <f t="shared" si="5"/>
        <v>1.2849857682124944E-2</v>
      </c>
    </row>
    <row r="15" spans="1:22" x14ac:dyDescent="0.3">
      <c r="B15" s="61" t="s">
        <v>38</v>
      </c>
      <c r="C15" s="62" t="s">
        <v>5</v>
      </c>
      <c r="D15" s="62" t="s">
        <v>6</v>
      </c>
      <c r="E15" s="62" t="s">
        <v>43</v>
      </c>
      <c r="F15" s="62" t="s">
        <v>8</v>
      </c>
      <c r="G15" s="62" t="s">
        <v>44</v>
      </c>
      <c r="K15" s="129" t="s">
        <v>63</v>
      </c>
      <c r="L15" s="130"/>
      <c r="M15" s="130"/>
      <c r="N15" s="130"/>
      <c r="O15" s="131"/>
    </row>
    <row r="16" spans="1:22" x14ac:dyDescent="0.3">
      <c r="B16" s="62" t="s">
        <v>39</v>
      </c>
      <c r="C16" s="56">
        <v>0.2</v>
      </c>
      <c r="D16" s="56">
        <v>0.2</v>
      </c>
      <c r="E16" s="56">
        <v>0.2</v>
      </c>
      <c r="F16" s="56">
        <v>0.2</v>
      </c>
      <c r="G16" s="56">
        <v>0.2</v>
      </c>
      <c r="K16" s="99">
        <f>_xlfn.STDEV.S(K4:K12)</f>
        <v>3.9992141246048968E-2</v>
      </c>
      <c r="L16" s="100">
        <f t="shared" ref="L16:O16" si="6">_xlfn.STDEV.S(L4:L12)</f>
        <v>3.5197343396053647E-2</v>
      </c>
      <c r="M16" s="100">
        <f t="shared" si="6"/>
        <v>3.1887013182324238E-2</v>
      </c>
      <c r="N16" s="100">
        <f t="shared" si="6"/>
        <v>3.2930351163547568E-2</v>
      </c>
      <c r="O16" s="101">
        <f t="shared" si="6"/>
        <v>5.7589639617702616E-2</v>
      </c>
    </row>
    <row r="17" spans="2:19" x14ac:dyDescent="0.3">
      <c r="B17" s="62" t="s">
        <v>40</v>
      </c>
      <c r="C17" s="56">
        <v>0.74039810846080134</v>
      </c>
      <c r="D17" s="56">
        <v>4.4928716789197243E-2</v>
      </c>
      <c r="E17" s="56">
        <v>-2.0300168208008167E-4</v>
      </c>
      <c r="F17" s="56">
        <v>0.23945292178554953</v>
      </c>
      <c r="G17" s="56">
        <v>-2.4576745353467749E-2</v>
      </c>
    </row>
    <row r="18" spans="2:19" x14ac:dyDescent="0.3">
      <c r="B18" s="62" t="s">
        <v>41</v>
      </c>
      <c r="C18" s="56">
        <v>0.28097776826797444</v>
      </c>
      <c r="D18" s="56">
        <v>0.13266384102042092</v>
      </c>
      <c r="E18" s="56">
        <v>0.16207417723048623</v>
      </c>
      <c r="F18" s="56">
        <v>0.23386670031361917</v>
      </c>
      <c r="G18" s="56">
        <v>0.19041751316749927</v>
      </c>
    </row>
    <row r="19" spans="2:19" x14ac:dyDescent="0.3">
      <c r="B19" s="62" t="s">
        <v>51</v>
      </c>
      <c r="C19" s="56">
        <v>0.4723422398658248</v>
      </c>
      <c r="D19" s="56">
        <v>5.1004805685342984E-2</v>
      </c>
      <c r="E19" s="56">
        <v>-0.25520378775169128</v>
      </c>
      <c r="F19" s="56">
        <v>-1.2351426310659381E-2</v>
      </c>
      <c r="G19" s="56">
        <v>0.7442081685111831</v>
      </c>
    </row>
    <row r="21" spans="2:19" x14ac:dyDescent="0.3">
      <c r="K21" s="119" t="s">
        <v>64</v>
      </c>
      <c r="L21" s="119"/>
      <c r="M21" s="119"/>
      <c r="N21" s="119"/>
      <c r="O21" s="119"/>
      <c r="P21" s="119"/>
      <c r="Q21" s="119"/>
      <c r="R21" s="119"/>
      <c r="S21" s="119"/>
    </row>
    <row r="22" spans="2:19" x14ac:dyDescent="0.3">
      <c r="B22" s="61" t="s">
        <v>38</v>
      </c>
      <c r="C22" s="123" t="s">
        <v>59</v>
      </c>
      <c r="D22" s="124"/>
      <c r="E22" s="124"/>
      <c r="F22" s="124"/>
      <c r="G22" s="125"/>
      <c r="K22">
        <v>1</v>
      </c>
      <c r="L22">
        <v>2</v>
      </c>
      <c r="M22">
        <v>3</v>
      </c>
      <c r="N22">
        <v>4</v>
      </c>
      <c r="O22">
        <v>5</v>
      </c>
      <c r="P22">
        <v>6</v>
      </c>
      <c r="Q22">
        <v>7</v>
      </c>
      <c r="R22">
        <v>8</v>
      </c>
      <c r="S22">
        <v>9</v>
      </c>
    </row>
    <row r="23" spans="2:19" x14ac:dyDescent="0.3">
      <c r="B23" s="62" t="s">
        <v>39</v>
      </c>
      <c r="C23" s="75">
        <v>0.2</v>
      </c>
      <c r="D23" s="75">
        <v>0.2</v>
      </c>
      <c r="E23" s="75">
        <v>0.2</v>
      </c>
      <c r="F23" s="75">
        <v>0.2</v>
      </c>
      <c r="G23" s="75">
        <v>0.2</v>
      </c>
      <c r="H23" s="32"/>
      <c r="J23" t="s">
        <v>17</v>
      </c>
      <c r="K23" s="102" cm="1">
        <f t="array" ref="K23:S26">MMULT(C23:G26,TRANSPOSE(K4:O12))</f>
        <v>8.9300207534241186E-3</v>
      </c>
      <c r="L23" s="102">
        <v>-4.9700532690454078E-3</v>
      </c>
      <c r="M23" s="102">
        <v>2.7994602905666431E-2</v>
      </c>
      <c r="N23" s="102">
        <v>4.4003679107029268E-3</v>
      </c>
      <c r="O23" s="102">
        <v>2.7189072085974299E-2</v>
      </c>
      <c r="P23" s="102">
        <v>3.2560514050195215E-2</v>
      </c>
      <c r="Q23" s="102">
        <v>1.1204538219333409E-2</v>
      </c>
      <c r="R23" s="102">
        <v>1.4997828710091726E-2</v>
      </c>
      <c r="S23" s="102">
        <v>-6.9694520855193329E-2</v>
      </c>
    </row>
    <row r="24" spans="2:19" x14ac:dyDescent="0.3">
      <c r="B24" s="62" t="s">
        <v>40</v>
      </c>
      <c r="C24" s="75">
        <v>0.74</v>
      </c>
      <c r="D24" s="75">
        <v>0.04</v>
      </c>
      <c r="E24" s="75">
        <v>0</v>
      </c>
      <c r="F24" s="75">
        <v>0.24</v>
      </c>
      <c r="G24" s="75">
        <v>-0.02</v>
      </c>
      <c r="H24" s="32"/>
      <c r="J24" t="s">
        <v>20</v>
      </c>
      <c r="K24" s="102">
        <v>1.247004189277939E-2</v>
      </c>
      <c r="L24" s="102">
        <v>-1.4923611073889259E-2</v>
      </c>
      <c r="M24" s="102">
        <v>2.7645325797417325E-2</v>
      </c>
      <c r="N24" s="102">
        <v>-1.0092364117100176E-3</v>
      </c>
      <c r="O24" s="102">
        <v>2.8382423967316179E-2</v>
      </c>
      <c r="P24" s="102">
        <v>2.4202986448879141E-2</v>
      </c>
      <c r="Q24" s="102">
        <v>-7.9501118977993949E-3</v>
      </c>
      <c r="R24" s="102">
        <v>3.6002943990290762E-2</v>
      </c>
      <c r="S24" s="102">
        <v>-7.4801895834617799E-2</v>
      </c>
    </row>
    <row r="25" spans="2:19" x14ac:dyDescent="0.3">
      <c r="B25" s="62" t="s">
        <v>41</v>
      </c>
      <c r="C25" s="75">
        <v>0.28000000000000003</v>
      </c>
      <c r="D25" s="75">
        <v>0.13</v>
      </c>
      <c r="E25" s="75">
        <v>0.16</v>
      </c>
      <c r="F25" s="75">
        <v>0.23</v>
      </c>
      <c r="G25" s="75">
        <v>0.19</v>
      </c>
      <c r="H25" s="32"/>
      <c r="J25" t="s">
        <v>24</v>
      </c>
      <c r="K25" s="102">
        <v>1.0806931665521321E-2</v>
      </c>
      <c r="L25" s="102">
        <v>-7.2066157199163188E-3</v>
      </c>
      <c r="M25" s="102">
        <v>2.9078439169811073E-2</v>
      </c>
      <c r="N25" s="102">
        <v>2.7699240677259594E-3</v>
      </c>
      <c r="O25" s="102">
        <v>2.7348727955503135E-2</v>
      </c>
      <c r="P25" s="102">
        <v>3.1974100310265548E-2</v>
      </c>
      <c r="Q25" s="102">
        <v>7.3464739795584232E-3</v>
      </c>
      <c r="R25" s="102">
        <v>2.3791462318867786E-2</v>
      </c>
      <c r="S25" s="102">
        <v>-7.2621332447865339E-2</v>
      </c>
    </row>
    <row r="26" spans="2:19" x14ac:dyDescent="0.3">
      <c r="B26" s="62" t="s">
        <v>51</v>
      </c>
      <c r="C26" s="75">
        <v>0.47</v>
      </c>
      <c r="D26" s="75">
        <v>0.05</v>
      </c>
      <c r="E26" s="75">
        <v>-0.26</v>
      </c>
      <c r="F26" s="75">
        <v>-0.01</v>
      </c>
      <c r="G26" s="75">
        <v>0.74</v>
      </c>
      <c r="H26" s="32"/>
      <c r="I26" s="71"/>
      <c r="J26" t="s">
        <v>32</v>
      </c>
      <c r="K26" s="102">
        <v>2.0825825504748305E-2</v>
      </c>
      <c r="L26" s="102">
        <v>-3.0961581530298911E-2</v>
      </c>
      <c r="M26" s="102">
        <v>6.8384160501789693E-2</v>
      </c>
      <c r="N26" s="102">
        <v>-6.1494612933417694E-3</v>
      </c>
      <c r="O26" s="102">
        <v>3.4560412834405453E-2</v>
      </c>
      <c r="P26" s="102">
        <v>5.8119426890896567E-2</v>
      </c>
      <c r="Q26" s="102">
        <v>-4.2628623016823547E-2</v>
      </c>
      <c r="R26" s="102">
        <v>6.8357843337619906E-2</v>
      </c>
      <c r="S26" s="102">
        <v>-9.2845676065924379E-2</v>
      </c>
    </row>
    <row r="27" spans="2:19" x14ac:dyDescent="0.3">
      <c r="H27" s="32"/>
    </row>
    <row r="29" spans="2:19" x14ac:dyDescent="0.3">
      <c r="K29" t="s">
        <v>65</v>
      </c>
      <c r="L29" t="s">
        <v>66</v>
      </c>
      <c r="M29" t="s">
        <v>46</v>
      </c>
      <c r="N29" t="s">
        <v>67</v>
      </c>
      <c r="O29" t="s">
        <v>68</v>
      </c>
    </row>
    <row r="30" spans="2:19" x14ac:dyDescent="0.3">
      <c r="B30" s="119" t="s">
        <v>60</v>
      </c>
      <c r="C30" s="119"/>
      <c r="D30">
        <v>0.02</v>
      </c>
      <c r="J30" t="s">
        <v>17</v>
      </c>
      <c r="K30" s="95">
        <f>AVERAGE(K23:S23)+1</f>
        <v>1.0058458189456834</v>
      </c>
      <c r="L30" s="94">
        <f>AVERAGE(K23:S23)</f>
        <v>5.8458189456832661E-3</v>
      </c>
      <c r="M30">
        <f>_xlfn.VAR.S(K23:S23)</f>
        <v>9.5089760418847998E-4</v>
      </c>
      <c r="N30" s="95">
        <f>_xlfn.STDEV.S(K23:S23)</f>
        <v>3.0836627639683298E-2</v>
      </c>
      <c r="O30" s="102">
        <f>(K30-D$31)/N30</f>
        <v>0.1772219301278613</v>
      </c>
    </row>
    <row r="31" spans="2:19" x14ac:dyDescent="0.3">
      <c r="B31" s="119" t="s">
        <v>61</v>
      </c>
      <c r="C31" s="119"/>
      <c r="D31">
        <f>((1+D30)^(1/52))</f>
        <v>1.0003808922767445</v>
      </c>
      <c r="J31" t="s">
        <v>20</v>
      </c>
      <c r="K31" s="95">
        <f t="shared" ref="K31:K33" si="7">AVERAGE(K24:S24)+1</f>
        <v>1.0033354296531851</v>
      </c>
      <c r="L31" s="94">
        <f t="shared" ref="L31:L33" si="8">AVERAGE(K24:S24)</f>
        <v>3.3354296531851475E-3</v>
      </c>
      <c r="M31">
        <f t="shared" ref="M31:M33" si="9">_xlfn.VAR.S(K24:S24)</f>
        <v>1.1736824136305E-3</v>
      </c>
      <c r="N31" s="95">
        <f t="shared" ref="N31:N33" si="10">_xlfn.STDEV.S(K24:S24)</f>
        <v>3.4259048638724629E-2</v>
      </c>
      <c r="O31">
        <f t="shared" ref="O31:O33" si="11">(K31-D$31)/N31</f>
        <v>8.6241080644047022E-2</v>
      </c>
    </row>
    <row r="32" spans="2:19" x14ac:dyDescent="0.3">
      <c r="J32" t="s">
        <v>24</v>
      </c>
      <c r="K32" s="95">
        <f t="shared" si="7"/>
        <v>1.0059209012554968</v>
      </c>
      <c r="L32" s="94">
        <f t="shared" si="8"/>
        <v>5.9209012554968425E-3</v>
      </c>
      <c r="M32">
        <f t="shared" si="9"/>
        <v>1.0463247297619902E-3</v>
      </c>
      <c r="N32" s="95">
        <f t="shared" si="10"/>
        <v>3.2346943128555287E-2</v>
      </c>
      <c r="O32">
        <f t="shared" si="11"/>
        <v>0.17126839332962096</v>
      </c>
    </row>
    <row r="33" spans="10:24" x14ac:dyDescent="0.3">
      <c r="J33" t="s">
        <v>32</v>
      </c>
      <c r="K33" s="95">
        <f t="shared" si="7"/>
        <v>1.0086291474625635</v>
      </c>
      <c r="L33" s="94">
        <f t="shared" si="8"/>
        <v>8.6291474625634808E-3</v>
      </c>
      <c r="M33">
        <f t="shared" si="9"/>
        <v>3.139873484349855E-3</v>
      </c>
      <c r="N33" s="95">
        <f t="shared" si="10"/>
        <v>5.6034574008819366E-2</v>
      </c>
      <c r="O33">
        <f t="shared" si="11"/>
        <v>0.14719939129939219</v>
      </c>
    </row>
    <row r="38" spans="10:24" x14ac:dyDescent="0.3">
      <c r="J38" t="s">
        <v>12</v>
      </c>
      <c r="K38" s="58">
        <f>AVERAGE(DJIA_9)</f>
        <v>2.4022484696914989E-3</v>
      </c>
      <c r="L38" s="58">
        <f>AVERAGE(HSI_9)</f>
        <v>-9.8819267617246908E-4</v>
      </c>
      <c r="M38" s="58">
        <f>AVERAGE(N225E_9)</f>
        <v>7.2389702265105377E-3</v>
      </c>
      <c r="N38" s="58">
        <f>AVERAGE(STOXX_9)</f>
        <v>7.7262110262618184E-3</v>
      </c>
      <c r="O38" s="58">
        <f>AVERAGE(IXIC_9)</f>
        <v>1.2849857682124944E-2</v>
      </c>
      <c r="Q38" s="63" t="s">
        <v>42</v>
      </c>
      <c r="R38" s="64" t="s">
        <v>5</v>
      </c>
      <c r="S38" s="64" t="s">
        <v>6</v>
      </c>
      <c r="T38" s="64" t="s">
        <v>43</v>
      </c>
      <c r="U38" s="64" t="s">
        <v>8</v>
      </c>
      <c r="V38" s="64" t="s">
        <v>44</v>
      </c>
    </row>
    <row r="39" spans="10:24" x14ac:dyDescent="0.3">
      <c r="J39" t="s">
        <v>13</v>
      </c>
      <c r="K39" s="58">
        <f>_xlfn.VAR.S(DJIA_9)</f>
        <v>1.5993713614439308E-3</v>
      </c>
      <c r="L39" s="58">
        <f>_xlfn.VAR.S(HSI_9)</f>
        <v>1.2388529821397213E-3</v>
      </c>
      <c r="M39" s="58">
        <f>_xlfn.VAR.S(N225E_9)</f>
        <v>1.0167816096897195E-3</v>
      </c>
      <c r="N39" s="58">
        <f>_xlfn.VAR.S(STOXX_9)</f>
        <v>1.0844080277545587E-3</v>
      </c>
      <c r="O39" s="58">
        <f>_xlfn.VAR.S(IXIC_9)</f>
        <v>3.3165665912968626E-3</v>
      </c>
      <c r="Q39" s="49">
        <v>45807</v>
      </c>
      <c r="R39" s="67">
        <v>1.4726317072273837E-2</v>
      </c>
      <c r="S39" s="67">
        <v>-1.4356591719903831E-2</v>
      </c>
      <c r="T39" s="67">
        <v>9.9731492136556302E-3</v>
      </c>
      <c r="U39" s="67">
        <v>1.0896059661980016E-2</v>
      </c>
      <c r="V39" s="67">
        <v>2.3411169539114943E-2</v>
      </c>
      <c r="W39" s="71"/>
      <c r="X39" s="71"/>
    </row>
    <row r="40" spans="10:24" x14ac:dyDescent="0.3">
      <c r="Q40" s="49">
        <v>45800</v>
      </c>
      <c r="R40" s="67">
        <v>-2.4655407581900587E-2</v>
      </c>
      <c r="S40" s="67">
        <v>8.5618558943925966E-3</v>
      </c>
      <c r="T40" s="67">
        <v>5.5542698449432912E-3</v>
      </c>
      <c r="U40" s="67">
        <v>1.0356525426493171E-2</v>
      </c>
      <c r="V40" s="67">
        <v>-2.466750992915551E-2</v>
      </c>
    </row>
    <row r="41" spans="10:24" x14ac:dyDescent="0.3">
      <c r="Q41" s="49">
        <v>45793</v>
      </c>
      <c r="R41" s="67">
        <v>3.4069845413434108E-2</v>
      </c>
      <c r="S41" s="67">
        <v>1.6273049802199496E-2</v>
      </c>
      <c r="T41" s="67">
        <v>4.7279491551696258E-3</v>
      </c>
      <c r="U41" s="67">
        <v>1.3387544625148788E-2</v>
      </c>
      <c r="V41" s="67">
        <v>7.1514625532380111E-2</v>
      </c>
    </row>
    <row r="42" spans="10:24" x14ac:dyDescent="0.3">
      <c r="J42" s="70" t="s">
        <v>14</v>
      </c>
      <c r="K42" s="57" t="s">
        <v>5</v>
      </c>
      <c r="L42" s="57" t="s">
        <v>6</v>
      </c>
      <c r="M42" s="57" t="s">
        <v>7</v>
      </c>
      <c r="N42" s="57" t="s">
        <v>8</v>
      </c>
      <c r="O42" s="57" t="s">
        <v>9</v>
      </c>
      <c r="Q42" s="49">
        <v>45786</v>
      </c>
      <c r="R42" s="67">
        <v>-1.6470046660695718E-3</v>
      </c>
      <c r="S42" s="67">
        <v>1.2397419959157389E-2</v>
      </c>
      <c r="T42" s="67">
        <v>1.5385826151969564E-2</v>
      </c>
      <c r="U42" s="67">
        <v>-1.4193761346757115E-3</v>
      </c>
      <c r="V42" s="67">
        <v>-2.7150257568670411E-3</v>
      </c>
    </row>
    <row r="43" spans="10:24" x14ac:dyDescent="0.3">
      <c r="J43" s="57" t="s">
        <v>5</v>
      </c>
      <c r="K43" s="58">
        <f>K39</f>
        <v>1.5993713614439308E-3</v>
      </c>
      <c r="L43" s="58">
        <f>_xlfn.COVARIANCE.S(DJIA_9,HSI_9)</f>
        <v>-1.4803690641341654E-4</v>
      </c>
      <c r="M43" s="58">
        <f>_xlfn.COVARIANCE.S(DJIA_9,N225E_9)</f>
        <v>8.0743313398428588E-4</v>
      </c>
      <c r="N43" s="58">
        <f>_xlfn.COVARIANCE.S(DJIA_9,STOXX_9)</f>
        <v>8.801210763801382E-4</v>
      </c>
      <c r="O43" s="58">
        <f>_xlfn.COVARIANCE.S(DJIA_9,IXIC_9)</f>
        <v>2.2496592569355685E-3</v>
      </c>
      <c r="Q43" s="49">
        <v>45779</v>
      </c>
      <c r="R43" s="67">
        <v>3.0013087863188209E-2</v>
      </c>
      <c r="S43" s="67">
        <v>2.4734096988432302E-2</v>
      </c>
      <c r="T43" s="67">
        <v>2.2532491047358445E-2</v>
      </c>
      <c r="U43" s="67">
        <v>2.4448802921682541E-2</v>
      </c>
      <c r="V43" s="67">
        <v>3.4216881609209999E-2</v>
      </c>
    </row>
    <row r="44" spans="10:24" x14ac:dyDescent="0.3">
      <c r="J44" s="57" t="s">
        <v>6</v>
      </c>
      <c r="K44" s="58">
        <f>L43</f>
        <v>-1.4803690641341654E-4</v>
      </c>
      <c r="L44" s="58">
        <f>L39</f>
        <v>1.2388529821397213E-3</v>
      </c>
      <c r="M44" s="58">
        <f>_xlfn.COVARIANCE.S(HSI_9,N225E_9)</f>
        <v>3.1522148315628296E-4</v>
      </c>
      <c r="N44" s="58">
        <f>_xlfn.COVARIANCE.S(HSI_9,STOXX_9)</f>
        <v>3.5412125684095919E-4</v>
      </c>
      <c r="O44" s="58">
        <f>_xlfn.COVARIANCE.S(HSI_9,IXIC_9)</f>
        <v>-8.9646872745683206E-5</v>
      </c>
      <c r="Q44" s="49">
        <v>45772</v>
      </c>
      <c r="R44" s="67">
        <v>2.4813864718489384E-2</v>
      </c>
      <c r="S44" s="67">
        <v>2.8032229627022964E-2</v>
      </c>
      <c r="T44" s="67">
        <v>1.7356420647591016E-2</v>
      </c>
      <c r="U44" s="67">
        <v>2.5274763374128977E-2</v>
      </c>
      <c r="V44" s="67">
        <v>6.7325291883743726E-2</v>
      </c>
    </row>
    <row r="45" spans="10:24" x14ac:dyDescent="0.3">
      <c r="J45" s="57" t="s">
        <v>7</v>
      </c>
      <c r="K45" s="58">
        <f>M43</f>
        <v>8.0743313398428588E-4</v>
      </c>
      <c r="L45" s="58">
        <f>M44</f>
        <v>3.1522148315628296E-4</v>
      </c>
      <c r="M45" s="58">
        <f>M39</f>
        <v>1.0167816096897195E-3</v>
      </c>
      <c r="N45" s="58">
        <f>_xlfn.COVARIANCE.S(N225E_9,STOXX_9)</f>
        <v>1.0225137090571126E-3</v>
      </c>
      <c r="O45" s="58">
        <f>_xlfn.COVARIANCE.S(N225E_9,IXIC_9)</f>
        <v>1.1051865148526392E-3</v>
      </c>
      <c r="Q45" s="49">
        <v>45765</v>
      </c>
      <c r="R45" s="67">
        <v>-2.6620439159658622E-2</v>
      </c>
      <c r="S45" s="67">
        <v>2.1864770583023486E-2</v>
      </c>
      <c r="T45" s="67">
        <v>4.3840533264965988E-2</v>
      </c>
      <c r="U45" s="67">
        <v>4.3127610712283729E-2</v>
      </c>
      <c r="V45" s="67">
        <v>-2.6189784303947538E-2</v>
      </c>
    </row>
    <row r="46" spans="10:24" x14ac:dyDescent="0.3">
      <c r="J46" s="57" t="s">
        <v>8</v>
      </c>
      <c r="K46" s="58">
        <f>N43</f>
        <v>8.801210763801382E-4</v>
      </c>
      <c r="L46" s="58">
        <f>N44</f>
        <v>3.5412125684095919E-4</v>
      </c>
      <c r="M46" s="58">
        <f>N45</f>
        <v>1.0225137090571126E-3</v>
      </c>
      <c r="N46" s="58">
        <f>N39</f>
        <v>1.0844080277545587E-3</v>
      </c>
      <c r="O46" s="58">
        <f>_xlfn.COVARIANCE.S(STOXX_9,IXIC_9)</f>
        <v>1.2616571141457152E-3</v>
      </c>
      <c r="Q46" s="49">
        <v>45758</v>
      </c>
      <c r="R46" s="67">
        <v>4.9533001034063509E-2</v>
      </c>
      <c r="S46" s="67">
        <v>-8.223041800774368E-2</v>
      </c>
      <c r="T46" s="67">
        <v>1.7698730213950221E-2</v>
      </c>
      <c r="U46" s="67">
        <v>1.7067294429220333E-2</v>
      </c>
      <c r="V46" s="67">
        <v>7.2920535880968251E-2</v>
      </c>
    </row>
    <row r="47" spans="10:24" x14ac:dyDescent="0.3">
      <c r="J47" s="57" t="s">
        <v>9</v>
      </c>
      <c r="K47" s="58">
        <f>O43</f>
        <v>2.2496592569355685E-3</v>
      </c>
      <c r="L47" s="58">
        <f>O44</f>
        <v>-8.9646872745683206E-5</v>
      </c>
      <c r="M47" s="58">
        <f>O45</f>
        <v>1.1051865148526392E-3</v>
      </c>
      <c r="N47" s="58">
        <f>O46</f>
        <v>1.2616571141457152E-3</v>
      </c>
      <c r="O47" s="58">
        <f>O39</f>
        <v>3.3165665912968626E-3</v>
      </c>
      <c r="Q47" s="49">
        <v>45751</v>
      </c>
      <c r="R47" s="67">
        <v>-7.8613028466596777E-2</v>
      </c>
      <c r="S47" s="67">
        <v>-2.4170147212132943E-2</v>
      </c>
      <c r="T47" s="67">
        <v>-7.1918637501008936E-2</v>
      </c>
      <c r="U47" s="67">
        <v>-7.3603325779905499E-2</v>
      </c>
      <c r="V47" s="67">
        <v>-0.10016746531632245</v>
      </c>
    </row>
    <row r="49" spans="10:22" x14ac:dyDescent="0.3">
      <c r="J49" s="70" t="s">
        <v>15</v>
      </c>
      <c r="K49" s="58" cm="1">
        <f t="array" ref="K49:K53">TRANSPOSE(K38:O38)</f>
        <v>2.4022484696914989E-3</v>
      </c>
      <c r="Q49" s="72" t="s">
        <v>56</v>
      </c>
      <c r="R49" s="73" t="s">
        <v>5</v>
      </c>
      <c r="S49" s="73" t="s">
        <v>6</v>
      </c>
      <c r="T49" s="73" t="s">
        <v>43</v>
      </c>
      <c r="U49" s="73" t="s">
        <v>8</v>
      </c>
      <c r="V49" s="73" t="s">
        <v>44</v>
      </c>
    </row>
    <row r="50" spans="10:22" x14ac:dyDescent="0.3">
      <c r="J50" s="57"/>
      <c r="K50" s="58">
        <v>-9.8819267617246908E-4</v>
      </c>
      <c r="Q50" s="73" t="s">
        <v>57</v>
      </c>
      <c r="R50" s="69">
        <f>SQRT(Venerdì!W119)</f>
        <v>1.6119965196630118E-2</v>
      </c>
      <c r="S50" s="74">
        <f>SQRT(Venerdì!X119)</f>
        <v>3.4141570232459562E-2</v>
      </c>
      <c r="T50" s="69">
        <f>SQRT(Venerdì!Y119)</f>
        <v>2.7946165903192242E-2</v>
      </c>
      <c r="U50" s="74">
        <f>SQRT(Venerdì!Z119)</f>
        <v>1.936723714591523E-2</v>
      </c>
      <c r="V50" s="69">
        <f>SQRT(Venerdì!AA119)</f>
        <v>2.3786424736690796E-2</v>
      </c>
    </row>
    <row r="51" spans="10:22" x14ac:dyDescent="0.3">
      <c r="J51" s="57"/>
      <c r="K51" s="58">
        <v>7.2389702265105377E-3</v>
      </c>
      <c r="Q51" s="73" t="s">
        <v>58</v>
      </c>
      <c r="R51" s="69">
        <f>SQRT(K39)</f>
        <v>3.9992141246048968E-2</v>
      </c>
      <c r="S51" s="69">
        <f>SQRT(L39)</f>
        <v>3.5197343396053647E-2</v>
      </c>
      <c r="T51" s="69">
        <f>SQRT(M39)</f>
        <v>3.1887013182324238E-2</v>
      </c>
      <c r="U51" s="69">
        <f>SQRT(N39)</f>
        <v>3.2930351163547568E-2</v>
      </c>
      <c r="V51" s="74">
        <f>SQRT(O39)</f>
        <v>5.7589639617702616E-2</v>
      </c>
    </row>
    <row r="52" spans="10:22" x14ac:dyDescent="0.3">
      <c r="J52" s="57"/>
      <c r="K52" s="58">
        <v>7.7262110262618184E-3</v>
      </c>
    </row>
    <row r="53" spans="10:22" x14ac:dyDescent="0.3">
      <c r="J53" s="57"/>
      <c r="K53" s="58">
        <v>1.2849857682124944E-2</v>
      </c>
      <c r="Q53" s="65" t="s">
        <v>45</v>
      </c>
      <c r="R53" s="66" t="s">
        <v>50</v>
      </c>
      <c r="S53" s="66" t="s">
        <v>49</v>
      </c>
      <c r="T53" s="66" t="s">
        <v>48</v>
      </c>
      <c r="U53" s="66" t="s">
        <v>47</v>
      </c>
    </row>
    <row r="54" spans="10:22" x14ac:dyDescent="0.3">
      <c r="Q54" s="66" t="s">
        <v>39</v>
      </c>
      <c r="R54" s="68">
        <v>5.8458E-3</v>
      </c>
      <c r="S54" s="69">
        <v>8.1130000000000004E-4</v>
      </c>
      <c r="T54" s="69">
        <f>SQRT(S54)</f>
        <v>2.8483328457187023E-2</v>
      </c>
      <c r="U54" s="69">
        <v>0.19202137599999999</v>
      </c>
    </row>
    <row r="55" spans="10:22" x14ac:dyDescent="0.3">
      <c r="Q55" s="66" t="s">
        <v>40</v>
      </c>
      <c r="R55" s="68">
        <v>1.6675079390775505E-3</v>
      </c>
      <c r="S55" s="69">
        <v>5.9389999999999996E-4</v>
      </c>
      <c r="T55" s="69">
        <f>SQRT(S55)</f>
        <v>2.4370063602707319E-2</v>
      </c>
      <c r="U55" s="69">
        <v>5.3049456000000002E-2</v>
      </c>
    </row>
    <row r="56" spans="10:22" x14ac:dyDescent="0.3">
      <c r="Q56" s="66" t="s">
        <v>41</v>
      </c>
      <c r="R56" s="68">
        <v>5.8970229133874673E-3</v>
      </c>
      <c r="S56" s="69">
        <v>8.7670000000000001E-4</v>
      </c>
      <c r="T56" s="69">
        <f>SQRT(S56)</f>
        <v>2.9609120216581918E-2</v>
      </c>
      <c r="U56" s="69">
        <v>0.19148032800000001</v>
      </c>
    </row>
    <row r="57" spans="10:22" x14ac:dyDescent="0.3">
      <c r="Q57" s="66" t="s">
        <v>51</v>
      </c>
      <c r="R57" s="68">
        <v>1.58867997059133E-2</v>
      </c>
      <c r="S57" s="69">
        <v>2.6448000000000001E-3</v>
      </c>
      <c r="T57" s="69">
        <f>SQRT(S57)</f>
        <v>5.142761903880054E-2</v>
      </c>
      <c r="U57" s="69">
        <v>0.30124696400000001</v>
      </c>
    </row>
  </sheetData>
  <mergeCells count="7">
    <mergeCell ref="K3:O3"/>
    <mergeCell ref="C22:G22"/>
    <mergeCell ref="B30:C30"/>
    <mergeCell ref="B31:C31"/>
    <mergeCell ref="K21:S21"/>
    <mergeCell ref="K13:O13"/>
    <mergeCell ref="K15:O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1CC6-1BB3-49D9-A372-C5422F07DEDC}">
  <dimension ref="A1:V39"/>
  <sheetViews>
    <sheetView tabSelected="1" workbookViewId="0">
      <selection activeCell="N31" sqref="N31"/>
    </sheetView>
  </sheetViews>
  <sheetFormatPr defaultRowHeight="14.4" x14ac:dyDescent="0.3"/>
  <cols>
    <col min="2" max="7" width="11.33203125" customWidth="1"/>
    <col min="10" max="10" width="10.88671875" customWidth="1"/>
    <col min="11" max="19" width="12.33203125" customWidth="1"/>
    <col min="20" max="22" width="12.109375" customWidth="1"/>
    <col min="23" max="23" width="11.5546875" bestFit="1" customWidth="1"/>
    <col min="25" max="25" width="9.109375" bestFit="1" customWidth="1"/>
    <col min="26" max="28" width="9" bestFit="1" customWidth="1"/>
  </cols>
  <sheetData>
    <row r="1" spans="1:22" x14ac:dyDescent="0.3">
      <c r="A1" s="57"/>
      <c r="B1" s="57"/>
      <c r="C1" s="57"/>
      <c r="D1" s="57"/>
      <c r="E1" s="57"/>
      <c r="F1" s="57"/>
      <c r="G1" s="57"/>
      <c r="H1" s="57"/>
      <c r="I1" s="57"/>
    </row>
    <row r="2" spans="1:22" x14ac:dyDescent="0.3">
      <c r="A2" s="57"/>
      <c r="B2" s="57" t="s">
        <v>10</v>
      </c>
      <c r="C2" s="57" t="s">
        <v>5</v>
      </c>
      <c r="D2" s="57" t="s">
        <v>6</v>
      </c>
      <c r="E2" s="57" t="s">
        <v>7</v>
      </c>
      <c r="F2" s="57" t="s">
        <v>8</v>
      </c>
      <c r="G2" s="57" t="s">
        <v>9</v>
      </c>
      <c r="H2" s="57"/>
      <c r="I2" s="57"/>
      <c r="K2" s="78" t="s">
        <v>5</v>
      </c>
      <c r="L2" s="79" t="s">
        <v>6</v>
      </c>
      <c r="M2" s="79" t="s">
        <v>7</v>
      </c>
      <c r="N2" s="79" t="s">
        <v>8</v>
      </c>
      <c r="O2" s="80" t="s">
        <v>9</v>
      </c>
      <c r="Q2" s="57"/>
      <c r="R2" s="57"/>
      <c r="S2" s="57"/>
      <c r="T2" s="57"/>
      <c r="U2" s="57"/>
      <c r="V2" s="57"/>
    </row>
    <row r="3" spans="1:22" x14ac:dyDescent="0.3">
      <c r="A3" s="57"/>
      <c r="B3" s="47">
        <v>45744</v>
      </c>
      <c r="C3" s="48">
        <v>41583.896000000001</v>
      </c>
      <c r="D3" s="48">
        <v>3011.98</v>
      </c>
      <c r="E3" s="60">
        <v>247.78</v>
      </c>
      <c r="F3" s="60">
        <v>586.92999999999995</v>
      </c>
      <c r="G3" s="48">
        <v>17322.990000000002</v>
      </c>
      <c r="H3" s="57"/>
      <c r="I3" s="57"/>
      <c r="J3" s="81" t="s">
        <v>11</v>
      </c>
      <c r="K3" s="132" t="s">
        <v>4</v>
      </c>
      <c r="L3" s="132"/>
      <c r="M3" s="132"/>
      <c r="N3" s="132"/>
      <c r="O3" s="133"/>
    </row>
    <row r="4" spans="1:22" x14ac:dyDescent="0.3">
      <c r="A4" s="57"/>
      <c r="B4" s="52">
        <v>45751</v>
      </c>
      <c r="C4" s="53">
        <v>38314.86</v>
      </c>
      <c r="D4" s="53">
        <v>2939.18</v>
      </c>
      <c r="E4" s="55">
        <v>229.96</v>
      </c>
      <c r="F4" s="55">
        <v>543.73</v>
      </c>
      <c r="G4" s="53">
        <v>15587.79</v>
      </c>
      <c r="H4" s="57"/>
      <c r="I4" s="57"/>
      <c r="J4" s="83">
        <v>1</v>
      </c>
      <c r="K4" s="86">
        <f>(C4-C3)/C3</f>
        <v>-7.8613028466596777E-2</v>
      </c>
      <c r="L4" s="86">
        <f t="shared" ref="L4:O12" si="0">(D4-D3)/D3</f>
        <v>-2.4170147212132943E-2</v>
      </c>
      <c r="M4" s="86">
        <f t="shared" si="0"/>
        <v>-7.1918637501008936E-2</v>
      </c>
      <c r="N4" s="86">
        <f t="shared" si="0"/>
        <v>-7.3603325779905499E-2</v>
      </c>
      <c r="O4" s="87">
        <f t="shared" si="0"/>
        <v>-0.10016746531632245</v>
      </c>
    </row>
    <row r="5" spans="1:22" x14ac:dyDescent="0.3">
      <c r="A5" s="57"/>
      <c r="B5" s="52">
        <v>45758</v>
      </c>
      <c r="C5" s="53">
        <v>40212.71</v>
      </c>
      <c r="D5" s="53">
        <v>2697.49</v>
      </c>
      <c r="E5" s="55">
        <v>234.03</v>
      </c>
      <c r="F5" s="55">
        <v>553.01</v>
      </c>
      <c r="G5" s="53">
        <v>16724.46</v>
      </c>
      <c r="H5" s="57"/>
      <c r="I5" s="57"/>
      <c r="J5" s="83">
        <v>2</v>
      </c>
      <c r="K5" s="58">
        <f t="shared" ref="K5:K12" si="1">(C5-C4)/C4</f>
        <v>4.9533001034063509E-2</v>
      </c>
      <c r="L5" s="58">
        <f t="shared" si="0"/>
        <v>-8.223041800774368E-2</v>
      </c>
      <c r="M5" s="58">
        <f t="shared" si="0"/>
        <v>1.7698730213950221E-2</v>
      </c>
      <c r="N5" s="58">
        <f t="shared" si="0"/>
        <v>1.7067294429220333E-2</v>
      </c>
      <c r="O5" s="89">
        <f t="shared" si="0"/>
        <v>7.2920535880968251E-2</v>
      </c>
    </row>
    <row r="6" spans="1:22" x14ac:dyDescent="0.3">
      <c r="A6" s="57"/>
      <c r="B6" s="52">
        <v>45765</v>
      </c>
      <c r="C6" s="53">
        <v>39142.230000000003</v>
      </c>
      <c r="D6" s="53">
        <v>2756.47</v>
      </c>
      <c r="E6" s="55">
        <v>244.29</v>
      </c>
      <c r="F6" s="55">
        <v>576.86</v>
      </c>
      <c r="G6" s="53">
        <v>16286.45</v>
      </c>
      <c r="H6" s="57"/>
      <c r="I6" s="57"/>
      <c r="J6" s="83">
        <v>3</v>
      </c>
      <c r="K6" s="58">
        <f t="shared" si="1"/>
        <v>-2.6620439159658622E-2</v>
      </c>
      <c r="L6" s="58">
        <f t="shared" si="0"/>
        <v>2.1864770583023486E-2</v>
      </c>
      <c r="M6" s="58">
        <f t="shared" si="0"/>
        <v>4.3840533264965988E-2</v>
      </c>
      <c r="N6" s="58">
        <f t="shared" si="0"/>
        <v>4.3127610712283729E-2</v>
      </c>
      <c r="O6" s="89">
        <f t="shared" si="0"/>
        <v>-2.6189784303947538E-2</v>
      </c>
    </row>
    <row r="7" spans="1:22" x14ac:dyDescent="0.3">
      <c r="A7" s="57"/>
      <c r="B7" s="52">
        <v>45772</v>
      </c>
      <c r="C7" s="53">
        <v>40113.5</v>
      </c>
      <c r="D7" s="53">
        <v>2833.74</v>
      </c>
      <c r="E7" s="55">
        <v>248.53</v>
      </c>
      <c r="F7" s="55">
        <v>591.44000000000005</v>
      </c>
      <c r="G7" s="53">
        <v>17382.939999999999</v>
      </c>
      <c r="H7" s="57"/>
      <c r="I7" s="57"/>
      <c r="J7" s="83">
        <v>4</v>
      </c>
      <c r="K7" s="58">
        <f t="shared" si="1"/>
        <v>2.4813864718489384E-2</v>
      </c>
      <c r="L7" s="58">
        <f t="shared" si="0"/>
        <v>2.8032229627022964E-2</v>
      </c>
      <c r="M7" s="58">
        <f t="shared" si="0"/>
        <v>1.7356420647591016E-2</v>
      </c>
      <c r="N7" s="58">
        <f t="shared" si="0"/>
        <v>2.5274763374128977E-2</v>
      </c>
      <c r="O7" s="89">
        <f t="shared" si="0"/>
        <v>6.7325291883743726E-2</v>
      </c>
    </row>
    <row r="8" spans="1:22" x14ac:dyDescent="0.3">
      <c r="A8" s="57"/>
      <c r="B8" s="52">
        <v>45779</v>
      </c>
      <c r="C8" s="53">
        <v>41317.43</v>
      </c>
      <c r="D8" s="53">
        <v>2903.83</v>
      </c>
      <c r="E8" s="55">
        <v>254.13</v>
      </c>
      <c r="F8" s="76">
        <v>605.9</v>
      </c>
      <c r="G8" s="53">
        <v>17977.73</v>
      </c>
      <c r="H8" s="57"/>
      <c r="I8" s="57"/>
      <c r="J8" s="83">
        <v>5</v>
      </c>
      <c r="K8" s="58">
        <f t="shared" si="1"/>
        <v>3.0013087863188209E-2</v>
      </c>
      <c r="L8" s="58">
        <f t="shared" si="0"/>
        <v>2.4734096988432302E-2</v>
      </c>
      <c r="M8" s="58">
        <f t="shared" si="0"/>
        <v>2.2532491047358445E-2</v>
      </c>
      <c r="N8" s="58">
        <f t="shared" si="0"/>
        <v>2.4448802921682541E-2</v>
      </c>
      <c r="O8" s="89">
        <f t="shared" si="0"/>
        <v>3.4216881609209999E-2</v>
      </c>
    </row>
    <row r="9" spans="1:22" x14ac:dyDescent="0.3">
      <c r="A9" s="57"/>
      <c r="B9" s="52">
        <v>45786</v>
      </c>
      <c r="C9" s="53">
        <v>41249.379999999997</v>
      </c>
      <c r="D9" s="53">
        <v>2939.83</v>
      </c>
      <c r="E9" s="55">
        <v>258.04000000000002</v>
      </c>
      <c r="F9" s="55">
        <v>605.04</v>
      </c>
      <c r="G9" s="53">
        <v>17928.919999999998</v>
      </c>
      <c r="H9" s="57"/>
      <c r="I9" s="57"/>
      <c r="J9" s="83">
        <v>6</v>
      </c>
      <c r="K9" s="58">
        <f t="shared" si="1"/>
        <v>-1.6470046660695718E-3</v>
      </c>
      <c r="L9" s="58">
        <f t="shared" si="0"/>
        <v>1.2397419959157389E-2</v>
      </c>
      <c r="M9" s="58">
        <f t="shared" si="0"/>
        <v>1.5385826151969564E-2</v>
      </c>
      <c r="N9" s="58">
        <f t="shared" si="0"/>
        <v>-1.4193761346757115E-3</v>
      </c>
      <c r="O9" s="89">
        <f t="shared" si="0"/>
        <v>-2.7150257568670411E-3</v>
      </c>
    </row>
    <row r="10" spans="1:22" x14ac:dyDescent="0.3">
      <c r="A10" s="57"/>
      <c r="B10" s="52">
        <v>45793</v>
      </c>
      <c r="C10" s="53">
        <v>42654.74</v>
      </c>
      <c r="D10" s="53">
        <v>2987.67</v>
      </c>
      <c r="E10" s="55">
        <v>259.26</v>
      </c>
      <c r="F10" s="55">
        <v>613.14</v>
      </c>
      <c r="G10" s="53">
        <v>19211.099999999999</v>
      </c>
      <c r="H10" s="57"/>
      <c r="I10" s="57"/>
      <c r="J10" s="83">
        <v>7</v>
      </c>
      <c r="K10" s="58">
        <f t="shared" si="1"/>
        <v>3.4069845413434108E-2</v>
      </c>
      <c r="L10" s="58">
        <f t="shared" si="0"/>
        <v>1.6273049802199496E-2</v>
      </c>
      <c r="M10" s="58">
        <f t="shared" si="0"/>
        <v>4.7279491551696258E-3</v>
      </c>
      <c r="N10" s="58">
        <f t="shared" si="0"/>
        <v>1.3387544625148788E-2</v>
      </c>
      <c r="O10" s="89">
        <f t="shared" si="0"/>
        <v>7.1514625532380111E-2</v>
      </c>
    </row>
    <row r="11" spans="1:22" x14ac:dyDescent="0.3">
      <c r="A11" s="57"/>
      <c r="B11" s="52">
        <v>45800</v>
      </c>
      <c r="C11" s="53">
        <v>41603.07</v>
      </c>
      <c r="D11" s="53">
        <v>3013.25</v>
      </c>
      <c r="E11" s="76">
        <v>260.7</v>
      </c>
      <c r="F11" s="55">
        <v>619.49</v>
      </c>
      <c r="G11" s="53">
        <v>18737.21</v>
      </c>
      <c r="H11" s="57"/>
      <c r="I11" s="57"/>
      <c r="J11" s="83">
        <v>8</v>
      </c>
      <c r="K11" s="58">
        <f t="shared" si="1"/>
        <v>-2.4655407581900587E-2</v>
      </c>
      <c r="L11" s="58">
        <f t="shared" si="0"/>
        <v>8.5618558943925966E-3</v>
      </c>
      <c r="M11" s="58">
        <f t="shared" si="0"/>
        <v>5.5542698449432912E-3</v>
      </c>
      <c r="N11" s="58">
        <f t="shared" si="0"/>
        <v>1.0356525426493171E-2</v>
      </c>
      <c r="O11" s="89">
        <f t="shared" si="0"/>
        <v>-2.466750992915551E-2</v>
      </c>
    </row>
    <row r="12" spans="1:22" x14ac:dyDescent="0.3">
      <c r="B12" s="103">
        <v>45807</v>
      </c>
      <c r="C12" s="51">
        <v>42215.73</v>
      </c>
      <c r="D12" s="51">
        <v>2969.99</v>
      </c>
      <c r="E12" s="77">
        <v>263.3</v>
      </c>
      <c r="F12" s="54">
        <v>626.24</v>
      </c>
      <c r="G12" s="51">
        <v>19175.87</v>
      </c>
      <c r="J12" s="84">
        <v>9</v>
      </c>
      <c r="K12" s="91">
        <f t="shared" si="1"/>
        <v>1.4726317072273837E-2</v>
      </c>
      <c r="L12" s="91">
        <f t="shared" si="0"/>
        <v>-1.4356591719903831E-2</v>
      </c>
      <c r="M12" s="91">
        <f t="shared" si="0"/>
        <v>9.9731492136556302E-3</v>
      </c>
      <c r="N12" s="91">
        <f t="shared" si="0"/>
        <v>1.0896059661980016E-2</v>
      </c>
      <c r="O12" s="92">
        <f t="shared" si="0"/>
        <v>2.3411169539114943E-2</v>
      </c>
    </row>
    <row r="13" spans="1:22" x14ac:dyDescent="0.3">
      <c r="K13" s="129" t="s">
        <v>62</v>
      </c>
      <c r="L13" s="130"/>
      <c r="M13" s="130"/>
      <c r="N13" s="130"/>
      <c r="O13" s="131"/>
    </row>
    <row r="14" spans="1:22" x14ac:dyDescent="0.3">
      <c r="K14" s="96">
        <f>AVERAGE(K4:K12)</f>
        <v>2.4022484696914984E-3</v>
      </c>
      <c r="L14" s="97">
        <f t="shared" ref="L14:O14" si="2">AVERAGE(L4:L12)</f>
        <v>-9.8819267617246843E-4</v>
      </c>
      <c r="M14" s="97">
        <f t="shared" si="2"/>
        <v>7.2389702265105377E-3</v>
      </c>
      <c r="N14" s="97">
        <f t="shared" si="2"/>
        <v>7.7262110262618167E-3</v>
      </c>
      <c r="O14" s="98">
        <f t="shared" si="2"/>
        <v>1.2849857682124943E-2</v>
      </c>
    </row>
    <row r="15" spans="1:22" x14ac:dyDescent="0.3">
      <c r="B15" s="61" t="s">
        <v>38</v>
      </c>
      <c r="C15" s="62" t="s">
        <v>5</v>
      </c>
      <c r="D15" s="62" t="s">
        <v>6</v>
      </c>
      <c r="E15" s="62" t="s">
        <v>43</v>
      </c>
      <c r="F15" s="62" t="s">
        <v>8</v>
      </c>
      <c r="G15" s="62" t="s">
        <v>44</v>
      </c>
      <c r="K15" s="129" t="s">
        <v>63</v>
      </c>
      <c r="L15" s="130"/>
      <c r="M15" s="130"/>
      <c r="N15" s="130"/>
      <c r="O15" s="131"/>
    </row>
    <row r="16" spans="1:22" x14ac:dyDescent="0.3">
      <c r="B16" s="62" t="s">
        <v>39</v>
      </c>
      <c r="C16" s="56">
        <v>0.2</v>
      </c>
      <c r="D16" s="56">
        <v>0.2</v>
      </c>
      <c r="E16" s="56">
        <v>0.2</v>
      </c>
      <c r="F16" s="56">
        <v>0.2</v>
      </c>
      <c r="G16" s="56">
        <v>0.2</v>
      </c>
      <c r="K16" s="99">
        <f>_xlfn.STDEV.S(K4:K12)</f>
        <v>3.9992141246048961E-2</v>
      </c>
      <c r="L16" s="100">
        <f t="shared" ref="L16:O16" si="3">_xlfn.STDEV.S(L4:L12)</f>
        <v>3.5197343396053647E-2</v>
      </c>
      <c r="M16" s="100">
        <f t="shared" si="3"/>
        <v>3.1887013182324231E-2</v>
      </c>
      <c r="N16" s="100">
        <f t="shared" si="3"/>
        <v>3.2930351163547568E-2</v>
      </c>
      <c r="O16" s="101">
        <f t="shared" si="3"/>
        <v>5.7589639617702616E-2</v>
      </c>
    </row>
    <row r="17" spans="2:21" x14ac:dyDescent="0.3">
      <c r="B17" s="62" t="s">
        <v>40</v>
      </c>
      <c r="C17" s="56">
        <v>0.74039810846080134</v>
      </c>
      <c r="D17" s="56">
        <v>4.4928716789197243E-2</v>
      </c>
      <c r="E17" s="56">
        <v>-2.0300168208008167E-4</v>
      </c>
      <c r="F17" s="56">
        <v>0.23945292178554953</v>
      </c>
      <c r="G17" s="56">
        <v>-2.4576745353467749E-2</v>
      </c>
    </row>
    <row r="18" spans="2:21" x14ac:dyDescent="0.3">
      <c r="B18" s="62" t="s">
        <v>41</v>
      </c>
      <c r="C18" s="56">
        <v>0.28097776826797444</v>
      </c>
      <c r="D18" s="56">
        <v>0.13266384102042092</v>
      </c>
      <c r="E18" s="56">
        <v>0.16207417723048623</v>
      </c>
      <c r="F18" s="56">
        <v>0.23386670031361917</v>
      </c>
      <c r="G18" s="56">
        <v>0.19041751316749927</v>
      </c>
    </row>
    <row r="19" spans="2:21" x14ac:dyDescent="0.3">
      <c r="B19" s="62" t="s">
        <v>51</v>
      </c>
      <c r="C19" s="56">
        <v>0.4723422398658248</v>
      </c>
      <c r="D19" s="56">
        <v>5.1004805685342984E-2</v>
      </c>
      <c r="E19" s="56">
        <v>-0.25520378775169128</v>
      </c>
      <c r="F19" s="56">
        <v>-1.2351426310659381E-2</v>
      </c>
      <c r="G19" s="56">
        <v>0.7442081685111831</v>
      </c>
    </row>
    <row r="21" spans="2:21" x14ac:dyDescent="0.3">
      <c r="K21" s="134" t="s">
        <v>64</v>
      </c>
      <c r="L21" s="135"/>
      <c r="M21" s="135"/>
      <c r="N21" s="135"/>
      <c r="O21" s="135"/>
      <c r="P21" s="135"/>
      <c r="Q21" s="135"/>
      <c r="R21" s="135"/>
      <c r="S21" s="136"/>
    </row>
    <row r="22" spans="2:21" x14ac:dyDescent="0.3">
      <c r="B22" s="61" t="s">
        <v>38</v>
      </c>
      <c r="C22" s="123" t="s">
        <v>59</v>
      </c>
      <c r="D22" s="124"/>
      <c r="E22" s="124"/>
      <c r="F22" s="124"/>
      <c r="G22" s="125"/>
      <c r="J22" s="112"/>
      <c r="K22" s="113">
        <v>1</v>
      </c>
      <c r="L22" s="113">
        <v>2</v>
      </c>
      <c r="M22" s="113">
        <v>3</v>
      </c>
      <c r="N22" s="113">
        <v>4</v>
      </c>
      <c r="O22" s="113">
        <v>5</v>
      </c>
      <c r="P22" s="113">
        <v>6</v>
      </c>
      <c r="Q22" s="113">
        <v>7</v>
      </c>
      <c r="R22" s="113">
        <v>8</v>
      </c>
      <c r="S22" s="114">
        <v>9</v>
      </c>
    </row>
    <row r="23" spans="2:21" x14ac:dyDescent="0.3">
      <c r="B23" s="62" t="s">
        <v>39</v>
      </c>
      <c r="C23" s="75">
        <v>0.2</v>
      </c>
      <c r="D23" s="75">
        <v>0.2</v>
      </c>
      <c r="E23" s="75">
        <v>0.2</v>
      </c>
      <c r="F23" s="75">
        <v>0.2</v>
      </c>
      <c r="G23" s="75">
        <v>0.2</v>
      </c>
      <c r="H23" s="32"/>
      <c r="J23" s="110" t="s">
        <v>17</v>
      </c>
      <c r="K23" s="102" cm="1">
        <f t="array" ref="K23:S26">MMULT(C23:G26,TRANSPOSE(K4:O12))</f>
        <v>-6.9694520855193329E-2</v>
      </c>
      <c r="L23" s="102">
        <v>1.4997828710091726E-2</v>
      </c>
      <c r="M23" s="102">
        <v>1.1204538219333409E-2</v>
      </c>
      <c r="N23" s="102">
        <v>3.2560514050195215E-2</v>
      </c>
      <c r="O23" s="102">
        <v>2.7189072085974299E-2</v>
      </c>
      <c r="P23" s="102">
        <v>4.4003679107029268E-3</v>
      </c>
      <c r="Q23" s="102">
        <v>2.7994602905666431E-2</v>
      </c>
      <c r="R23" s="102">
        <v>-4.9700532690454078E-3</v>
      </c>
      <c r="S23" s="105">
        <v>8.9300207534241186E-3</v>
      </c>
    </row>
    <row r="24" spans="2:21" x14ac:dyDescent="0.3">
      <c r="B24" s="62" t="s">
        <v>40</v>
      </c>
      <c r="C24" s="75">
        <v>0.74</v>
      </c>
      <c r="D24" s="75">
        <v>0.04</v>
      </c>
      <c r="E24" s="75">
        <v>0</v>
      </c>
      <c r="F24" s="75">
        <v>0.24</v>
      </c>
      <c r="G24" s="75">
        <v>-0.02</v>
      </c>
      <c r="H24" s="32"/>
      <c r="J24" s="110" t="s">
        <v>20</v>
      </c>
      <c r="K24" s="102">
        <v>-7.4801895834617799E-2</v>
      </c>
      <c r="L24" s="102">
        <v>3.6002943990290762E-2</v>
      </c>
      <c r="M24" s="102">
        <v>-7.9501118977993949E-3</v>
      </c>
      <c r="N24" s="102">
        <v>2.4202986448879141E-2</v>
      </c>
      <c r="O24" s="102">
        <v>2.8382423967316179E-2</v>
      </c>
      <c r="P24" s="102">
        <v>-1.0092364117100176E-3</v>
      </c>
      <c r="Q24" s="102">
        <v>2.7645325797417325E-2</v>
      </c>
      <c r="R24" s="102">
        <v>-1.4923611073889259E-2</v>
      </c>
      <c r="S24" s="105">
        <v>1.247004189277939E-2</v>
      </c>
    </row>
    <row r="25" spans="2:21" x14ac:dyDescent="0.3">
      <c r="B25" s="62" t="s">
        <v>41</v>
      </c>
      <c r="C25" s="75">
        <v>0.28000000000000003</v>
      </c>
      <c r="D25" s="75">
        <v>0.13</v>
      </c>
      <c r="E25" s="75">
        <v>0.16</v>
      </c>
      <c r="F25" s="75">
        <v>0.23</v>
      </c>
      <c r="G25" s="75">
        <v>0.19</v>
      </c>
      <c r="H25" s="32"/>
      <c r="J25" s="110" t="s">
        <v>24</v>
      </c>
      <c r="K25" s="102">
        <v>-7.2621332447865339E-2</v>
      </c>
      <c r="L25" s="102">
        <v>2.3791462318867786E-2</v>
      </c>
      <c r="M25" s="102">
        <v>7.3464739795584232E-3</v>
      </c>
      <c r="N25" s="102">
        <v>3.1974100310265548E-2</v>
      </c>
      <c r="O25" s="102">
        <v>2.7348727955503135E-2</v>
      </c>
      <c r="P25" s="102">
        <v>2.7699240677259594E-3</v>
      </c>
      <c r="Q25" s="102">
        <v>2.9078439169811073E-2</v>
      </c>
      <c r="R25" s="102">
        <v>-7.2066157199163188E-3</v>
      </c>
      <c r="S25" s="105">
        <v>1.0806931665521321E-2</v>
      </c>
    </row>
    <row r="26" spans="2:21" x14ac:dyDescent="0.3">
      <c r="B26" s="62" t="s">
        <v>51</v>
      </c>
      <c r="C26" s="75">
        <v>0.47</v>
      </c>
      <c r="D26" s="75">
        <v>0.05</v>
      </c>
      <c r="E26" s="75">
        <v>-0.26</v>
      </c>
      <c r="F26" s="75">
        <v>-0.01</v>
      </c>
      <c r="G26" s="75">
        <v>0.74</v>
      </c>
      <c r="H26" s="32"/>
      <c r="I26" s="71"/>
      <c r="J26" s="111" t="s">
        <v>32</v>
      </c>
      <c r="K26" s="115">
        <v>-9.2845676065924379E-2</v>
      </c>
      <c r="L26" s="115">
        <v>6.8357843337619906E-2</v>
      </c>
      <c r="M26" s="115">
        <v>-4.2628623016823547E-2</v>
      </c>
      <c r="N26" s="115">
        <v>5.8119426890896567E-2</v>
      </c>
      <c r="O26" s="115">
        <v>3.4560412834405453E-2</v>
      </c>
      <c r="P26" s="115">
        <v>-6.1494612933417694E-3</v>
      </c>
      <c r="Q26" s="115">
        <v>6.8384160501789693E-2</v>
      </c>
      <c r="R26" s="115">
        <v>-3.0961581530298911E-2</v>
      </c>
      <c r="S26" s="116">
        <v>2.0825825504748305E-2</v>
      </c>
    </row>
    <row r="27" spans="2:21" x14ac:dyDescent="0.3">
      <c r="H27" s="32"/>
    </row>
    <row r="29" spans="2:21" x14ac:dyDescent="0.3">
      <c r="J29" s="112"/>
      <c r="K29" s="113" t="s">
        <v>65</v>
      </c>
      <c r="L29" s="113" t="s">
        <v>66</v>
      </c>
      <c r="M29" s="113" t="s">
        <v>46</v>
      </c>
      <c r="N29" s="113" t="s">
        <v>67</v>
      </c>
      <c r="O29" s="114" t="s">
        <v>68</v>
      </c>
    </row>
    <row r="30" spans="2:21" x14ac:dyDescent="0.3">
      <c r="B30" s="119" t="s">
        <v>60</v>
      </c>
      <c r="C30" s="119"/>
      <c r="D30">
        <v>0.02</v>
      </c>
      <c r="J30" s="110" t="s">
        <v>17</v>
      </c>
      <c r="K30" s="95">
        <f>AVERAGE(K23:S23)+1</f>
        <v>1.0058458189456834</v>
      </c>
      <c r="L30" s="97">
        <f>AVERAGE(K23:S23)</f>
        <v>5.8458189456832661E-3</v>
      </c>
      <c r="M30">
        <f>_xlfn.VAR.S(K23:S23)</f>
        <v>9.5089760418847976E-4</v>
      </c>
      <c r="N30" s="95">
        <f>_xlfn.STDEV.S(K23:S23)</f>
        <v>3.0836627639683294E-2</v>
      </c>
      <c r="O30" s="105">
        <f>(K30-D$31)/N30</f>
        <v>0.1772219301278613</v>
      </c>
      <c r="Q30" s="35">
        <v>1.0058458189456834</v>
      </c>
      <c r="R30" s="93">
        <v>5.8458189456832661E-3</v>
      </c>
      <c r="S30" s="35">
        <v>9.5089760418847976E-4</v>
      </c>
      <c r="T30" s="35">
        <v>3.0836627639683294E-2</v>
      </c>
      <c r="U30" s="35">
        <v>0.1772219301278613</v>
      </c>
    </row>
    <row r="31" spans="2:21" x14ac:dyDescent="0.3">
      <c r="B31" s="119" t="s">
        <v>61</v>
      </c>
      <c r="C31" s="119"/>
      <c r="D31">
        <f>((1+D30)^(1/52))</f>
        <v>1.0003808922767445</v>
      </c>
      <c r="J31" s="110" t="s">
        <v>20</v>
      </c>
      <c r="K31" s="95">
        <f t="shared" ref="K31:K33" si="4">AVERAGE(K24:S24)+1</f>
        <v>1.0033354296531851</v>
      </c>
      <c r="L31" s="97">
        <f t="shared" ref="L31:L33" si="5">AVERAGE(K24:S24)</f>
        <v>3.3354296531851475E-3</v>
      </c>
      <c r="M31">
        <f t="shared" ref="M31:M33" si="6">_xlfn.VAR.S(K24:S24)</f>
        <v>1.1736824136305E-3</v>
      </c>
      <c r="N31" s="95">
        <f t="shared" ref="N31:N33" si="7">_xlfn.STDEV.S(K24:S24)</f>
        <v>3.4259048638724629E-2</v>
      </c>
      <c r="O31" s="106">
        <f t="shared" ref="O31:O32" si="8">(K31-D$31)/N31</f>
        <v>8.6241080644047022E-2</v>
      </c>
      <c r="Q31" s="35">
        <v>1.0033354296531851</v>
      </c>
      <c r="R31" s="93">
        <v>3.3354296531851475E-3</v>
      </c>
      <c r="S31" s="35">
        <v>1.1736824136305E-3</v>
      </c>
      <c r="T31" s="35">
        <v>3.4259048638724629E-2</v>
      </c>
      <c r="U31" s="35">
        <v>8.6241080644047022E-2</v>
      </c>
    </row>
    <row r="32" spans="2:21" x14ac:dyDescent="0.3">
      <c r="J32" s="110" t="s">
        <v>24</v>
      </c>
      <c r="K32" s="95">
        <f t="shared" si="4"/>
        <v>1.0059209012554968</v>
      </c>
      <c r="L32" s="97">
        <f t="shared" si="5"/>
        <v>5.9209012554968425E-3</v>
      </c>
      <c r="M32">
        <f t="shared" si="6"/>
        <v>1.0463247297619904E-3</v>
      </c>
      <c r="N32" s="95">
        <f t="shared" si="7"/>
        <v>3.2346943128555294E-2</v>
      </c>
      <c r="O32" s="106">
        <f t="shared" si="8"/>
        <v>0.1712683933296209</v>
      </c>
      <c r="Q32" s="35">
        <v>1.0059209012554968</v>
      </c>
      <c r="R32" s="93">
        <v>5.9209012554968425E-3</v>
      </c>
      <c r="S32" s="35">
        <v>1.0463247297619904E-3</v>
      </c>
      <c r="T32" s="35">
        <v>3.2346943128555294E-2</v>
      </c>
      <c r="U32" s="35">
        <v>0.1712683933296209</v>
      </c>
    </row>
    <row r="33" spans="10:21" x14ac:dyDescent="0.3">
      <c r="J33" s="111" t="s">
        <v>32</v>
      </c>
      <c r="K33" s="100">
        <f t="shared" si="4"/>
        <v>1.0086291474625635</v>
      </c>
      <c r="L33" s="107">
        <f t="shared" si="5"/>
        <v>8.629147462563479E-3</v>
      </c>
      <c r="M33" s="108">
        <f t="shared" si="6"/>
        <v>3.1398734843498546E-3</v>
      </c>
      <c r="N33" s="100">
        <f t="shared" si="7"/>
        <v>5.6034574008819366E-2</v>
      </c>
      <c r="O33" s="109">
        <f>(K33-D$31)/N33</f>
        <v>0.14719939129939219</v>
      </c>
      <c r="Q33" s="35">
        <v>1.0086291474625635</v>
      </c>
      <c r="R33" s="93">
        <v>8.629147462563479E-3</v>
      </c>
      <c r="S33" s="35">
        <v>3.1398734843498546E-3</v>
      </c>
      <c r="T33" s="35">
        <v>5.6034574008819366E-2</v>
      </c>
      <c r="U33" s="35">
        <v>0.14719939129939219</v>
      </c>
    </row>
    <row r="36" spans="10:21" x14ac:dyDescent="0.3">
      <c r="K36" s="93">
        <v>-6.9694520855193329E-2</v>
      </c>
      <c r="L36" s="93">
        <v>1.4997828710091726E-2</v>
      </c>
      <c r="M36" s="93">
        <v>1.1204538219333409E-2</v>
      </c>
      <c r="N36" s="93">
        <v>3.2560514050195215E-2</v>
      </c>
      <c r="O36" s="93">
        <v>2.7189072085974299E-2</v>
      </c>
      <c r="P36" s="93">
        <v>4.4003679107029268E-3</v>
      </c>
      <c r="Q36" s="93">
        <v>2.7994602905666431E-2</v>
      </c>
      <c r="R36" s="93">
        <v>-4.9700532690454078E-3</v>
      </c>
      <c r="S36" s="93">
        <v>8.9300207534241186E-3</v>
      </c>
    </row>
    <row r="37" spans="10:21" x14ac:dyDescent="0.3">
      <c r="K37" s="93">
        <v>-7.4801895834617799E-2</v>
      </c>
      <c r="L37" s="93">
        <v>3.6002943990290762E-2</v>
      </c>
      <c r="M37" s="93">
        <v>-7.9501118977993949E-3</v>
      </c>
      <c r="N37" s="93">
        <v>2.4202986448879141E-2</v>
      </c>
      <c r="O37" s="93">
        <v>2.8382423967316179E-2</v>
      </c>
      <c r="P37" s="93">
        <v>-1.0092364117100176E-3</v>
      </c>
      <c r="Q37" s="93">
        <v>2.7645325797417325E-2</v>
      </c>
      <c r="R37" s="93">
        <v>-1.4923611073889259E-2</v>
      </c>
      <c r="S37" s="93">
        <v>1.247004189277939E-2</v>
      </c>
    </row>
    <row r="38" spans="10:21" x14ac:dyDescent="0.3">
      <c r="K38" s="93">
        <v>-7.2621332447865339E-2</v>
      </c>
      <c r="L38" s="93">
        <v>2.3791462318867786E-2</v>
      </c>
      <c r="M38" s="93">
        <v>7.3464739795584232E-3</v>
      </c>
      <c r="N38" s="93">
        <v>3.1974100310265548E-2</v>
      </c>
      <c r="O38" s="93">
        <v>2.7348727955503135E-2</v>
      </c>
      <c r="P38" s="93">
        <v>2.7699240677259594E-3</v>
      </c>
      <c r="Q38" s="93">
        <v>2.9078439169811073E-2</v>
      </c>
      <c r="R38" s="93">
        <v>-7.2066157199163188E-3</v>
      </c>
      <c r="S38" s="93">
        <v>1.0806931665521321E-2</v>
      </c>
    </row>
    <row r="39" spans="10:21" x14ac:dyDescent="0.3">
      <c r="K39" s="93">
        <v>-9.2845676065924379E-2</v>
      </c>
      <c r="L39" s="93">
        <v>6.8357843337619906E-2</v>
      </c>
      <c r="M39" s="93">
        <v>-4.2628623016823547E-2</v>
      </c>
      <c r="N39" s="93">
        <v>5.8119426890896567E-2</v>
      </c>
      <c r="O39" s="93">
        <v>3.4560412834405453E-2</v>
      </c>
      <c r="P39" s="93">
        <v>-6.1494612933417694E-3</v>
      </c>
      <c r="Q39" s="93">
        <v>6.8384160501789693E-2</v>
      </c>
      <c r="R39" s="93">
        <v>-3.0961581530298911E-2</v>
      </c>
      <c r="S39" s="93">
        <v>2.0825825504748305E-2</v>
      </c>
    </row>
  </sheetData>
  <sortState xmlns:xlrd2="http://schemas.microsoft.com/office/spreadsheetml/2017/richdata2" ref="B3:G12">
    <sortCondition ref="B2:B12"/>
  </sortState>
  <mergeCells count="7">
    <mergeCell ref="B31:C31"/>
    <mergeCell ref="K3:O3"/>
    <mergeCell ref="K13:O13"/>
    <mergeCell ref="K15:O15"/>
    <mergeCell ref="K21:S21"/>
    <mergeCell ref="C22:G22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13</vt:i4>
      </vt:variant>
    </vt:vector>
  </HeadingPairs>
  <TitlesOfParts>
    <vt:vector size="19" baseType="lpstr">
      <vt:lpstr>Stock aggiornato</vt:lpstr>
      <vt:lpstr>Stock data</vt:lpstr>
      <vt:lpstr>Venerdì</vt:lpstr>
      <vt:lpstr>Portafogli</vt:lpstr>
      <vt:lpstr>Consegna</vt:lpstr>
      <vt:lpstr>Ricalcolo</vt:lpstr>
      <vt:lpstr>DJIA</vt:lpstr>
      <vt:lpstr>DJIA_9</vt:lpstr>
      <vt:lpstr>e</vt:lpstr>
      <vt:lpstr>HSI</vt:lpstr>
      <vt:lpstr>HSI_9</vt:lpstr>
      <vt:lpstr>IXIC</vt:lpstr>
      <vt:lpstr>IXIC_9</vt:lpstr>
      <vt:lpstr>N225E</vt:lpstr>
      <vt:lpstr>N225E_9</vt:lpstr>
      <vt:lpstr>STOXX</vt:lpstr>
      <vt:lpstr>STOXX_9</vt:lpstr>
      <vt:lpstr>V</vt:lpstr>
      <vt:lpstr>V_9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Russo</dc:creator>
  <cp:keywords/>
  <dc:description/>
  <cp:lastModifiedBy>Giorgio Mantoan</cp:lastModifiedBy>
  <cp:revision/>
  <dcterms:created xsi:type="dcterms:W3CDTF">2025-04-02T18:02:39Z</dcterms:created>
  <dcterms:modified xsi:type="dcterms:W3CDTF">2025-11-19T09:55:13Z</dcterms:modified>
  <cp:category/>
  <cp:contentStatus/>
</cp:coreProperties>
</file>